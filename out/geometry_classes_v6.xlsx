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building" sheetId="2" state="visible" r:id="rId2"/>
    <sheet name="Clusters" sheetId="3" state="visible" r:id="rId3"/>
    <sheet name="Objects" sheetId="4" state="visible" r:id="rId4"/>
    <sheet name="Labels" sheetId="5" state="visible" r:id="rId5"/>
    <sheet name="Conflicts" sheetId="6" state="visible" r:id="rId6"/>
    <sheet name="Validation" sheetId="7" state="visible" r:id="rId7"/>
  </sheets>
  <definedNames>
    <definedName name="_xlnm._FilterDatabase" localSheetId="1" hidden="1">'Summary by building'!$A$1:$K$235</definedName>
    <definedName name="_xlnm._FilterDatabase" localSheetId="3" hidden="1">'Objects'!$A$1:$AF$947</definedName>
    <definedName name="_xlnm._FilterDatabase" localSheetId="4" hidden="1">'Labels'!$A$1:$N$591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Geometry-first classification</t>
        </is>
      </c>
    </row>
    <row r="2">
      <c r="A2" s="2" t="inlineStr"/>
    </row>
    <row r="3">
      <c r="A3" s="3" t="inlineStr">
        <is>
          <t>How each element got its class</t>
        </is>
      </c>
    </row>
    <row r="4">
      <c r="A4" s="2" t="inlineStr">
        <is>
          <t>1. Objects were found from geometry only: solid fills (pieces grouped by the order they are drawn in), cross-hatched regions, closed outlines, bands (pairs of parallel lines; the widths come from the drawing itself) and circle stamps with corner rays. No colour, no layer, no text.</t>
        </is>
      </c>
    </row>
    <row r="5">
      <c r="A5" s="2" t="inlineStr">
        <is>
          <t>2. Objects of the same drawing kind were clustered on geometric features only: length, width, the ratio of the two (log), the EN 1992-1-1 5.3.1(7) section test (long side &lt;= 4 x short side = column-shaped), whether it touches another solid, lies inside a closed outline, stands in a strip band or on a raft, and the pen of the outline drawn around it (none / thin / thick, relative to the thickest on the sheet). For outlines: length, width, how many solids and stipple dots are inside, how many beams touch it. 'Similar' means close in these features after scaling, not the same dimensions. Deliberately more clusters than classes.</t>
        </is>
      </c>
    </row>
    <row r="6">
      <c r="A6" s="2" t="inlineStr">
        <is>
          <t>3. Every label was matched to one object by distance and text alignment, in one global assignment that ignores what the label says; a label may stay unmatched.</t>
        </is>
      </c>
    </row>
    <row r="7">
      <c r="A7" s="2" t="inlineStr">
        <is>
          <t>4. A cluster takes the class that most of its matched labels name (&gt;= 5 votes for it, at least 1.5 x the runner-up, with labels on &gt;= 10% of its members, or a small clear vote of 2 or more with labels on 30% of its members). A cluster without enough labels takes the name of the most similar named cluster of the same drawing kind (feature distance &lt;= 1.6), else stays unnamed. Unlabelled members inherit their cluster's class - that is how unlabelled walls became walls.</t>
        </is>
      </c>
    </row>
    <row r="8">
      <c r="A8" s="2" t="inlineStr">
        <is>
          <t>5. Labels were matched again, now only to objects of the class they name (or unnamed ones, at a cost), penalising an object whose size differs from the size its type has where a label sits right on its element, or that lies between expansion joints of another building. That gives the type keys (P1/124, V3/120, S7...).</t>
        </is>
      </c>
    </row>
    <row r="9">
      <c r="A9" s="2" t="inlineStr">
        <is>
          <t>6. An unlabelled member of a class takes the type of its class (and building, where sizes vary per building) that has its size: '~P1/124' when one type fits, '~V2/123|V4/123' when several share the size (nearest first). When none fits, the type source says so: for a 'column' that is a sign it is not a column.</t>
        </is>
      </c>
    </row>
    <row r="10">
      <c r="A10" s="2" t="inlineStr">
        <is>
          <t>7. Buildings: the footprint is cut along the expansion joints (pairs of long lines a few cm apart); a region whose labels agree is one building. Elsewhere the nearest building-numbered labels within the region decide.</t>
        </is>
      </c>
    </row>
    <row r="11">
      <c r="A11" s="2" t="inlineStr">
        <is>
          <t>8. A printed label whose element's size differs from the size its type has on at least two other elements is re-typed from the types of the building region the element stands in (then its label's building), else '?'. Two elements of a type that disagree are both flagged 'conflict'.</t>
        </is>
      </c>
    </row>
    <row r="12">
      <c r="A12" s="2" t="inlineStr">
        <is>
          <t>9. Unlabelled walls (solid or hatched): along the building edge (close and parallel to the footprint's boundary) or standing on a strip footing they are retaining walls; inside the building, when no V type has their size, core walls. A column-cluster member without a label stays a column unless it is drawn unlike the labelled columns (an outline pen none of them has) or continues a wall of the same thickness; then it is a wall piece.</t>
        </is>
      </c>
    </row>
    <row r="13">
      <c r="A13" s="2" t="inlineStr"/>
    </row>
    <row r="14">
      <c r="A14" s="2" t="inlineStr">
        <is>
          <t>A label type only votes for its home drawing kind - the one it lands on most in the neutral pass (learned from the drawing: P and V labels land on solids, LG and SF labels on bands, S labels on outlines).</t>
        </is>
      </c>
    </row>
    <row r="15">
      <c r="A15" s="2" t="inlineStr"/>
    </row>
    <row r="16">
      <c r="A16" s="3" t="inlineStr">
        <is>
          <t>What labels do and do not decide</t>
        </is>
      </c>
    </row>
    <row r="17">
      <c r="A17" s="2" t="inlineStr">
        <is>
          <t>A single label never decides an object's class: it votes for its cluster, and its object keeps the cluster's class even if the label disagrees. Disagreeing labels are listed on 'Conflicts' - each is a wrong label, a wrongly placed label, or a geometry mistake worth a look.</t>
        </is>
      </c>
    </row>
    <row r="18">
      <c r="A18" s="2" t="inlineStr">
        <is>
          <t>Clusters no label votes for (cross-hatched walls, small stippled squares, several band widths) keep a descriptive geometric name; naming them is an interpretation, not something the plan states.</t>
        </is>
      </c>
    </row>
    <row r="19">
      <c r="A19" s="2" t="inlineStr"/>
    </row>
    <row r="20">
      <c r="A20" s="3" t="inlineStr">
        <is>
          <t>Sheets</t>
        </is>
      </c>
    </row>
    <row r="21">
      <c r="A21" s="2" t="inlineStr">
        <is>
          <t>Summary by building - counts and sizes per building, class and type (formulas over 'Objects').</t>
        </is>
      </c>
    </row>
    <row r="22">
      <c r="A22" s="2" t="inlineStr">
        <is>
          <t>Clusters - every geometric cluster, its size ranges, the label votes it received and the name it took.</t>
        </is>
      </c>
    </row>
    <row r="23">
      <c r="A23" s="2" t="inlineStr">
        <is>
          <t>Objects - every object with its class, type, measurements, features and pixel box (page at 150 dpi).</t>
        </is>
      </c>
    </row>
    <row r="24">
      <c r="A24" s="2" t="inlineStr">
        <is>
          <t>Labels - every label: what it names, where the first (neutral) pass put it, whether that agreed, and the second-pass match.</t>
        </is>
      </c>
    </row>
    <row r="25">
      <c r="A25" s="2" t="inlineStr">
        <is>
          <t>Conflicts - labels that disagreed with their object's cluster, and labels left unmatched.</t>
        </is>
      </c>
    </row>
    <row r="26">
      <c r="A26" s="2" t="inlineStr">
        <is>
          <t>Validation - geometric classes against the verified, colour-based detections.</t>
        </is>
      </c>
    </row>
    <row r="27">
      <c r="A27" s="2" t="inlineStr"/>
    </row>
    <row r="28">
      <c r="A28" s="2" t="inlineStr">
        <is>
          <t>Scale 1/200.0, from 222 dimension texts (median error 0.24 cm). Formulas recalculate on opening; they were checked with the Python 'formulas'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 ht="30" customHeight="1">
      <c r="A1" s="4" t="inlineStr">
        <is>
          <t>Building</t>
        </is>
      </c>
      <c r="B1" s="4" t="inlineStr">
        <is>
          <t>Class</t>
        </is>
      </c>
      <c r="C1" s="4" t="inlineStr">
        <is>
          <t>Type key</t>
        </is>
      </c>
      <c r="D1" s="4" t="inlineStr">
        <is>
          <t>Count</t>
        </is>
      </c>
      <c r="E1" s="4" t="inlineStr">
        <is>
          <t>Length min (cm)</t>
        </is>
      </c>
      <c r="F1" s="4" t="inlineStr">
        <is>
          <t>Length max (cm)</t>
        </is>
      </c>
      <c r="G1" s="4" t="inlineStr">
        <is>
          <t>Width min (cm)</t>
        </is>
      </c>
      <c r="H1" s="4" t="inlineStr">
        <is>
          <t>Width max (cm)</t>
        </is>
      </c>
      <c r="I1" s="4" t="inlineStr">
        <is>
          <t>Same section?</t>
        </is>
      </c>
      <c r="J1" s="4" t="inlineStr">
        <is>
          <t>Total length (m)</t>
        </is>
      </c>
      <c r="K1" s="4" t="inlineStr">
        <is>
          <t>Of which typed by inference</t>
        </is>
      </c>
    </row>
    <row r="2">
      <c r="A2" s="5" t="inlineStr">
        <is>
          <t>120</t>
        </is>
      </c>
      <c r="B2" s="5" t="inlineStr">
        <is>
          <t>column</t>
        </is>
      </c>
      <c r="C2" s="5" t="inlineStr">
        <is>
          <t>P1/120</t>
        </is>
      </c>
      <c r="D2" s="5">
        <f>COUNTIFS(Objects!$B$2:$B$947,$A2,Objects!$F$2:$F$947,$B2,Objects!$I$2:$I$947,$C2)</f>
        <v/>
      </c>
      <c r="E2" s="5">
        <f>_xlfn.MINIFS(Objects!$L$2:$L$947,Objects!$B$2:$B$947,$A2,Objects!$F$2:$F$947,$B2,Objects!$I$2:$I$947,$C2)</f>
        <v/>
      </c>
      <c r="F2" s="5">
        <f>_xlfn.MAXIFS(Objects!$L$2:$L$947,Objects!$B$2:$B$947,$A2,Objects!$F$2:$F$947,$B2,Objects!$I$2:$I$947,$C2)</f>
        <v/>
      </c>
      <c r="G2" s="5">
        <f>_xlfn.MINIFS(Objects!$M$2:$M$947,Objects!$B$2:$B$947,$A2,Objects!$F$2:$F$947,$B2,Objects!$I$2:$I$947,$C2)</f>
        <v/>
      </c>
      <c r="H2" s="5">
        <f>_xlfn.MAXIFS(Objects!$M$2:$M$947,Objects!$B$2:$B$947,$A2,Objects!$F$2:$F$947,$B2,Objects!$I$2:$I$947,$C2)</f>
        <v/>
      </c>
      <c r="I2" s="5">
        <f>IF(OR(C2="(none)",B2="raft",B2="sump_pit"),"n/a",IF(OR(B2="column",B2="shear_wall",B2="isolated_footing",B2="combined_footing"),IF(AND(F2-E2&lt;=3,H2-G2&lt;=3),"yes","no"),IF(H2-G2&lt;=3,"yes (thickness)","no (thickness)")))</f>
        <v/>
      </c>
      <c r="J2" s="6">
        <f>SUMIFS(Objects!$L$2:$L$947,Objects!$B$2:$B$947,$A2,Objects!$F$2:$F$947,$B2,Objects!$I$2:$I$947,$C2)/100</f>
        <v/>
      </c>
      <c r="K2" s="5">
        <f>COUNTIFS(Objects!$B$2:$B$947,$A2,Objects!$F$2:$F$947,$B2,Objects!$I$2:$I$947,$C2,Objects!$J$2:$J$947,"inferred*")</f>
        <v/>
      </c>
    </row>
    <row r="3">
      <c r="A3" s="5" t="inlineStr">
        <is>
          <t>120</t>
        </is>
      </c>
      <c r="B3" s="5" t="inlineStr">
        <is>
          <t>shear_wall</t>
        </is>
      </c>
      <c r="C3" s="5" t="inlineStr">
        <is>
          <t>V1/120</t>
        </is>
      </c>
      <c r="D3" s="5">
        <f>COUNTIFS(Objects!$B$2:$B$947,$A3,Objects!$F$2:$F$947,$B3,Objects!$I$2:$I$947,$C3)</f>
        <v/>
      </c>
      <c r="E3" s="5">
        <f>_xlfn.MINIFS(Objects!$L$2:$L$947,Objects!$B$2:$B$947,$A3,Objects!$F$2:$F$947,$B3,Objects!$I$2:$I$947,$C3)</f>
        <v/>
      </c>
      <c r="F3" s="5">
        <f>_xlfn.MAXIFS(Objects!$L$2:$L$947,Objects!$B$2:$B$947,$A3,Objects!$F$2:$F$947,$B3,Objects!$I$2:$I$947,$C3)</f>
        <v/>
      </c>
      <c r="G3" s="5">
        <f>_xlfn.MINIFS(Objects!$M$2:$M$947,Objects!$B$2:$B$947,$A3,Objects!$F$2:$F$947,$B3,Objects!$I$2:$I$947,$C3)</f>
        <v/>
      </c>
      <c r="H3" s="5">
        <f>_xlfn.MAXIFS(Objects!$M$2:$M$947,Objects!$B$2:$B$947,$A3,Objects!$F$2:$F$947,$B3,Objects!$I$2:$I$947,$C3)</f>
        <v/>
      </c>
      <c r="I3" s="5">
        <f>IF(OR(C3="(none)",B3="raft",B3="sump_pit"),"n/a",IF(OR(B3="column",B3="shear_wall",B3="isolated_footing",B3="combined_footing"),IF(AND(F3-E3&lt;=3,H3-G3&lt;=3),"yes","no"),IF(H3-G3&lt;=3,"yes (thickness)","no (thickness)")))</f>
        <v/>
      </c>
      <c r="J3" s="6">
        <f>SUMIFS(Objects!$L$2:$L$947,Objects!$B$2:$B$947,$A3,Objects!$F$2:$F$947,$B3,Objects!$I$2:$I$947,$C3)/100</f>
        <v/>
      </c>
      <c r="K3" s="5">
        <f>COUNTIFS(Objects!$B$2:$B$947,$A3,Objects!$F$2:$F$947,$B3,Objects!$I$2:$I$947,$C3,Objects!$J$2:$J$947,"inferred*")</f>
        <v/>
      </c>
    </row>
    <row r="4">
      <c r="A4" s="5" t="inlineStr">
        <is>
          <t>120</t>
        </is>
      </c>
      <c r="B4" s="5" t="inlineStr">
        <is>
          <t>shear_wall</t>
        </is>
      </c>
      <c r="C4" s="5" t="inlineStr">
        <is>
          <t>V2/120</t>
        </is>
      </c>
      <c r="D4" s="5">
        <f>COUNTIFS(Objects!$B$2:$B$947,$A4,Objects!$F$2:$F$947,$B4,Objects!$I$2:$I$947,$C4)</f>
        <v/>
      </c>
      <c r="E4" s="5">
        <f>_xlfn.MINIFS(Objects!$L$2:$L$947,Objects!$B$2:$B$947,$A4,Objects!$F$2:$F$947,$B4,Objects!$I$2:$I$947,$C4)</f>
        <v/>
      </c>
      <c r="F4" s="5">
        <f>_xlfn.MAXIFS(Objects!$L$2:$L$947,Objects!$B$2:$B$947,$A4,Objects!$F$2:$F$947,$B4,Objects!$I$2:$I$947,$C4)</f>
        <v/>
      </c>
      <c r="G4" s="5">
        <f>_xlfn.MINIFS(Objects!$M$2:$M$947,Objects!$B$2:$B$947,$A4,Objects!$F$2:$F$947,$B4,Objects!$I$2:$I$947,$C4)</f>
        <v/>
      </c>
      <c r="H4" s="5">
        <f>_xlfn.MAXIFS(Objects!$M$2:$M$947,Objects!$B$2:$B$947,$A4,Objects!$F$2:$F$947,$B4,Objects!$I$2:$I$947,$C4)</f>
        <v/>
      </c>
      <c r="I4" s="5">
        <f>IF(OR(C4="(none)",B4="raft",B4="sump_pit"),"n/a",IF(OR(B4="column",B4="shear_wall",B4="isolated_footing",B4="combined_footing"),IF(AND(F4-E4&lt;=3,H4-G4&lt;=3),"yes","no"),IF(H4-G4&lt;=3,"yes (thickness)","no (thickness)")))</f>
        <v/>
      </c>
      <c r="J4" s="6">
        <f>SUMIFS(Objects!$L$2:$L$947,Objects!$B$2:$B$947,$A4,Objects!$F$2:$F$947,$B4,Objects!$I$2:$I$947,$C4)/100</f>
        <v/>
      </c>
      <c r="K4" s="5">
        <f>COUNTIFS(Objects!$B$2:$B$947,$A4,Objects!$F$2:$F$947,$B4,Objects!$I$2:$I$947,$C4,Objects!$J$2:$J$947,"inferred*")</f>
        <v/>
      </c>
    </row>
    <row r="5">
      <c r="A5" s="5" t="inlineStr">
        <is>
          <t>120</t>
        </is>
      </c>
      <c r="B5" s="5" t="inlineStr">
        <is>
          <t>shear_wall</t>
        </is>
      </c>
      <c r="C5" s="5" t="inlineStr">
        <is>
          <t>V3/120</t>
        </is>
      </c>
      <c r="D5" s="5">
        <f>COUNTIFS(Objects!$B$2:$B$947,$A5,Objects!$F$2:$F$947,$B5,Objects!$I$2:$I$947,$C5)</f>
        <v/>
      </c>
      <c r="E5" s="5">
        <f>_xlfn.MINIFS(Objects!$L$2:$L$947,Objects!$B$2:$B$947,$A5,Objects!$F$2:$F$947,$B5,Objects!$I$2:$I$947,$C5)</f>
        <v/>
      </c>
      <c r="F5" s="5">
        <f>_xlfn.MAXIFS(Objects!$L$2:$L$947,Objects!$B$2:$B$947,$A5,Objects!$F$2:$F$947,$B5,Objects!$I$2:$I$947,$C5)</f>
        <v/>
      </c>
      <c r="G5" s="5">
        <f>_xlfn.MINIFS(Objects!$M$2:$M$947,Objects!$B$2:$B$947,$A5,Objects!$F$2:$F$947,$B5,Objects!$I$2:$I$947,$C5)</f>
        <v/>
      </c>
      <c r="H5" s="5">
        <f>_xlfn.MAXIFS(Objects!$M$2:$M$947,Objects!$B$2:$B$947,$A5,Objects!$F$2:$F$947,$B5,Objects!$I$2:$I$947,$C5)</f>
        <v/>
      </c>
      <c r="I5" s="5">
        <f>IF(OR(C5="(none)",B5="raft",B5="sump_pit"),"n/a",IF(OR(B5="column",B5="shear_wall",B5="isolated_footing",B5="combined_footing"),IF(AND(F5-E5&lt;=3,H5-G5&lt;=3),"yes","no"),IF(H5-G5&lt;=3,"yes (thickness)","no (thickness)")))</f>
        <v/>
      </c>
      <c r="J5" s="6">
        <f>SUMIFS(Objects!$L$2:$L$947,Objects!$B$2:$B$947,$A5,Objects!$F$2:$F$947,$B5,Objects!$I$2:$I$947,$C5)/100</f>
        <v/>
      </c>
      <c r="K5" s="5">
        <f>COUNTIFS(Objects!$B$2:$B$947,$A5,Objects!$F$2:$F$947,$B5,Objects!$I$2:$I$947,$C5,Objects!$J$2:$J$947,"inferred*")</f>
        <v/>
      </c>
    </row>
    <row r="6">
      <c r="A6" s="5" t="inlineStr">
        <is>
          <t>120</t>
        </is>
      </c>
      <c r="B6" s="5" t="inlineStr">
        <is>
          <t>shear_wall</t>
        </is>
      </c>
      <c r="C6" s="5" t="inlineStr">
        <is>
          <t>V4/120</t>
        </is>
      </c>
      <c r="D6" s="5">
        <f>COUNTIFS(Objects!$B$2:$B$947,$A6,Objects!$F$2:$F$947,$B6,Objects!$I$2:$I$947,$C6)</f>
        <v/>
      </c>
      <c r="E6" s="5">
        <f>_xlfn.MINIFS(Objects!$L$2:$L$947,Objects!$B$2:$B$947,$A6,Objects!$F$2:$F$947,$B6,Objects!$I$2:$I$947,$C6)</f>
        <v/>
      </c>
      <c r="F6" s="5">
        <f>_xlfn.MAXIFS(Objects!$L$2:$L$947,Objects!$B$2:$B$947,$A6,Objects!$F$2:$F$947,$B6,Objects!$I$2:$I$947,$C6)</f>
        <v/>
      </c>
      <c r="G6" s="5">
        <f>_xlfn.MINIFS(Objects!$M$2:$M$947,Objects!$B$2:$B$947,$A6,Objects!$F$2:$F$947,$B6,Objects!$I$2:$I$947,$C6)</f>
        <v/>
      </c>
      <c r="H6" s="5">
        <f>_xlfn.MAXIFS(Objects!$M$2:$M$947,Objects!$B$2:$B$947,$A6,Objects!$F$2:$F$947,$B6,Objects!$I$2:$I$947,$C6)</f>
        <v/>
      </c>
      <c r="I6" s="5">
        <f>IF(OR(C6="(none)",B6="raft",B6="sump_pit"),"n/a",IF(OR(B6="column",B6="shear_wall",B6="isolated_footing",B6="combined_footing"),IF(AND(F6-E6&lt;=3,H6-G6&lt;=3),"yes","no"),IF(H6-G6&lt;=3,"yes (thickness)","no (thickness)")))</f>
        <v/>
      </c>
      <c r="J6" s="6">
        <f>SUMIFS(Objects!$L$2:$L$947,Objects!$B$2:$B$947,$A6,Objects!$F$2:$F$947,$B6,Objects!$I$2:$I$947,$C6)/100</f>
        <v/>
      </c>
      <c r="K6" s="5">
        <f>COUNTIFS(Objects!$B$2:$B$947,$A6,Objects!$F$2:$F$947,$B6,Objects!$I$2:$I$947,$C6,Objects!$J$2:$J$947,"inferred*")</f>
        <v/>
      </c>
    </row>
    <row r="7">
      <c r="A7" s="5" t="inlineStr">
        <is>
          <t>120</t>
        </is>
      </c>
      <c r="B7" s="5" t="inlineStr">
        <is>
          <t>shear_wall</t>
        </is>
      </c>
      <c r="C7" s="5" t="inlineStr">
        <is>
          <t>V5/120</t>
        </is>
      </c>
      <c r="D7" s="5">
        <f>COUNTIFS(Objects!$B$2:$B$947,$A7,Objects!$F$2:$F$947,$B7,Objects!$I$2:$I$947,$C7)</f>
        <v/>
      </c>
      <c r="E7" s="5">
        <f>_xlfn.MINIFS(Objects!$L$2:$L$947,Objects!$B$2:$B$947,$A7,Objects!$F$2:$F$947,$B7,Objects!$I$2:$I$947,$C7)</f>
        <v/>
      </c>
      <c r="F7" s="5">
        <f>_xlfn.MAXIFS(Objects!$L$2:$L$947,Objects!$B$2:$B$947,$A7,Objects!$F$2:$F$947,$B7,Objects!$I$2:$I$947,$C7)</f>
        <v/>
      </c>
      <c r="G7" s="5">
        <f>_xlfn.MINIFS(Objects!$M$2:$M$947,Objects!$B$2:$B$947,$A7,Objects!$F$2:$F$947,$B7,Objects!$I$2:$I$947,$C7)</f>
        <v/>
      </c>
      <c r="H7" s="5">
        <f>_xlfn.MAXIFS(Objects!$M$2:$M$947,Objects!$B$2:$B$947,$A7,Objects!$F$2:$F$947,$B7,Objects!$I$2:$I$947,$C7)</f>
        <v/>
      </c>
      <c r="I7" s="5">
        <f>IF(OR(C7="(none)",B7="raft",B7="sump_pit"),"n/a",IF(OR(B7="column",B7="shear_wall",B7="isolated_footing",B7="combined_footing"),IF(AND(F7-E7&lt;=3,H7-G7&lt;=3),"yes","no"),IF(H7-G7&lt;=3,"yes (thickness)","no (thickness)")))</f>
        <v/>
      </c>
      <c r="J7" s="6">
        <f>SUMIFS(Objects!$L$2:$L$947,Objects!$B$2:$B$947,$A7,Objects!$F$2:$F$947,$B7,Objects!$I$2:$I$947,$C7)/100</f>
        <v/>
      </c>
      <c r="K7" s="5">
        <f>COUNTIFS(Objects!$B$2:$B$947,$A7,Objects!$F$2:$F$947,$B7,Objects!$I$2:$I$947,$C7,Objects!$J$2:$J$947,"inferred*")</f>
        <v/>
      </c>
    </row>
    <row r="8">
      <c r="A8" s="5" t="inlineStr">
        <is>
          <t>120</t>
        </is>
      </c>
      <c r="B8" s="5" t="inlineStr">
        <is>
          <t>shear_wall</t>
        </is>
      </c>
      <c r="C8" s="5" t="inlineStr">
        <is>
          <t>V8/120</t>
        </is>
      </c>
      <c r="D8" s="5">
        <f>COUNTIFS(Objects!$B$2:$B$947,$A8,Objects!$F$2:$F$947,$B8,Objects!$I$2:$I$947,$C8)</f>
        <v/>
      </c>
      <c r="E8" s="5">
        <f>_xlfn.MINIFS(Objects!$L$2:$L$947,Objects!$B$2:$B$947,$A8,Objects!$F$2:$F$947,$B8,Objects!$I$2:$I$947,$C8)</f>
        <v/>
      </c>
      <c r="F8" s="5">
        <f>_xlfn.MAXIFS(Objects!$L$2:$L$947,Objects!$B$2:$B$947,$A8,Objects!$F$2:$F$947,$B8,Objects!$I$2:$I$947,$C8)</f>
        <v/>
      </c>
      <c r="G8" s="5">
        <f>_xlfn.MINIFS(Objects!$M$2:$M$947,Objects!$B$2:$B$947,$A8,Objects!$F$2:$F$947,$B8,Objects!$I$2:$I$947,$C8)</f>
        <v/>
      </c>
      <c r="H8" s="5">
        <f>_xlfn.MAXIFS(Objects!$M$2:$M$947,Objects!$B$2:$B$947,$A8,Objects!$F$2:$F$947,$B8,Objects!$I$2:$I$947,$C8)</f>
        <v/>
      </c>
      <c r="I8" s="5">
        <f>IF(OR(C8="(none)",B8="raft",B8="sump_pit"),"n/a",IF(OR(B8="column",B8="shear_wall",B8="isolated_footing",B8="combined_footing"),IF(AND(F8-E8&lt;=3,H8-G8&lt;=3),"yes","no"),IF(H8-G8&lt;=3,"yes (thickness)","no (thickness)")))</f>
        <v/>
      </c>
      <c r="J8" s="6">
        <f>SUMIFS(Objects!$L$2:$L$947,Objects!$B$2:$B$947,$A8,Objects!$F$2:$F$947,$B8,Objects!$I$2:$I$947,$C8)/100</f>
        <v/>
      </c>
      <c r="K8" s="5">
        <f>COUNTIFS(Objects!$B$2:$B$947,$A8,Objects!$F$2:$F$947,$B8,Objects!$I$2:$I$947,$C8,Objects!$J$2:$J$947,"inferred*")</f>
        <v/>
      </c>
    </row>
    <row r="9">
      <c r="A9" s="5" t="inlineStr">
        <is>
          <t>120</t>
        </is>
      </c>
      <c r="B9" s="5" t="inlineStr">
        <is>
          <t>shear_wall</t>
        </is>
      </c>
      <c r="C9" s="5" t="inlineStr">
        <is>
          <t>V9/120</t>
        </is>
      </c>
      <c r="D9" s="5">
        <f>COUNTIFS(Objects!$B$2:$B$947,$A9,Objects!$F$2:$F$947,$B9,Objects!$I$2:$I$947,$C9)</f>
        <v/>
      </c>
      <c r="E9" s="5">
        <f>_xlfn.MINIFS(Objects!$L$2:$L$947,Objects!$B$2:$B$947,$A9,Objects!$F$2:$F$947,$B9,Objects!$I$2:$I$947,$C9)</f>
        <v/>
      </c>
      <c r="F9" s="5">
        <f>_xlfn.MAXIFS(Objects!$L$2:$L$947,Objects!$B$2:$B$947,$A9,Objects!$F$2:$F$947,$B9,Objects!$I$2:$I$947,$C9)</f>
        <v/>
      </c>
      <c r="G9" s="5">
        <f>_xlfn.MINIFS(Objects!$M$2:$M$947,Objects!$B$2:$B$947,$A9,Objects!$F$2:$F$947,$B9,Objects!$I$2:$I$947,$C9)</f>
        <v/>
      </c>
      <c r="H9" s="5">
        <f>_xlfn.MAXIFS(Objects!$M$2:$M$947,Objects!$B$2:$B$947,$A9,Objects!$F$2:$F$947,$B9,Objects!$I$2:$I$947,$C9)</f>
        <v/>
      </c>
      <c r="I9" s="5">
        <f>IF(OR(C9="(none)",B9="raft",B9="sump_pit"),"n/a",IF(OR(B9="column",B9="shear_wall",B9="isolated_footing",B9="combined_footing"),IF(AND(F9-E9&lt;=3,H9-G9&lt;=3),"yes","no"),IF(H9-G9&lt;=3,"yes (thickness)","no (thickness)")))</f>
        <v/>
      </c>
      <c r="J9" s="6">
        <f>SUMIFS(Objects!$L$2:$L$947,Objects!$B$2:$B$947,$A9,Objects!$F$2:$F$947,$B9,Objects!$I$2:$I$947,$C9)/100</f>
        <v/>
      </c>
      <c r="K9" s="5">
        <f>COUNTIFS(Objects!$B$2:$B$947,$A9,Objects!$F$2:$F$947,$B9,Objects!$I$2:$I$947,$C9,Objects!$J$2:$J$947,"inferred*")</f>
        <v/>
      </c>
    </row>
    <row r="10">
      <c r="A10" s="5" t="inlineStr">
        <is>
          <t>120</t>
        </is>
      </c>
      <c r="B10" s="5" t="inlineStr">
        <is>
          <t>core_wall</t>
        </is>
      </c>
      <c r="C10" s="5" t="inlineStr">
        <is>
          <t>(none)</t>
        </is>
      </c>
      <c r="D10" s="5">
        <f>COUNTIFS(Objects!$B$2:$B$947,$A10,Objects!$F$2:$F$947,$B10,Objects!$I$2:$I$947,$C10)</f>
        <v/>
      </c>
      <c r="E10" s="5">
        <f>_xlfn.MINIFS(Objects!$L$2:$L$947,Objects!$B$2:$B$947,$A10,Objects!$F$2:$F$947,$B10,Objects!$I$2:$I$947,$C10)</f>
        <v/>
      </c>
      <c r="F10" s="5">
        <f>_xlfn.MAXIFS(Objects!$L$2:$L$947,Objects!$B$2:$B$947,$A10,Objects!$F$2:$F$947,$B10,Objects!$I$2:$I$947,$C10)</f>
        <v/>
      </c>
      <c r="G10" s="5">
        <f>_xlfn.MINIFS(Objects!$M$2:$M$947,Objects!$B$2:$B$947,$A10,Objects!$F$2:$F$947,$B10,Objects!$I$2:$I$947,$C10)</f>
        <v/>
      </c>
      <c r="H10" s="5">
        <f>_xlfn.MAXIFS(Objects!$M$2:$M$947,Objects!$B$2:$B$947,$A10,Objects!$F$2:$F$947,$B10,Objects!$I$2:$I$947,$C10)</f>
        <v/>
      </c>
      <c r="I10" s="5">
        <f>IF(OR(C10="(none)",B10="raft",B10="sump_pit"),"n/a",IF(OR(B10="column",B10="shear_wall",B10="isolated_footing",B10="combined_footing"),IF(AND(F10-E10&lt;=3,H10-G10&lt;=3),"yes","no"),IF(H10-G10&lt;=3,"yes (thickness)","no (thickness)")))</f>
        <v/>
      </c>
      <c r="J10" s="6">
        <f>SUMIFS(Objects!$L$2:$L$947,Objects!$B$2:$B$947,$A10,Objects!$F$2:$F$947,$B10,Objects!$I$2:$I$947,$C10)/100</f>
        <v/>
      </c>
      <c r="K10" s="5">
        <f>COUNTIFS(Objects!$B$2:$B$947,$A10,Objects!$F$2:$F$947,$B10,Objects!$I$2:$I$947,$C10,Objects!$J$2:$J$947,"inferred*")</f>
        <v/>
      </c>
    </row>
    <row r="11">
      <c r="A11" s="5" t="inlineStr">
        <is>
          <t>120</t>
        </is>
      </c>
      <c r="B11" s="5" t="inlineStr">
        <is>
          <t>retaining_wall</t>
        </is>
      </c>
      <c r="C11" s="5" t="inlineStr">
        <is>
          <t>VP20</t>
        </is>
      </c>
      <c r="D11" s="5">
        <f>COUNTIFS(Objects!$B$2:$B$947,$A11,Objects!$F$2:$F$947,$B11,Objects!$I$2:$I$947,$C11)</f>
        <v/>
      </c>
      <c r="E11" s="5">
        <f>_xlfn.MINIFS(Objects!$L$2:$L$947,Objects!$B$2:$B$947,$A11,Objects!$F$2:$F$947,$B11,Objects!$I$2:$I$947,$C11)</f>
        <v/>
      </c>
      <c r="F11" s="5">
        <f>_xlfn.MAXIFS(Objects!$L$2:$L$947,Objects!$B$2:$B$947,$A11,Objects!$F$2:$F$947,$B11,Objects!$I$2:$I$947,$C11)</f>
        <v/>
      </c>
      <c r="G11" s="5">
        <f>_xlfn.MINIFS(Objects!$M$2:$M$947,Objects!$B$2:$B$947,$A11,Objects!$F$2:$F$947,$B11,Objects!$I$2:$I$947,$C11)</f>
        <v/>
      </c>
      <c r="H11" s="5">
        <f>_xlfn.MAXIFS(Objects!$M$2:$M$947,Objects!$B$2:$B$947,$A11,Objects!$F$2:$F$947,$B11,Objects!$I$2:$I$947,$C11)</f>
        <v/>
      </c>
      <c r="I11" s="5">
        <f>IF(OR(C11="(none)",B11="raft",B11="sump_pit"),"n/a",IF(OR(B11="column",B11="shear_wall",B11="isolated_footing",B11="combined_footing"),IF(AND(F11-E11&lt;=3,H11-G11&lt;=3),"yes","no"),IF(H11-G11&lt;=3,"yes (thickness)","no (thickness)")))</f>
        <v/>
      </c>
      <c r="J11" s="6">
        <f>SUMIFS(Objects!$L$2:$L$947,Objects!$B$2:$B$947,$A11,Objects!$F$2:$F$947,$B11,Objects!$I$2:$I$947,$C11)/100</f>
        <v/>
      </c>
      <c r="K11" s="5">
        <f>COUNTIFS(Objects!$B$2:$B$947,$A11,Objects!$F$2:$F$947,$B11,Objects!$I$2:$I$947,$C11,Objects!$J$2:$J$947,"inferred*")</f>
        <v/>
      </c>
    </row>
    <row r="12">
      <c r="A12" s="5" t="inlineStr">
        <is>
          <t>120</t>
        </is>
      </c>
      <c r="B12" s="5" t="inlineStr">
        <is>
          <t>retaining_wall</t>
        </is>
      </c>
      <c r="C12" s="5" t="inlineStr">
        <is>
          <t>VP25</t>
        </is>
      </c>
      <c r="D12" s="5">
        <f>COUNTIFS(Objects!$B$2:$B$947,$A12,Objects!$F$2:$F$947,$B12,Objects!$I$2:$I$947,$C12)</f>
        <v/>
      </c>
      <c r="E12" s="5">
        <f>_xlfn.MINIFS(Objects!$L$2:$L$947,Objects!$B$2:$B$947,$A12,Objects!$F$2:$F$947,$B12,Objects!$I$2:$I$947,$C12)</f>
        <v/>
      </c>
      <c r="F12" s="5">
        <f>_xlfn.MAXIFS(Objects!$L$2:$L$947,Objects!$B$2:$B$947,$A12,Objects!$F$2:$F$947,$B12,Objects!$I$2:$I$947,$C12)</f>
        <v/>
      </c>
      <c r="G12" s="5">
        <f>_xlfn.MINIFS(Objects!$M$2:$M$947,Objects!$B$2:$B$947,$A12,Objects!$F$2:$F$947,$B12,Objects!$I$2:$I$947,$C12)</f>
        <v/>
      </c>
      <c r="H12" s="5">
        <f>_xlfn.MAXIFS(Objects!$M$2:$M$947,Objects!$B$2:$B$947,$A12,Objects!$F$2:$F$947,$B12,Objects!$I$2:$I$947,$C12)</f>
        <v/>
      </c>
      <c r="I12" s="5">
        <f>IF(OR(C12="(none)",B12="raft",B12="sump_pit"),"n/a",IF(OR(B12="column",B12="shear_wall",B12="isolated_footing",B12="combined_footing"),IF(AND(F12-E12&lt;=3,H12-G12&lt;=3),"yes","no"),IF(H12-G12&lt;=3,"yes (thickness)","no (thickness)")))</f>
        <v/>
      </c>
      <c r="J12" s="6">
        <f>SUMIFS(Objects!$L$2:$L$947,Objects!$B$2:$B$947,$A12,Objects!$F$2:$F$947,$B12,Objects!$I$2:$I$947,$C12)/100</f>
        <v/>
      </c>
      <c r="K12" s="5">
        <f>COUNTIFS(Objects!$B$2:$B$947,$A12,Objects!$F$2:$F$947,$B12,Objects!$I$2:$I$947,$C12,Objects!$J$2:$J$947,"inferred*")</f>
        <v/>
      </c>
    </row>
    <row r="13">
      <c r="A13" s="5" t="inlineStr">
        <is>
          <t>120</t>
        </is>
      </c>
      <c r="B13" s="5" t="inlineStr">
        <is>
          <t>isolated_footing</t>
        </is>
      </c>
      <c r="C13" s="5" t="inlineStr">
        <is>
          <t>S1</t>
        </is>
      </c>
      <c r="D13" s="5">
        <f>COUNTIFS(Objects!$B$2:$B$947,$A13,Objects!$F$2:$F$947,$B13,Objects!$I$2:$I$947,$C13)</f>
        <v/>
      </c>
      <c r="E13" s="5">
        <f>_xlfn.MINIFS(Objects!$L$2:$L$947,Objects!$B$2:$B$947,$A13,Objects!$F$2:$F$947,$B13,Objects!$I$2:$I$947,$C13)</f>
        <v/>
      </c>
      <c r="F13" s="5">
        <f>_xlfn.MAXIFS(Objects!$L$2:$L$947,Objects!$B$2:$B$947,$A13,Objects!$F$2:$F$947,$B13,Objects!$I$2:$I$947,$C13)</f>
        <v/>
      </c>
      <c r="G13" s="5">
        <f>_xlfn.MINIFS(Objects!$M$2:$M$947,Objects!$B$2:$B$947,$A13,Objects!$F$2:$F$947,$B13,Objects!$I$2:$I$947,$C13)</f>
        <v/>
      </c>
      <c r="H13" s="5">
        <f>_xlfn.MAXIFS(Objects!$M$2:$M$947,Objects!$B$2:$B$947,$A13,Objects!$F$2:$F$947,$B13,Objects!$I$2:$I$947,$C13)</f>
        <v/>
      </c>
      <c r="I13" s="5">
        <f>IF(OR(C13="(none)",B13="raft",B13="sump_pit"),"n/a",IF(OR(B13="column",B13="shear_wall",B13="isolated_footing",B13="combined_footing"),IF(AND(F13-E13&lt;=3,H13-G13&lt;=3),"yes","no"),IF(H13-G13&lt;=3,"yes (thickness)","no (thickness)")))</f>
        <v/>
      </c>
      <c r="J13" s="6">
        <f>SUMIFS(Objects!$L$2:$L$947,Objects!$B$2:$B$947,$A13,Objects!$F$2:$F$947,$B13,Objects!$I$2:$I$947,$C13)/100</f>
        <v/>
      </c>
      <c r="K13" s="5">
        <f>COUNTIFS(Objects!$B$2:$B$947,$A13,Objects!$F$2:$F$947,$B13,Objects!$I$2:$I$947,$C13,Objects!$J$2:$J$947,"inferred*")</f>
        <v/>
      </c>
    </row>
    <row r="14">
      <c r="A14" s="5" t="inlineStr">
        <is>
          <t>120</t>
        </is>
      </c>
      <c r="B14" s="5" t="inlineStr">
        <is>
          <t>isolated_footing</t>
        </is>
      </c>
      <c r="C14" s="5" t="inlineStr">
        <is>
          <t>S2</t>
        </is>
      </c>
      <c r="D14" s="5">
        <f>COUNTIFS(Objects!$B$2:$B$947,$A14,Objects!$F$2:$F$947,$B14,Objects!$I$2:$I$947,$C14)</f>
        <v/>
      </c>
      <c r="E14" s="5">
        <f>_xlfn.MINIFS(Objects!$L$2:$L$947,Objects!$B$2:$B$947,$A14,Objects!$F$2:$F$947,$B14,Objects!$I$2:$I$947,$C14)</f>
        <v/>
      </c>
      <c r="F14" s="5">
        <f>_xlfn.MAXIFS(Objects!$L$2:$L$947,Objects!$B$2:$B$947,$A14,Objects!$F$2:$F$947,$B14,Objects!$I$2:$I$947,$C14)</f>
        <v/>
      </c>
      <c r="G14" s="5">
        <f>_xlfn.MINIFS(Objects!$M$2:$M$947,Objects!$B$2:$B$947,$A14,Objects!$F$2:$F$947,$B14,Objects!$I$2:$I$947,$C14)</f>
        <v/>
      </c>
      <c r="H14" s="5">
        <f>_xlfn.MAXIFS(Objects!$M$2:$M$947,Objects!$B$2:$B$947,$A14,Objects!$F$2:$F$947,$B14,Objects!$I$2:$I$947,$C14)</f>
        <v/>
      </c>
      <c r="I14" s="5">
        <f>IF(OR(C14="(none)",B14="raft",B14="sump_pit"),"n/a",IF(OR(B14="column",B14="shear_wall",B14="isolated_footing",B14="combined_footing"),IF(AND(F14-E14&lt;=3,H14-G14&lt;=3),"yes","no"),IF(H14-G14&lt;=3,"yes (thickness)","no (thickness)")))</f>
        <v/>
      </c>
      <c r="J14" s="6">
        <f>SUMIFS(Objects!$L$2:$L$947,Objects!$B$2:$B$947,$A14,Objects!$F$2:$F$947,$B14,Objects!$I$2:$I$947,$C14)/100</f>
        <v/>
      </c>
      <c r="K14" s="5">
        <f>COUNTIFS(Objects!$B$2:$B$947,$A14,Objects!$F$2:$F$947,$B14,Objects!$I$2:$I$947,$C14,Objects!$J$2:$J$947,"inferred*")</f>
        <v/>
      </c>
    </row>
    <row r="15">
      <c r="A15" s="5" t="inlineStr">
        <is>
          <t>120</t>
        </is>
      </c>
      <c r="B15" s="5" t="inlineStr">
        <is>
          <t>isolated_footing</t>
        </is>
      </c>
      <c r="C15" s="5" t="inlineStr">
        <is>
          <t>S3</t>
        </is>
      </c>
      <c r="D15" s="5">
        <f>COUNTIFS(Objects!$B$2:$B$947,$A15,Objects!$F$2:$F$947,$B15,Objects!$I$2:$I$947,$C15)</f>
        <v/>
      </c>
      <c r="E15" s="5">
        <f>_xlfn.MINIFS(Objects!$L$2:$L$947,Objects!$B$2:$B$947,$A15,Objects!$F$2:$F$947,$B15,Objects!$I$2:$I$947,$C15)</f>
        <v/>
      </c>
      <c r="F15" s="5">
        <f>_xlfn.MAXIFS(Objects!$L$2:$L$947,Objects!$B$2:$B$947,$A15,Objects!$F$2:$F$947,$B15,Objects!$I$2:$I$947,$C15)</f>
        <v/>
      </c>
      <c r="G15" s="5">
        <f>_xlfn.MINIFS(Objects!$M$2:$M$947,Objects!$B$2:$B$947,$A15,Objects!$F$2:$F$947,$B15,Objects!$I$2:$I$947,$C15)</f>
        <v/>
      </c>
      <c r="H15" s="5">
        <f>_xlfn.MAXIFS(Objects!$M$2:$M$947,Objects!$B$2:$B$947,$A15,Objects!$F$2:$F$947,$B15,Objects!$I$2:$I$947,$C15)</f>
        <v/>
      </c>
      <c r="I15" s="5">
        <f>IF(OR(C15="(none)",B15="raft",B15="sump_pit"),"n/a",IF(OR(B15="column",B15="shear_wall",B15="isolated_footing",B15="combined_footing"),IF(AND(F15-E15&lt;=3,H15-G15&lt;=3),"yes","no"),IF(H15-G15&lt;=3,"yes (thickness)","no (thickness)")))</f>
        <v/>
      </c>
      <c r="J15" s="6">
        <f>SUMIFS(Objects!$L$2:$L$947,Objects!$B$2:$B$947,$A15,Objects!$F$2:$F$947,$B15,Objects!$I$2:$I$947,$C15)/100</f>
        <v/>
      </c>
      <c r="K15" s="5">
        <f>COUNTIFS(Objects!$B$2:$B$947,$A15,Objects!$F$2:$F$947,$B15,Objects!$I$2:$I$947,$C15,Objects!$J$2:$J$947,"inferred*")</f>
        <v/>
      </c>
    </row>
    <row r="16">
      <c r="A16" s="5" t="inlineStr">
        <is>
          <t>120</t>
        </is>
      </c>
      <c r="B16" s="5" t="inlineStr">
        <is>
          <t>isolated_footing</t>
        </is>
      </c>
      <c r="C16" s="5" t="inlineStr">
        <is>
          <t>S5</t>
        </is>
      </c>
      <c r="D16" s="5">
        <f>COUNTIFS(Objects!$B$2:$B$947,$A16,Objects!$F$2:$F$947,$B16,Objects!$I$2:$I$947,$C16)</f>
        <v/>
      </c>
      <c r="E16" s="5">
        <f>_xlfn.MINIFS(Objects!$L$2:$L$947,Objects!$B$2:$B$947,$A16,Objects!$F$2:$F$947,$B16,Objects!$I$2:$I$947,$C16)</f>
        <v/>
      </c>
      <c r="F16" s="5">
        <f>_xlfn.MAXIFS(Objects!$L$2:$L$947,Objects!$B$2:$B$947,$A16,Objects!$F$2:$F$947,$B16,Objects!$I$2:$I$947,$C16)</f>
        <v/>
      </c>
      <c r="G16" s="5">
        <f>_xlfn.MINIFS(Objects!$M$2:$M$947,Objects!$B$2:$B$947,$A16,Objects!$F$2:$F$947,$B16,Objects!$I$2:$I$947,$C16)</f>
        <v/>
      </c>
      <c r="H16" s="5">
        <f>_xlfn.MAXIFS(Objects!$M$2:$M$947,Objects!$B$2:$B$947,$A16,Objects!$F$2:$F$947,$B16,Objects!$I$2:$I$947,$C16)</f>
        <v/>
      </c>
      <c r="I16" s="5">
        <f>IF(OR(C16="(none)",B16="raft",B16="sump_pit"),"n/a",IF(OR(B16="column",B16="shear_wall",B16="isolated_footing",B16="combined_footing"),IF(AND(F16-E16&lt;=3,H16-G16&lt;=3),"yes","no"),IF(H16-G16&lt;=3,"yes (thickness)","no (thickness)")))</f>
        <v/>
      </c>
      <c r="J16" s="6">
        <f>SUMIFS(Objects!$L$2:$L$947,Objects!$B$2:$B$947,$A16,Objects!$F$2:$F$947,$B16,Objects!$I$2:$I$947,$C16)/100</f>
        <v/>
      </c>
      <c r="K16" s="5">
        <f>COUNTIFS(Objects!$B$2:$B$947,$A16,Objects!$F$2:$F$947,$B16,Objects!$I$2:$I$947,$C16,Objects!$J$2:$J$947,"inferred*")</f>
        <v/>
      </c>
    </row>
    <row r="17">
      <c r="A17" s="5" t="inlineStr">
        <is>
          <t>120</t>
        </is>
      </c>
      <c r="B17" s="5" t="inlineStr">
        <is>
          <t>isolated_footing</t>
        </is>
      </c>
      <c r="C17" s="5" t="inlineStr">
        <is>
          <t>S6</t>
        </is>
      </c>
      <c r="D17" s="5">
        <f>COUNTIFS(Objects!$B$2:$B$947,$A17,Objects!$F$2:$F$947,$B17,Objects!$I$2:$I$947,$C17)</f>
        <v/>
      </c>
      <c r="E17" s="5">
        <f>_xlfn.MINIFS(Objects!$L$2:$L$947,Objects!$B$2:$B$947,$A17,Objects!$F$2:$F$947,$B17,Objects!$I$2:$I$947,$C17)</f>
        <v/>
      </c>
      <c r="F17" s="5">
        <f>_xlfn.MAXIFS(Objects!$L$2:$L$947,Objects!$B$2:$B$947,$A17,Objects!$F$2:$F$947,$B17,Objects!$I$2:$I$947,$C17)</f>
        <v/>
      </c>
      <c r="G17" s="5">
        <f>_xlfn.MINIFS(Objects!$M$2:$M$947,Objects!$B$2:$B$947,$A17,Objects!$F$2:$F$947,$B17,Objects!$I$2:$I$947,$C17)</f>
        <v/>
      </c>
      <c r="H17" s="5">
        <f>_xlfn.MAXIFS(Objects!$M$2:$M$947,Objects!$B$2:$B$947,$A17,Objects!$F$2:$F$947,$B17,Objects!$I$2:$I$947,$C17)</f>
        <v/>
      </c>
      <c r="I17" s="5">
        <f>IF(OR(C17="(none)",B17="raft",B17="sump_pit"),"n/a",IF(OR(B17="column",B17="shear_wall",B17="isolated_footing",B17="combined_footing"),IF(AND(F17-E17&lt;=3,H17-G17&lt;=3),"yes","no"),IF(H17-G17&lt;=3,"yes (thickness)","no (thickness)")))</f>
        <v/>
      </c>
      <c r="J17" s="6">
        <f>SUMIFS(Objects!$L$2:$L$947,Objects!$B$2:$B$947,$A17,Objects!$F$2:$F$947,$B17,Objects!$I$2:$I$947,$C17)/100</f>
        <v/>
      </c>
      <c r="K17" s="5">
        <f>COUNTIFS(Objects!$B$2:$B$947,$A17,Objects!$F$2:$F$947,$B17,Objects!$I$2:$I$947,$C17,Objects!$J$2:$J$947,"inferred*")</f>
        <v/>
      </c>
    </row>
    <row r="18">
      <c r="A18" s="5" t="inlineStr">
        <is>
          <t>120</t>
        </is>
      </c>
      <c r="B18" s="5" t="inlineStr">
        <is>
          <t>isolated_footing</t>
        </is>
      </c>
      <c r="C18" s="5" t="inlineStr">
        <is>
          <t>S7</t>
        </is>
      </c>
      <c r="D18" s="5">
        <f>COUNTIFS(Objects!$B$2:$B$947,$A18,Objects!$F$2:$F$947,$B18,Objects!$I$2:$I$947,$C18)</f>
        <v/>
      </c>
      <c r="E18" s="5">
        <f>_xlfn.MINIFS(Objects!$L$2:$L$947,Objects!$B$2:$B$947,$A18,Objects!$F$2:$F$947,$B18,Objects!$I$2:$I$947,$C18)</f>
        <v/>
      </c>
      <c r="F18" s="5">
        <f>_xlfn.MAXIFS(Objects!$L$2:$L$947,Objects!$B$2:$B$947,$A18,Objects!$F$2:$F$947,$B18,Objects!$I$2:$I$947,$C18)</f>
        <v/>
      </c>
      <c r="G18" s="5">
        <f>_xlfn.MINIFS(Objects!$M$2:$M$947,Objects!$B$2:$B$947,$A18,Objects!$F$2:$F$947,$B18,Objects!$I$2:$I$947,$C18)</f>
        <v/>
      </c>
      <c r="H18" s="5">
        <f>_xlfn.MAXIFS(Objects!$M$2:$M$947,Objects!$B$2:$B$947,$A18,Objects!$F$2:$F$947,$B18,Objects!$I$2:$I$947,$C18)</f>
        <v/>
      </c>
      <c r="I18" s="5">
        <f>IF(OR(C18="(none)",B18="raft",B18="sump_pit"),"n/a",IF(OR(B18="column",B18="shear_wall",B18="isolated_footing",B18="combined_footing"),IF(AND(F18-E18&lt;=3,H18-G18&lt;=3),"yes","no"),IF(H18-G18&lt;=3,"yes (thickness)","no (thickness)")))</f>
        <v/>
      </c>
      <c r="J18" s="6">
        <f>SUMIFS(Objects!$L$2:$L$947,Objects!$B$2:$B$947,$A18,Objects!$F$2:$F$947,$B18,Objects!$I$2:$I$947,$C18)/100</f>
        <v/>
      </c>
      <c r="K18" s="5">
        <f>COUNTIFS(Objects!$B$2:$B$947,$A18,Objects!$F$2:$F$947,$B18,Objects!$I$2:$I$947,$C18,Objects!$J$2:$J$947,"inferred*")</f>
        <v/>
      </c>
    </row>
    <row r="19">
      <c r="A19" s="5" t="inlineStr">
        <is>
          <t>120</t>
        </is>
      </c>
      <c r="B19" s="5" t="inlineStr">
        <is>
          <t>combined_footing</t>
        </is>
      </c>
      <c r="C19" s="5" t="inlineStr">
        <is>
          <t>SC3</t>
        </is>
      </c>
      <c r="D19" s="5">
        <f>COUNTIFS(Objects!$B$2:$B$947,$A19,Objects!$F$2:$F$947,$B19,Objects!$I$2:$I$947,$C19)</f>
        <v/>
      </c>
      <c r="E19" s="5">
        <f>_xlfn.MINIFS(Objects!$L$2:$L$947,Objects!$B$2:$B$947,$A19,Objects!$F$2:$F$947,$B19,Objects!$I$2:$I$947,$C19)</f>
        <v/>
      </c>
      <c r="F19" s="5">
        <f>_xlfn.MAXIFS(Objects!$L$2:$L$947,Objects!$B$2:$B$947,$A19,Objects!$F$2:$F$947,$B19,Objects!$I$2:$I$947,$C19)</f>
        <v/>
      </c>
      <c r="G19" s="5">
        <f>_xlfn.MINIFS(Objects!$M$2:$M$947,Objects!$B$2:$B$947,$A19,Objects!$F$2:$F$947,$B19,Objects!$I$2:$I$947,$C19)</f>
        <v/>
      </c>
      <c r="H19" s="5">
        <f>_xlfn.MAXIFS(Objects!$M$2:$M$947,Objects!$B$2:$B$947,$A19,Objects!$F$2:$F$947,$B19,Objects!$I$2:$I$947,$C19)</f>
        <v/>
      </c>
      <c r="I19" s="5">
        <f>IF(OR(C19="(none)",B19="raft",B19="sump_pit"),"n/a",IF(OR(B19="column",B19="shear_wall",B19="isolated_footing",B19="combined_footing"),IF(AND(F19-E19&lt;=3,H19-G19&lt;=3),"yes","no"),IF(H19-G19&lt;=3,"yes (thickness)","no (thickness)")))</f>
        <v/>
      </c>
      <c r="J19" s="6">
        <f>SUMIFS(Objects!$L$2:$L$947,Objects!$B$2:$B$947,$A19,Objects!$F$2:$F$947,$B19,Objects!$I$2:$I$947,$C19)/100</f>
        <v/>
      </c>
      <c r="K19" s="5">
        <f>COUNTIFS(Objects!$B$2:$B$947,$A19,Objects!$F$2:$F$947,$B19,Objects!$I$2:$I$947,$C19,Objects!$J$2:$J$947,"inferred*")</f>
        <v/>
      </c>
    </row>
    <row r="20">
      <c r="A20" s="5" t="inlineStr">
        <is>
          <t>120</t>
        </is>
      </c>
      <c r="B20" s="5" t="inlineStr">
        <is>
          <t>strip_footing</t>
        </is>
      </c>
      <c r="C20" s="5" t="inlineStr">
        <is>
          <t>(none)</t>
        </is>
      </c>
      <c r="D20" s="5">
        <f>COUNTIFS(Objects!$B$2:$B$947,$A20,Objects!$F$2:$F$947,$B20,Objects!$I$2:$I$947,$C20)</f>
        <v/>
      </c>
      <c r="E20" s="5">
        <f>_xlfn.MINIFS(Objects!$L$2:$L$947,Objects!$B$2:$B$947,$A20,Objects!$F$2:$F$947,$B20,Objects!$I$2:$I$947,$C20)</f>
        <v/>
      </c>
      <c r="F20" s="5">
        <f>_xlfn.MAXIFS(Objects!$L$2:$L$947,Objects!$B$2:$B$947,$A20,Objects!$F$2:$F$947,$B20,Objects!$I$2:$I$947,$C20)</f>
        <v/>
      </c>
      <c r="G20" s="5">
        <f>_xlfn.MINIFS(Objects!$M$2:$M$947,Objects!$B$2:$B$947,$A20,Objects!$F$2:$F$947,$B20,Objects!$I$2:$I$947,$C20)</f>
        <v/>
      </c>
      <c r="H20" s="5">
        <f>_xlfn.MAXIFS(Objects!$M$2:$M$947,Objects!$B$2:$B$947,$A20,Objects!$F$2:$F$947,$B20,Objects!$I$2:$I$947,$C20)</f>
        <v/>
      </c>
      <c r="I20" s="5">
        <f>IF(OR(C20="(none)",B20="raft",B20="sump_pit"),"n/a",IF(OR(B20="column",B20="shear_wall",B20="isolated_footing",B20="combined_footing"),IF(AND(F20-E20&lt;=3,H20-G20&lt;=3),"yes","no"),IF(H20-G20&lt;=3,"yes (thickness)","no (thickness)")))</f>
        <v/>
      </c>
      <c r="J20" s="6">
        <f>SUMIFS(Objects!$L$2:$L$947,Objects!$B$2:$B$947,$A20,Objects!$F$2:$F$947,$B20,Objects!$I$2:$I$947,$C20)/100</f>
        <v/>
      </c>
      <c r="K20" s="5">
        <f>COUNTIFS(Objects!$B$2:$B$947,$A20,Objects!$F$2:$F$947,$B20,Objects!$I$2:$I$947,$C20,Objects!$J$2:$J$947,"inferred*")</f>
        <v/>
      </c>
    </row>
    <row r="21">
      <c r="A21" s="5" t="inlineStr">
        <is>
          <t>120</t>
        </is>
      </c>
      <c r="B21" s="5" t="inlineStr">
        <is>
          <t>strip_footing</t>
        </is>
      </c>
      <c r="C21" s="5" t="inlineStr">
        <is>
          <t>SF1</t>
        </is>
      </c>
      <c r="D21" s="5">
        <f>COUNTIFS(Objects!$B$2:$B$947,$A21,Objects!$F$2:$F$947,$B21,Objects!$I$2:$I$947,$C21)</f>
        <v/>
      </c>
      <c r="E21" s="5">
        <f>_xlfn.MINIFS(Objects!$L$2:$L$947,Objects!$B$2:$B$947,$A21,Objects!$F$2:$F$947,$B21,Objects!$I$2:$I$947,$C21)</f>
        <v/>
      </c>
      <c r="F21" s="5">
        <f>_xlfn.MAXIFS(Objects!$L$2:$L$947,Objects!$B$2:$B$947,$A21,Objects!$F$2:$F$947,$B21,Objects!$I$2:$I$947,$C21)</f>
        <v/>
      </c>
      <c r="G21" s="5">
        <f>_xlfn.MINIFS(Objects!$M$2:$M$947,Objects!$B$2:$B$947,$A21,Objects!$F$2:$F$947,$B21,Objects!$I$2:$I$947,$C21)</f>
        <v/>
      </c>
      <c r="H21" s="5">
        <f>_xlfn.MAXIFS(Objects!$M$2:$M$947,Objects!$B$2:$B$947,$A21,Objects!$F$2:$F$947,$B21,Objects!$I$2:$I$947,$C21)</f>
        <v/>
      </c>
      <c r="I21" s="5">
        <f>IF(OR(C21="(none)",B21="raft",B21="sump_pit"),"n/a",IF(OR(B21="column",B21="shear_wall",B21="isolated_footing",B21="combined_footing"),IF(AND(F21-E21&lt;=3,H21-G21&lt;=3),"yes","no"),IF(H21-G21&lt;=3,"yes (thickness)","no (thickness)")))</f>
        <v/>
      </c>
      <c r="J21" s="6">
        <f>SUMIFS(Objects!$L$2:$L$947,Objects!$B$2:$B$947,$A21,Objects!$F$2:$F$947,$B21,Objects!$I$2:$I$947,$C21)/100</f>
        <v/>
      </c>
      <c r="K21" s="5">
        <f>COUNTIFS(Objects!$B$2:$B$947,$A21,Objects!$F$2:$F$947,$B21,Objects!$I$2:$I$947,$C21,Objects!$J$2:$J$947,"inferred*")</f>
        <v/>
      </c>
    </row>
    <row r="22">
      <c r="A22" s="5" t="inlineStr">
        <is>
          <t>120</t>
        </is>
      </c>
      <c r="B22" s="5" t="inlineStr">
        <is>
          <t>grade_beam</t>
        </is>
      </c>
      <c r="C22" s="5" t="inlineStr">
        <is>
          <t>LG40x15</t>
        </is>
      </c>
      <c r="D22" s="5">
        <f>COUNTIFS(Objects!$B$2:$B$947,$A22,Objects!$F$2:$F$947,$B22,Objects!$I$2:$I$947,$C22)</f>
        <v/>
      </c>
      <c r="E22" s="5">
        <f>_xlfn.MINIFS(Objects!$L$2:$L$947,Objects!$B$2:$B$947,$A22,Objects!$F$2:$F$947,$B22,Objects!$I$2:$I$947,$C22)</f>
        <v/>
      </c>
      <c r="F22" s="5">
        <f>_xlfn.MAXIFS(Objects!$L$2:$L$947,Objects!$B$2:$B$947,$A22,Objects!$F$2:$F$947,$B22,Objects!$I$2:$I$947,$C22)</f>
        <v/>
      </c>
      <c r="G22" s="5">
        <f>_xlfn.MINIFS(Objects!$M$2:$M$947,Objects!$B$2:$B$947,$A22,Objects!$F$2:$F$947,$B22,Objects!$I$2:$I$947,$C22)</f>
        <v/>
      </c>
      <c r="H22" s="5">
        <f>_xlfn.MAXIFS(Objects!$M$2:$M$947,Objects!$B$2:$B$947,$A22,Objects!$F$2:$F$947,$B22,Objects!$I$2:$I$947,$C22)</f>
        <v/>
      </c>
      <c r="I22" s="5">
        <f>IF(OR(C22="(none)",B22="raft",B22="sump_pit"),"n/a",IF(OR(B22="column",B22="shear_wall",B22="isolated_footing",B22="combined_footing"),IF(AND(F22-E22&lt;=3,H22-G22&lt;=3),"yes","no"),IF(H22-G22&lt;=3,"yes (thickness)","no (thickness)")))</f>
        <v/>
      </c>
      <c r="J22" s="6">
        <f>SUMIFS(Objects!$L$2:$L$947,Objects!$B$2:$B$947,$A22,Objects!$F$2:$F$947,$B22,Objects!$I$2:$I$947,$C22)/100</f>
        <v/>
      </c>
      <c r="K22" s="5">
        <f>COUNTIFS(Objects!$B$2:$B$947,$A22,Objects!$F$2:$F$947,$B22,Objects!$I$2:$I$947,$C22,Objects!$J$2:$J$947,"inferred*")</f>
        <v/>
      </c>
    </row>
    <row r="23">
      <c r="A23" s="5" t="inlineStr">
        <is>
          <t>120</t>
        </is>
      </c>
      <c r="B23" s="5" t="inlineStr">
        <is>
          <t>raft</t>
        </is>
      </c>
      <c r="C23" s="5" t="inlineStr">
        <is>
          <t>Radier 110</t>
        </is>
      </c>
      <c r="D23" s="5">
        <f>COUNTIFS(Objects!$B$2:$B$947,$A23,Objects!$F$2:$F$947,$B23,Objects!$I$2:$I$947,$C23)</f>
        <v/>
      </c>
      <c r="E23" s="5">
        <f>_xlfn.MINIFS(Objects!$L$2:$L$947,Objects!$B$2:$B$947,$A23,Objects!$F$2:$F$947,$B23,Objects!$I$2:$I$947,$C23)</f>
        <v/>
      </c>
      <c r="F23" s="5">
        <f>_xlfn.MAXIFS(Objects!$L$2:$L$947,Objects!$B$2:$B$947,$A23,Objects!$F$2:$F$947,$B23,Objects!$I$2:$I$947,$C23)</f>
        <v/>
      </c>
      <c r="G23" s="5">
        <f>_xlfn.MINIFS(Objects!$M$2:$M$947,Objects!$B$2:$B$947,$A23,Objects!$F$2:$F$947,$B23,Objects!$I$2:$I$947,$C23)</f>
        <v/>
      </c>
      <c r="H23" s="5">
        <f>_xlfn.MAXIFS(Objects!$M$2:$M$947,Objects!$B$2:$B$947,$A23,Objects!$F$2:$F$947,$B23,Objects!$I$2:$I$947,$C23)</f>
        <v/>
      </c>
      <c r="I23" s="5">
        <f>IF(OR(C23="(none)",B23="raft",B23="sump_pit"),"n/a",IF(OR(B23="column",B23="shear_wall",B23="isolated_footing",B23="combined_footing"),IF(AND(F23-E23&lt;=3,H23-G23&lt;=3),"yes","no"),IF(H23-G23&lt;=3,"yes (thickness)","no (thickness)")))</f>
        <v/>
      </c>
      <c r="J23" s="6">
        <f>SUMIFS(Objects!$L$2:$L$947,Objects!$B$2:$B$947,$A23,Objects!$F$2:$F$947,$B23,Objects!$I$2:$I$947,$C23)/100</f>
        <v/>
      </c>
      <c r="K23" s="5">
        <f>COUNTIFS(Objects!$B$2:$B$947,$A23,Objects!$F$2:$F$947,$B23,Objects!$I$2:$I$947,$C23,Objects!$J$2:$J$947,"inferred*")</f>
        <v/>
      </c>
    </row>
    <row r="24">
      <c r="A24" s="5" t="inlineStr">
        <is>
          <t>120</t>
        </is>
      </c>
      <c r="B24" s="5" t="inlineStr">
        <is>
          <t>raft</t>
        </is>
      </c>
      <c r="C24" s="5" t="inlineStr">
        <is>
          <t>Radier 90</t>
        </is>
      </c>
      <c r="D24" s="5">
        <f>COUNTIFS(Objects!$B$2:$B$947,$A24,Objects!$F$2:$F$947,$B24,Objects!$I$2:$I$947,$C24)</f>
        <v/>
      </c>
      <c r="E24" s="5">
        <f>_xlfn.MINIFS(Objects!$L$2:$L$947,Objects!$B$2:$B$947,$A24,Objects!$F$2:$F$947,$B24,Objects!$I$2:$I$947,$C24)</f>
        <v/>
      </c>
      <c r="F24" s="5">
        <f>_xlfn.MAXIFS(Objects!$L$2:$L$947,Objects!$B$2:$B$947,$A24,Objects!$F$2:$F$947,$B24,Objects!$I$2:$I$947,$C24)</f>
        <v/>
      </c>
      <c r="G24" s="5">
        <f>_xlfn.MINIFS(Objects!$M$2:$M$947,Objects!$B$2:$B$947,$A24,Objects!$F$2:$F$947,$B24,Objects!$I$2:$I$947,$C24)</f>
        <v/>
      </c>
      <c r="H24" s="5">
        <f>_xlfn.MAXIFS(Objects!$M$2:$M$947,Objects!$B$2:$B$947,$A24,Objects!$F$2:$F$947,$B24,Objects!$I$2:$I$947,$C24)</f>
        <v/>
      </c>
      <c r="I24" s="5">
        <f>IF(OR(C24="(none)",B24="raft",B24="sump_pit"),"n/a",IF(OR(B24="column",B24="shear_wall",B24="isolated_footing",B24="combined_footing"),IF(AND(F24-E24&lt;=3,H24-G24&lt;=3),"yes","no"),IF(H24-G24&lt;=3,"yes (thickness)","no (thickness)")))</f>
        <v/>
      </c>
      <c r="J24" s="6">
        <f>SUMIFS(Objects!$L$2:$L$947,Objects!$B$2:$B$947,$A24,Objects!$F$2:$F$947,$B24,Objects!$I$2:$I$947,$C24)/100</f>
        <v/>
      </c>
      <c r="K24" s="5">
        <f>COUNTIFS(Objects!$B$2:$B$947,$A24,Objects!$F$2:$F$947,$B24,Objects!$I$2:$I$947,$C24,Objects!$J$2:$J$947,"inferred*")</f>
        <v/>
      </c>
    </row>
    <row r="25">
      <c r="A25" s="5" t="inlineStr">
        <is>
          <t>121</t>
        </is>
      </c>
      <c r="B25" s="5" t="inlineStr">
        <is>
          <t>column</t>
        </is>
      </c>
      <c r="C25" s="5" t="inlineStr">
        <is>
          <t>P2/121</t>
        </is>
      </c>
      <c r="D25" s="5">
        <f>COUNTIFS(Objects!$B$2:$B$947,$A25,Objects!$F$2:$F$947,$B25,Objects!$I$2:$I$947,$C25)</f>
        <v/>
      </c>
      <c r="E25" s="5">
        <f>_xlfn.MINIFS(Objects!$L$2:$L$947,Objects!$B$2:$B$947,$A25,Objects!$F$2:$F$947,$B25,Objects!$I$2:$I$947,$C25)</f>
        <v/>
      </c>
      <c r="F25" s="5">
        <f>_xlfn.MAXIFS(Objects!$L$2:$L$947,Objects!$B$2:$B$947,$A25,Objects!$F$2:$F$947,$B25,Objects!$I$2:$I$947,$C25)</f>
        <v/>
      </c>
      <c r="G25" s="5">
        <f>_xlfn.MINIFS(Objects!$M$2:$M$947,Objects!$B$2:$B$947,$A25,Objects!$F$2:$F$947,$B25,Objects!$I$2:$I$947,$C25)</f>
        <v/>
      </c>
      <c r="H25" s="5">
        <f>_xlfn.MAXIFS(Objects!$M$2:$M$947,Objects!$B$2:$B$947,$A25,Objects!$F$2:$F$947,$B25,Objects!$I$2:$I$947,$C25)</f>
        <v/>
      </c>
      <c r="I25" s="5">
        <f>IF(OR(C25="(none)",B25="raft",B25="sump_pit"),"n/a",IF(OR(B25="column",B25="shear_wall",B25="isolated_footing",B25="combined_footing"),IF(AND(F25-E25&lt;=3,H25-G25&lt;=3),"yes","no"),IF(H25-G25&lt;=3,"yes (thickness)","no (thickness)")))</f>
        <v/>
      </c>
      <c r="J25" s="6">
        <f>SUMIFS(Objects!$L$2:$L$947,Objects!$B$2:$B$947,$A25,Objects!$F$2:$F$947,$B25,Objects!$I$2:$I$947,$C25)/100</f>
        <v/>
      </c>
      <c r="K25" s="5">
        <f>COUNTIFS(Objects!$B$2:$B$947,$A25,Objects!$F$2:$F$947,$B25,Objects!$I$2:$I$947,$C25,Objects!$J$2:$J$947,"inferred*")</f>
        <v/>
      </c>
    </row>
    <row r="26">
      <c r="A26" s="5" t="inlineStr">
        <is>
          <t>121</t>
        </is>
      </c>
      <c r="B26" s="5" t="inlineStr">
        <is>
          <t>shear_wall</t>
        </is>
      </c>
      <c r="C26" s="5" t="inlineStr">
        <is>
          <t>V1/121</t>
        </is>
      </c>
      <c r="D26" s="5">
        <f>COUNTIFS(Objects!$B$2:$B$947,$A26,Objects!$F$2:$F$947,$B26,Objects!$I$2:$I$947,$C26)</f>
        <v/>
      </c>
      <c r="E26" s="5">
        <f>_xlfn.MINIFS(Objects!$L$2:$L$947,Objects!$B$2:$B$947,$A26,Objects!$F$2:$F$947,$B26,Objects!$I$2:$I$947,$C26)</f>
        <v/>
      </c>
      <c r="F26" s="5">
        <f>_xlfn.MAXIFS(Objects!$L$2:$L$947,Objects!$B$2:$B$947,$A26,Objects!$F$2:$F$947,$B26,Objects!$I$2:$I$947,$C26)</f>
        <v/>
      </c>
      <c r="G26" s="5">
        <f>_xlfn.MINIFS(Objects!$M$2:$M$947,Objects!$B$2:$B$947,$A26,Objects!$F$2:$F$947,$B26,Objects!$I$2:$I$947,$C26)</f>
        <v/>
      </c>
      <c r="H26" s="5">
        <f>_xlfn.MAXIFS(Objects!$M$2:$M$947,Objects!$B$2:$B$947,$A26,Objects!$F$2:$F$947,$B26,Objects!$I$2:$I$947,$C26)</f>
        <v/>
      </c>
      <c r="I26" s="5">
        <f>IF(OR(C26="(none)",B26="raft",B26="sump_pit"),"n/a",IF(OR(B26="column",B26="shear_wall",B26="isolated_footing",B26="combined_footing"),IF(AND(F26-E26&lt;=3,H26-G26&lt;=3),"yes","no"),IF(H26-G26&lt;=3,"yes (thickness)","no (thickness)")))</f>
        <v/>
      </c>
      <c r="J26" s="6">
        <f>SUMIFS(Objects!$L$2:$L$947,Objects!$B$2:$B$947,$A26,Objects!$F$2:$F$947,$B26,Objects!$I$2:$I$947,$C26)/100</f>
        <v/>
      </c>
      <c r="K26" s="5">
        <f>COUNTIFS(Objects!$B$2:$B$947,$A26,Objects!$F$2:$F$947,$B26,Objects!$I$2:$I$947,$C26,Objects!$J$2:$J$947,"inferred*")</f>
        <v/>
      </c>
    </row>
    <row r="27">
      <c r="A27" s="5" t="inlineStr">
        <is>
          <t>121</t>
        </is>
      </c>
      <c r="B27" s="5" t="inlineStr">
        <is>
          <t>shear_wall</t>
        </is>
      </c>
      <c r="C27" s="5" t="inlineStr">
        <is>
          <t>V2/121</t>
        </is>
      </c>
      <c r="D27" s="5">
        <f>COUNTIFS(Objects!$B$2:$B$947,$A27,Objects!$F$2:$F$947,$B27,Objects!$I$2:$I$947,$C27)</f>
        <v/>
      </c>
      <c r="E27" s="5">
        <f>_xlfn.MINIFS(Objects!$L$2:$L$947,Objects!$B$2:$B$947,$A27,Objects!$F$2:$F$947,$B27,Objects!$I$2:$I$947,$C27)</f>
        <v/>
      </c>
      <c r="F27" s="5">
        <f>_xlfn.MAXIFS(Objects!$L$2:$L$947,Objects!$B$2:$B$947,$A27,Objects!$F$2:$F$947,$B27,Objects!$I$2:$I$947,$C27)</f>
        <v/>
      </c>
      <c r="G27" s="5">
        <f>_xlfn.MINIFS(Objects!$M$2:$M$947,Objects!$B$2:$B$947,$A27,Objects!$F$2:$F$947,$B27,Objects!$I$2:$I$947,$C27)</f>
        <v/>
      </c>
      <c r="H27" s="5">
        <f>_xlfn.MAXIFS(Objects!$M$2:$M$947,Objects!$B$2:$B$947,$A27,Objects!$F$2:$F$947,$B27,Objects!$I$2:$I$947,$C27)</f>
        <v/>
      </c>
      <c r="I27" s="5">
        <f>IF(OR(C27="(none)",B27="raft",B27="sump_pit"),"n/a",IF(OR(B27="column",B27="shear_wall",B27="isolated_footing",B27="combined_footing"),IF(AND(F27-E27&lt;=3,H27-G27&lt;=3),"yes","no"),IF(H27-G27&lt;=3,"yes (thickness)","no (thickness)")))</f>
        <v/>
      </c>
      <c r="J27" s="6">
        <f>SUMIFS(Objects!$L$2:$L$947,Objects!$B$2:$B$947,$A27,Objects!$F$2:$F$947,$B27,Objects!$I$2:$I$947,$C27)/100</f>
        <v/>
      </c>
      <c r="K27" s="5">
        <f>COUNTIFS(Objects!$B$2:$B$947,$A27,Objects!$F$2:$F$947,$B27,Objects!$I$2:$I$947,$C27,Objects!$J$2:$J$947,"inferred*")</f>
        <v/>
      </c>
    </row>
    <row r="28">
      <c r="A28" s="5" t="inlineStr">
        <is>
          <t>121</t>
        </is>
      </c>
      <c r="B28" s="5" t="inlineStr">
        <is>
          <t>shear_wall</t>
        </is>
      </c>
      <c r="C28" s="5" t="inlineStr">
        <is>
          <t>V3/121</t>
        </is>
      </c>
      <c r="D28" s="5">
        <f>COUNTIFS(Objects!$B$2:$B$947,$A28,Objects!$F$2:$F$947,$B28,Objects!$I$2:$I$947,$C28)</f>
        <v/>
      </c>
      <c r="E28" s="5">
        <f>_xlfn.MINIFS(Objects!$L$2:$L$947,Objects!$B$2:$B$947,$A28,Objects!$F$2:$F$947,$B28,Objects!$I$2:$I$947,$C28)</f>
        <v/>
      </c>
      <c r="F28" s="5">
        <f>_xlfn.MAXIFS(Objects!$L$2:$L$947,Objects!$B$2:$B$947,$A28,Objects!$F$2:$F$947,$B28,Objects!$I$2:$I$947,$C28)</f>
        <v/>
      </c>
      <c r="G28" s="5">
        <f>_xlfn.MINIFS(Objects!$M$2:$M$947,Objects!$B$2:$B$947,$A28,Objects!$F$2:$F$947,$B28,Objects!$I$2:$I$947,$C28)</f>
        <v/>
      </c>
      <c r="H28" s="5">
        <f>_xlfn.MAXIFS(Objects!$M$2:$M$947,Objects!$B$2:$B$947,$A28,Objects!$F$2:$F$947,$B28,Objects!$I$2:$I$947,$C28)</f>
        <v/>
      </c>
      <c r="I28" s="5">
        <f>IF(OR(C28="(none)",B28="raft",B28="sump_pit"),"n/a",IF(OR(B28="column",B28="shear_wall",B28="isolated_footing",B28="combined_footing"),IF(AND(F28-E28&lt;=3,H28-G28&lt;=3),"yes","no"),IF(H28-G28&lt;=3,"yes (thickness)","no (thickness)")))</f>
        <v/>
      </c>
      <c r="J28" s="6">
        <f>SUMIFS(Objects!$L$2:$L$947,Objects!$B$2:$B$947,$A28,Objects!$F$2:$F$947,$B28,Objects!$I$2:$I$947,$C28)/100</f>
        <v/>
      </c>
      <c r="K28" s="5">
        <f>COUNTIFS(Objects!$B$2:$B$947,$A28,Objects!$F$2:$F$947,$B28,Objects!$I$2:$I$947,$C28,Objects!$J$2:$J$947,"inferred*")</f>
        <v/>
      </c>
    </row>
    <row r="29">
      <c r="A29" s="5" t="inlineStr">
        <is>
          <t>121</t>
        </is>
      </c>
      <c r="B29" s="5" t="inlineStr">
        <is>
          <t>shear_wall</t>
        </is>
      </c>
      <c r="C29" s="5" t="inlineStr">
        <is>
          <t>V6/121</t>
        </is>
      </c>
      <c r="D29" s="5">
        <f>COUNTIFS(Objects!$B$2:$B$947,$A29,Objects!$F$2:$F$947,$B29,Objects!$I$2:$I$947,$C29)</f>
        <v/>
      </c>
      <c r="E29" s="5">
        <f>_xlfn.MINIFS(Objects!$L$2:$L$947,Objects!$B$2:$B$947,$A29,Objects!$F$2:$F$947,$B29,Objects!$I$2:$I$947,$C29)</f>
        <v/>
      </c>
      <c r="F29" s="5">
        <f>_xlfn.MAXIFS(Objects!$L$2:$L$947,Objects!$B$2:$B$947,$A29,Objects!$F$2:$F$947,$B29,Objects!$I$2:$I$947,$C29)</f>
        <v/>
      </c>
      <c r="G29" s="5">
        <f>_xlfn.MINIFS(Objects!$M$2:$M$947,Objects!$B$2:$B$947,$A29,Objects!$F$2:$F$947,$B29,Objects!$I$2:$I$947,$C29)</f>
        <v/>
      </c>
      <c r="H29" s="5">
        <f>_xlfn.MAXIFS(Objects!$M$2:$M$947,Objects!$B$2:$B$947,$A29,Objects!$F$2:$F$947,$B29,Objects!$I$2:$I$947,$C29)</f>
        <v/>
      </c>
      <c r="I29" s="5">
        <f>IF(OR(C29="(none)",B29="raft",B29="sump_pit"),"n/a",IF(OR(B29="column",B29="shear_wall",B29="isolated_footing",B29="combined_footing"),IF(AND(F29-E29&lt;=3,H29-G29&lt;=3),"yes","no"),IF(H29-G29&lt;=3,"yes (thickness)","no (thickness)")))</f>
        <v/>
      </c>
      <c r="J29" s="6">
        <f>SUMIFS(Objects!$L$2:$L$947,Objects!$B$2:$B$947,$A29,Objects!$F$2:$F$947,$B29,Objects!$I$2:$I$947,$C29)/100</f>
        <v/>
      </c>
      <c r="K29" s="5">
        <f>COUNTIFS(Objects!$B$2:$B$947,$A29,Objects!$F$2:$F$947,$B29,Objects!$I$2:$I$947,$C29,Objects!$J$2:$J$947,"inferred*")</f>
        <v/>
      </c>
    </row>
    <row r="30">
      <c r="A30" s="5" t="inlineStr">
        <is>
          <t>121</t>
        </is>
      </c>
      <c r="B30" s="5" t="inlineStr">
        <is>
          <t>shear_wall</t>
        </is>
      </c>
      <c r="C30" s="5" t="inlineStr">
        <is>
          <t>V8/121</t>
        </is>
      </c>
      <c r="D30" s="5">
        <f>COUNTIFS(Objects!$B$2:$B$947,$A30,Objects!$F$2:$F$947,$B30,Objects!$I$2:$I$947,$C30)</f>
        <v/>
      </c>
      <c r="E30" s="5">
        <f>_xlfn.MINIFS(Objects!$L$2:$L$947,Objects!$B$2:$B$947,$A30,Objects!$F$2:$F$947,$B30,Objects!$I$2:$I$947,$C30)</f>
        <v/>
      </c>
      <c r="F30" s="5">
        <f>_xlfn.MAXIFS(Objects!$L$2:$L$947,Objects!$B$2:$B$947,$A30,Objects!$F$2:$F$947,$B30,Objects!$I$2:$I$947,$C30)</f>
        <v/>
      </c>
      <c r="G30" s="5">
        <f>_xlfn.MINIFS(Objects!$M$2:$M$947,Objects!$B$2:$B$947,$A30,Objects!$F$2:$F$947,$B30,Objects!$I$2:$I$947,$C30)</f>
        <v/>
      </c>
      <c r="H30" s="5">
        <f>_xlfn.MAXIFS(Objects!$M$2:$M$947,Objects!$B$2:$B$947,$A30,Objects!$F$2:$F$947,$B30,Objects!$I$2:$I$947,$C30)</f>
        <v/>
      </c>
      <c r="I30" s="5">
        <f>IF(OR(C30="(none)",B30="raft",B30="sump_pit"),"n/a",IF(OR(B30="column",B30="shear_wall",B30="isolated_footing",B30="combined_footing"),IF(AND(F30-E30&lt;=3,H30-G30&lt;=3),"yes","no"),IF(H30-G30&lt;=3,"yes (thickness)","no (thickness)")))</f>
        <v/>
      </c>
      <c r="J30" s="6">
        <f>SUMIFS(Objects!$L$2:$L$947,Objects!$B$2:$B$947,$A30,Objects!$F$2:$F$947,$B30,Objects!$I$2:$I$947,$C30)/100</f>
        <v/>
      </c>
      <c r="K30" s="5">
        <f>COUNTIFS(Objects!$B$2:$B$947,$A30,Objects!$F$2:$F$947,$B30,Objects!$I$2:$I$947,$C30,Objects!$J$2:$J$947,"inferred*")</f>
        <v/>
      </c>
    </row>
    <row r="31">
      <c r="A31" s="5" t="inlineStr">
        <is>
          <t>121</t>
        </is>
      </c>
      <c r="B31" s="5" t="inlineStr">
        <is>
          <t>shear_wall</t>
        </is>
      </c>
      <c r="C31" s="5" t="inlineStr">
        <is>
          <t>V9/121</t>
        </is>
      </c>
      <c r="D31" s="5">
        <f>COUNTIFS(Objects!$B$2:$B$947,$A31,Objects!$F$2:$F$947,$B31,Objects!$I$2:$I$947,$C31)</f>
        <v/>
      </c>
      <c r="E31" s="5">
        <f>_xlfn.MINIFS(Objects!$L$2:$L$947,Objects!$B$2:$B$947,$A31,Objects!$F$2:$F$947,$B31,Objects!$I$2:$I$947,$C31)</f>
        <v/>
      </c>
      <c r="F31" s="5">
        <f>_xlfn.MAXIFS(Objects!$L$2:$L$947,Objects!$B$2:$B$947,$A31,Objects!$F$2:$F$947,$B31,Objects!$I$2:$I$947,$C31)</f>
        <v/>
      </c>
      <c r="G31" s="5">
        <f>_xlfn.MINIFS(Objects!$M$2:$M$947,Objects!$B$2:$B$947,$A31,Objects!$F$2:$F$947,$B31,Objects!$I$2:$I$947,$C31)</f>
        <v/>
      </c>
      <c r="H31" s="5">
        <f>_xlfn.MAXIFS(Objects!$M$2:$M$947,Objects!$B$2:$B$947,$A31,Objects!$F$2:$F$947,$B31,Objects!$I$2:$I$947,$C31)</f>
        <v/>
      </c>
      <c r="I31" s="5">
        <f>IF(OR(C31="(none)",B31="raft",B31="sump_pit"),"n/a",IF(OR(B31="column",B31="shear_wall",B31="isolated_footing",B31="combined_footing"),IF(AND(F31-E31&lt;=3,H31-G31&lt;=3),"yes","no"),IF(H31-G31&lt;=3,"yes (thickness)","no (thickness)")))</f>
        <v/>
      </c>
      <c r="J31" s="6">
        <f>SUMIFS(Objects!$L$2:$L$947,Objects!$B$2:$B$947,$A31,Objects!$F$2:$F$947,$B31,Objects!$I$2:$I$947,$C31)/100</f>
        <v/>
      </c>
      <c r="K31" s="5">
        <f>COUNTIFS(Objects!$B$2:$B$947,$A31,Objects!$F$2:$F$947,$B31,Objects!$I$2:$I$947,$C31,Objects!$J$2:$J$947,"inferred*")</f>
        <v/>
      </c>
    </row>
    <row r="32">
      <c r="A32" s="5" t="inlineStr">
        <is>
          <t>121</t>
        </is>
      </c>
      <c r="B32" s="5" t="inlineStr">
        <is>
          <t>core_wall</t>
        </is>
      </c>
      <c r="C32" s="5" t="inlineStr">
        <is>
          <t>(none)</t>
        </is>
      </c>
      <c r="D32" s="5">
        <f>COUNTIFS(Objects!$B$2:$B$947,$A32,Objects!$F$2:$F$947,$B32,Objects!$I$2:$I$947,$C32)</f>
        <v/>
      </c>
      <c r="E32" s="5">
        <f>_xlfn.MINIFS(Objects!$L$2:$L$947,Objects!$B$2:$B$947,$A32,Objects!$F$2:$F$947,$B32,Objects!$I$2:$I$947,$C32)</f>
        <v/>
      </c>
      <c r="F32" s="5">
        <f>_xlfn.MAXIFS(Objects!$L$2:$L$947,Objects!$B$2:$B$947,$A32,Objects!$F$2:$F$947,$B32,Objects!$I$2:$I$947,$C32)</f>
        <v/>
      </c>
      <c r="G32" s="5">
        <f>_xlfn.MINIFS(Objects!$M$2:$M$947,Objects!$B$2:$B$947,$A32,Objects!$F$2:$F$947,$B32,Objects!$I$2:$I$947,$C32)</f>
        <v/>
      </c>
      <c r="H32" s="5">
        <f>_xlfn.MAXIFS(Objects!$M$2:$M$947,Objects!$B$2:$B$947,$A32,Objects!$F$2:$F$947,$B32,Objects!$I$2:$I$947,$C32)</f>
        <v/>
      </c>
      <c r="I32" s="5">
        <f>IF(OR(C32="(none)",B32="raft",B32="sump_pit"),"n/a",IF(OR(B32="column",B32="shear_wall",B32="isolated_footing",B32="combined_footing"),IF(AND(F32-E32&lt;=3,H32-G32&lt;=3),"yes","no"),IF(H32-G32&lt;=3,"yes (thickness)","no (thickness)")))</f>
        <v/>
      </c>
      <c r="J32" s="6">
        <f>SUMIFS(Objects!$L$2:$L$947,Objects!$B$2:$B$947,$A32,Objects!$F$2:$F$947,$B32,Objects!$I$2:$I$947,$C32)/100</f>
        <v/>
      </c>
      <c r="K32" s="5">
        <f>COUNTIFS(Objects!$B$2:$B$947,$A32,Objects!$F$2:$F$947,$B32,Objects!$I$2:$I$947,$C32,Objects!$J$2:$J$947,"inferred*")</f>
        <v/>
      </c>
    </row>
    <row r="33">
      <c r="A33" s="5" t="inlineStr">
        <is>
          <t>121</t>
        </is>
      </c>
      <c r="B33" s="5" t="inlineStr">
        <is>
          <t>retaining_wall</t>
        </is>
      </c>
      <c r="C33" s="5" t="inlineStr">
        <is>
          <t>VP20</t>
        </is>
      </c>
      <c r="D33" s="5">
        <f>COUNTIFS(Objects!$B$2:$B$947,$A33,Objects!$F$2:$F$947,$B33,Objects!$I$2:$I$947,$C33)</f>
        <v/>
      </c>
      <c r="E33" s="5">
        <f>_xlfn.MINIFS(Objects!$L$2:$L$947,Objects!$B$2:$B$947,$A33,Objects!$F$2:$F$947,$B33,Objects!$I$2:$I$947,$C33)</f>
        <v/>
      </c>
      <c r="F33" s="5">
        <f>_xlfn.MAXIFS(Objects!$L$2:$L$947,Objects!$B$2:$B$947,$A33,Objects!$F$2:$F$947,$B33,Objects!$I$2:$I$947,$C33)</f>
        <v/>
      </c>
      <c r="G33" s="5">
        <f>_xlfn.MINIFS(Objects!$M$2:$M$947,Objects!$B$2:$B$947,$A33,Objects!$F$2:$F$947,$B33,Objects!$I$2:$I$947,$C33)</f>
        <v/>
      </c>
      <c r="H33" s="5">
        <f>_xlfn.MAXIFS(Objects!$M$2:$M$947,Objects!$B$2:$B$947,$A33,Objects!$F$2:$F$947,$B33,Objects!$I$2:$I$947,$C33)</f>
        <v/>
      </c>
      <c r="I33" s="5">
        <f>IF(OR(C33="(none)",B33="raft",B33="sump_pit"),"n/a",IF(OR(B33="column",B33="shear_wall",B33="isolated_footing",B33="combined_footing"),IF(AND(F33-E33&lt;=3,H33-G33&lt;=3),"yes","no"),IF(H33-G33&lt;=3,"yes (thickness)","no (thickness)")))</f>
        <v/>
      </c>
      <c r="J33" s="6">
        <f>SUMIFS(Objects!$L$2:$L$947,Objects!$B$2:$B$947,$A33,Objects!$F$2:$F$947,$B33,Objects!$I$2:$I$947,$C33)/100</f>
        <v/>
      </c>
      <c r="K33" s="5">
        <f>COUNTIFS(Objects!$B$2:$B$947,$A33,Objects!$F$2:$F$947,$B33,Objects!$I$2:$I$947,$C33,Objects!$J$2:$J$947,"inferred*")</f>
        <v/>
      </c>
    </row>
    <row r="34">
      <c r="A34" s="5" t="inlineStr">
        <is>
          <t>121</t>
        </is>
      </c>
      <c r="B34" s="5" t="inlineStr">
        <is>
          <t>retaining_wall</t>
        </is>
      </c>
      <c r="C34" s="5" t="inlineStr">
        <is>
          <t>VP25</t>
        </is>
      </c>
      <c r="D34" s="5">
        <f>COUNTIFS(Objects!$B$2:$B$947,$A34,Objects!$F$2:$F$947,$B34,Objects!$I$2:$I$947,$C34)</f>
        <v/>
      </c>
      <c r="E34" s="5">
        <f>_xlfn.MINIFS(Objects!$L$2:$L$947,Objects!$B$2:$B$947,$A34,Objects!$F$2:$F$947,$B34,Objects!$I$2:$I$947,$C34)</f>
        <v/>
      </c>
      <c r="F34" s="5">
        <f>_xlfn.MAXIFS(Objects!$L$2:$L$947,Objects!$B$2:$B$947,$A34,Objects!$F$2:$F$947,$B34,Objects!$I$2:$I$947,$C34)</f>
        <v/>
      </c>
      <c r="G34" s="5">
        <f>_xlfn.MINIFS(Objects!$M$2:$M$947,Objects!$B$2:$B$947,$A34,Objects!$F$2:$F$947,$B34,Objects!$I$2:$I$947,$C34)</f>
        <v/>
      </c>
      <c r="H34" s="5">
        <f>_xlfn.MAXIFS(Objects!$M$2:$M$947,Objects!$B$2:$B$947,$A34,Objects!$F$2:$F$947,$B34,Objects!$I$2:$I$947,$C34)</f>
        <v/>
      </c>
      <c r="I34" s="5">
        <f>IF(OR(C34="(none)",B34="raft",B34="sump_pit"),"n/a",IF(OR(B34="column",B34="shear_wall",B34="isolated_footing",B34="combined_footing"),IF(AND(F34-E34&lt;=3,H34-G34&lt;=3),"yes","no"),IF(H34-G34&lt;=3,"yes (thickness)","no (thickness)")))</f>
        <v/>
      </c>
      <c r="J34" s="6">
        <f>SUMIFS(Objects!$L$2:$L$947,Objects!$B$2:$B$947,$A34,Objects!$F$2:$F$947,$B34,Objects!$I$2:$I$947,$C34)/100</f>
        <v/>
      </c>
      <c r="K34" s="5">
        <f>COUNTIFS(Objects!$B$2:$B$947,$A34,Objects!$F$2:$F$947,$B34,Objects!$I$2:$I$947,$C34,Objects!$J$2:$J$947,"inferred*")</f>
        <v/>
      </c>
    </row>
    <row r="35">
      <c r="A35" s="5" t="inlineStr">
        <is>
          <t>121</t>
        </is>
      </c>
      <c r="B35" s="5" t="inlineStr">
        <is>
          <t>isolated_footing</t>
        </is>
      </c>
      <c r="C35" s="5" t="inlineStr">
        <is>
          <t>S0</t>
        </is>
      </c>
      <c r="D35" s="5">
        <f>COUNTIFS(Objects!$B$2:$B$947,$A35,Objects!$F$2:$F$947,$B35,Objects!$I$2:$I$947,$C35)</f>
        <v/>
      </c>
      <c r="E35" s="5">
        <f>_xlfn.MINIFS(Objects!$L$2:$L$947,Objects!$B$2:$B$947,$A35,Objects!$F$2:$F$947,$B35,Objects!$I$2:$I$947,$C35)</f>
        <v/>
      </c>
      <c r="F35" s="5">
        <f>_xlfn.MAXIFS(Objects!$L$2:$L$947,Objects!$B$2:$B$947,$A35,Objects!$F$2:$F$947,$B35,Objects!$I$2:$I$947,$C35)</f>
        <v/>
      </c>
      <c r="G35" s="5">
        <f>_xlfn.MINIFS(Objects!$M$2:$M$947,Objects!$B$2:$B$947,$A35,Objects!$F$2:$F$947,$B35,Objects!$I$2:$I$947,$C35)</f>
        <v/>
      </c>
      <c r="H35" s="5">
        <f>_xlfn.MAXIFS(Objects!$M$2:$M$947,Objects!$B$2:$B$947,$A35,Objects!$F$2:$F$947,$B35,Objects!$I$2:$I$947,$C35)</f>
        <v/>
      </c>
      <c r="I35" s="5">
        <f>IF(OR(C35="(none)",B35="raft",B35="sump_pit"),"n/a",IF(OR(B35="column",B35="shear_wall",B35="isolated_footing",B35="combined_footing"),IF(AND(F35-E35&lt;=3,H35-G35&lt;=3),"yes","no"),IF(H35-G35&lt;=3,"yes (thickness)","no (thickness)")))</f>
        <v/>
      </c>
      <c r="J35" s="6">
        <f>SUMIFS(Objects!$L$2:$L$947,Objects!$B$2:$B$947,$A35,Objects!$F$2:$F$947,$B35,Objects!$I$2:$I$947,$C35)/100</f>
        <v/>
      </c>
      <c r="K35" s="5">
        <f>COUNTIFS(Objects!$B$2:$B$947,$A35,Objects!$F$2:$F$947,$B35,Objects!$I$2:$I$947,$C35,Objects!$J$2:$J$947,"inferred*")</f>
        <v/>
      </c>
    </row>
    <row r="36">
      <c r="A36" s="5" t="inlineStr">
        <is>
          <t>121</t>
        </is>
      </c>
      <c r="B36" s="5" t="inlineStr">
        <is>
          <t>isolated_footing</t>
        </is>
      </c>
      <c r="C36" s="5" t="inlineStr">
        <is>
          <t>S2</t>
        </is>
      </c>
      <c r="D36" s="5">
        <f>COUNTIFS(Objects!$B$2:$B$947,$A36,Objects!$F$2:$F$947,$B36,Objects!$I$2:$I$947,$C36)</f>
        <v/>
      </c>
      <c r="E36" s="5">
        <f>_xlfn.MINIFS(Objects!$L$2:$L$947,Objects!$B$2:$B$947,$A36,Objects!$F$2:$F$947,$B36,Objects!$I$2:$I$947,$C36)</f>
        <v/>
      </c>
      <c r="F36" s="5">
        <f>_xlfn.MAXIFS(Objects!$L$2:$L$947,Objects!$B$2:$B$947,$A36,Objects!$F$2:$F$947,$B36,Objects!$I$2:$I$947,$C36)</f>
        <v/>
      </c>
      <c r="G36" s="5">
        <f>_xlfn.MINIFS(Objects!$M$2:$M$947,Objects!$B$2:$B$947,$A36,Objects!$F$2:$F$947,$B36,Objects!$I$2:$I$947,$C36)</f>
        <v/>
      </c>
      <c r="H36" s="5">
        <f>_xlfn.MAXIFS(Objects!$M$2:$M$947,Objects!$B$2:$B$947,$A36,Objects!$F$2:$F$947,$B36,Objects!$I$2:$I$947,$C36)</f>
        <v/>
      </c>
      <c r="I36" s="5">
        <f>IF(OR(C36="(none)",B36="raft",B36="sump_pit"),"n/a",IF(OR(B36="column",B36="shear_wall",B36="isolated_footing",B36="combined_footing"),IF(AND(F36-E36&lt;=3,H36-G36&lt;=3),"yes","no"),IF(H36-G36&lt;=3,"yes (thickness)","no (thickness)")))</f>
        <v/>
      </c>
      <c r="J36" s="6">
        <f>SUMIFS(Objects!$L$2:$L$947,Objects!$B$2:$B$947,$A36,Objects!$F$2:$F$947,$B36,Objects!$I$2:$I$947,$C36)/100</f>
        <v/>
      </c>
      <c r="K36" s="5">
        <f>COUNTIFS(Objects!$B$2:$B$947,$A36,Objects!$F$2:$F$947,$B36,Objects!$I$2:$I$947,$C36,Objects!$J$2:$J$947,"inferred*")</f>
        <v/>
      </c>
    </row>
    <row r="37">
      <c r="A37" s="5" t="inlineStr">
        <is>
          <t>121</t>
        </is>
      </c>
      <c r="B37" s="5" t="inlineStr">
        <is>
          <t>isolated_footing</t>
        </is>
      </c>
      <c r="C37" s="5" t="inlineStr">
        <is>
          <t>S5</t>
        </is>
      </c>
      <c r="D37" s="5">
        <f>COUNTIFS(Objects!$B$2:$B$947,$A37,Objects!$F$2:$F$947,$B37,Objects!$I$2:$I$947,$C37)</f>
        <v/>
      </c>
      <c r="E37" s="5">
        <f>_xlfn.MINIFS(Objects!$L$2:$L$947,Objects!$B$2:$B$947,$A37,Objects!$F$2:$F$947,$B37,Objects!$I$2:$I$947,$C37)</f>
        <v/>
      </c>
      <c r="F37" s="5">
        <f>_xlfn.MAXIFS(Objects!$L$2:$L$947,Objects!$B$2:$B$947,$A37,Objects!$F$2:$F$947,$B37,Objects!$I$2:$I$947,$C37)</f>
        <v/>
      </c>
      <c r="G37" s="5">
        <f>_xlfn.MINIFS(Objects!$M$2:$M$947,Objects!$B$2:$B$947,$A37,Objects!$F$2:$F$947,$B37,Objects!$I$2:$I$947,$C37)</f>
        <v/>
      </c>
      <c r="H37" s="5">
        <f>_xlfn.MAXIFS(Objects!$M$2:$M$947,Objects!$B$2:$B$947,$A37,Objects!$F$2:$F$947,$B37,Objects!$I$2:$I$947,$C37)</f>
        <v/>
      </c>
      <c r="I37" s="5">
        <f>IF(OR(C37="(none)",B37="raft",B37="sump_pit"),"n/a",IF(OR(B37="column",B37="shear_wall",B37="isolated_footing",B37="combined_footing"),IF(AND(F37-E37&lt;=3,H37-G37&lt;=3),"yes","no"),IF(H37-G37&lt;=3,"yes (thickness)","no (thickness)")))</f>
        <v/>
      </c>
      <c r="J37" s="6">
        <f>SUMIFS(Objects!$L$2:$L$947,Objects!$B$2:$B$947,$A37,Objects!$F$2:$F$947,$B37,Objects!$I$2:$I$947,$C37)/100</f>
        <v/>
      </c>
      <c r="K37" s="5">
        <f>COUNTIFS(Objects!$B$2:$B$947,$A37,Objects!$F$2:$F$947,$B37,Objects!$I$2:$I$947,$C37,Objects!$J$2:$J$947,"inferred*")</f>
        <v/>
      </c>
    </row>
    <row r="38">
      <c r="A38" s="5" t="inlineStr">
        <is>
          <t>121</t>
        </is>
      </c>
      <c r="B38" s="5" t="inlineStr">
        <is>
          <t>isolated_footing</t>
        </is>
      </c>
      <c r="C38" s="5" t="inlineStr">
        <is>
          <t>S7</t>
        </is>
      </c>
      <c r="D38" s="5">
        <f>COUNTIFS(Objects!$B$2:$B$947,$A38,Objects!$F$2:$F$947,$B38,Objects!$I$2:$I$947,$C38)</f>
        <v/>
      </c>
      <c r="E38" s="5">
        <f>_xlfn.MINIFS(Objects!$L$2:$L$947,Objects!$B$2:$B$947,$A38,Objects!$F$2:$F$947,$B38,Objects!$I$2:$I$947,$C38)</f>
        <v/>
      </c>
      <c r="F38" s="5">
        <f>_xlfn.MAXIFS(Objects!$L$2:$L$947,Objects!$B$2:$B$947,$A38,Objects!$F$2:$F$947,$B38,Objects!$I$2:$I$947,$C38)</f>
        <v/>
      </c>
      <c r="G38" s="5">
        <f>_xlfn.MINIFS(Objects!$M$2:$M$947,Objects!$B$2:$B$947,$A38,Objects!$F$2:$F$947,$B38,Objects!$I$2:$I$947,$C38)</f>
        <v/>
      </c>
      <c r="H38" s="5">
        <f>_xlfn.MAXIFS(Objects!$M$2:$M$947,Objects!$B$2:$B$947,$A38,Objects!$F$2:$F$947,$B38,Objects!$I$2:$I$947,$C38)</f>
        <v/>
      </c>
      <c r="I38" s="5">
        <f>IF(OR(C38="(none)",B38="raft",B38="sump_pit"),"n/a",IF(OR(B38="column",B38="shear_wall",B38="isolated_footing",B38="combined_footing"),IF(AND(F38-E38&lt;=3,H38-G38&lt;=3),"yes","no"),IF(H38-G38&lt;=3,"yes (thickness)","no (thickness)")))</f>
        <v/>
      </c>
      <c r="J38" s="6">
        <f>SUMIFS(Objects!$L$2:$L$947,Objects!$B$2:$B$947,$A38,Objects!$F$2:$F$947,$B38,Objects!$I$2:$I$947,$C38)/100</f>
        <v/>
      </c>
      <c r="K38" s="5">
        <f>COUNTIFS(Objects!$B$2:$B$947,$A38,Objects!$F$2:$F$947,$B38,Objects!$I$2:$I$947,$C38,Objects!$J$2:$J$947,"inferred*")</f>
        <v/>
      </c>
    </row>
    <row r="39">
      <c r="A39" s="5" t="inlineStr">
        <is>
          <t>121</t>
        </is>
      </c>
      <c r="B39" s="5" t="inlineStr">
        <is>
          <t>combined_footing</t>
        </is>
      </c>
      <c r="C39" s="5" t="inlineStr">
        <is>
          <t>SC1</t>
        </is>
      </c>
      <c r="D39" s="5">
        <f>COUNTIFS(Objects!$B$2:$B$947,$A39,Objects!$F$2:$F$947,$B39,Objects!$I$2:$I$947,$C39)</f>
        <v/>
      </c>
      <c r="E39" s="5">
        <f>_xlfn.MINIFS(Objects!$L$2:$L$947,Objects!$B$2:$B$947,$A39,Objects!$F$2:$F$947,$B39,Objects!$I$2:$I$947,$C39)</f>
        <v/>
      </c>
      <c r="F39" s="5">
        <f>_xlfn.MAXIFS(Objects!$L$2:$L$947,Objects!$B$2:$B$947,$A39,Objects!$F$2:$F$947,$B39,Objects!$I$2:$I$947,$C39)</f>
        <v/>
      </c>
      <c r="G39" s="5">
        <f>_xlfn.MINIFS(Objects!$M$2:$M$947,Objects!$B$2:$B$947,$A39,Objects!$F$2:$F$947,$B39,Objects!$I$2:$I$947,$C39)</f>
        <v/>
      </c>
      <c r="H39" s="5">
        <f>_xlfn.MAXIFS(Objects!$M$2:$M$947,Objects!$B$2:$B$947,$A39,Objects!$F$2:$F$947,$B39,Objects!$I$2:$I$947,$C39)</f>
        <v/>
      </c>
      <c r="I39" s="5">
        <f>IF(OR(C39="(none)",B39="raft",B39="sump_pit"),"n/a",IF(OR(B39="column",B39="shear_wall",B39="isolated_footing",B39="combined_footing"),IF(AND(F39-E39&lt;=3,H39-G39&lt;=3),"yes","no"),IF(H39-G39&lt;=3,"yes (thickness)","no (thickness)")))</f>
        <v/>
      </c>
      <c r="J39" s="6">
        <f>SUMIFS(Objects!$L$2:$L$947,Objects!$B$2:$B$947,$A39,Objects!$F$2:$F$947,$B39,Objects!$I$2:$I$947,$C39)/100</f>
        <v/>
      </c>
      <c r="K39" s="5">
        <f>COUNTIFS(Objects!$B$2:$B$947,$A39,Objects!$F$2:$F$947,$B39,Objects!$I$2:$I$947,$C39,Objects!$J$2:$J$947,"inferred*")</f>
        <v/>
      </c>
    </row>
    <row r="40">
      <c r="A40" s="5" t="inlineStr">
        <is>
          <t>121</t>
        </is>
      </c>
      <c r="B40" s="5" t="inlineStr">
        <is>
          <t>combined_footing</t>
        </is>
      </c>
      <c r="C40" s="5" t="inlineStr">
        <is>
          <t>SC4</t>
        </is>
      </c>
      <c r="D40" s="5">
        <f>COUNTIFS(Objects!$B$2:$B$947,$A40,Objects!$F$2:$F$947,$B40,Objects!$I$2:$I$947,$C40)</f>
        <v/>
      </c>
      <c r="E40" s="5">
        <f>_xlfn.MINIFS(Objects!$L$2:$L$947,Objects!$B$2:$B$947,$A40,Objects!$F$2:$F$947,$B40,Objects!$I$2:$I$947,$C40)</f>
        <v/>
      </c>
      <c r="F40" s="5">
        <f>_xlfn.MAXIFS(Objects!$L$2:$L$947,Objects!$B$2:$B$947,$A40,Objects!$F$2:$F$947,$B40,Objects!$I$2:$I$947,$C40)</f>
        <v/>
      </c>
      <c r="G40" s="5">
        <f>_xlfn.MINIFS(Objects!$M$2:$M$947,Objects!$B$2:$B$947,$A40,Objects!$F$2:$F$947,$B40,Objects!$I$2:$I$947,$C40)</f>
        <v/>
      </c>
      <c r="H40" s="5">
        <f>_xlfn.MAXIFS(Objects!$M$2:$M$947,Objects!$B$2:$B$947,$A40,Objects!$F$2:$F$947,$B40,Objects!$I$2:$I$947,$C40)</f>
        <v/>
      </c>
      <c r="I40" s="5">
        <f>IF(OR(C40="(none)",B40="raft",B40="sump_pit"),"n/a",IF(OR(B40="column",B40="shear_wall",B40="isolated_footing",B40="combined_footing"),IF(AND(F40-E40&lt;=3,H40-G40&lt;=3),"yes","no"),IF(H40-G40&lt;=3,"yes (thickness)","no (thickness)")))</f>
        <v/>
      </c>
      <c r="J40" s="6">
        <f>SUMIFS(Objects!$L$2:$L$947,Objects!$B$2:$B$947,$A40,Objects!$F$2:$F$947,$B40,Objects!$I$2:$I$947,$C40)/100</f>
        <v/>
      </c>
      <c r="K40" s="5">
        <f>COUNTIFS(Objects!$B$2:$B$947,$A40,Objects!$F$2:$F$947,$B40,Objects!$I$2:$I$947,$C40,Objects!$J$2:$J$947,"inferred*")</f>
        <v/>
      </c>
    </row>
    <row r="41">
      <c r="A41" s="5" t="inlineStr">
        <is>
          <t>121</t>
        </is>
      </c>
      <c r="B41" s="5" t="inlineStr">
        <is>
          <t>strip_footing</t>
        </is>
      </c>
      <c r="C41" s="5" t="inlineStr">
        <is>
          <t>SF1</t>
        </is>
      </c>
      <c r="D41" s="5">
        <f>COUNTIFS(Objects!$B$2:$B$947,$A41,Objects!$F$2:$F$947,$B41,Objects!$I$2:$I$947,$C41)</f>
        <v/>
      </c>
      <c r="E41" s="5">
        <f>_xlfn.MINIFS(Objects!$L$2:$L$947,Objects!$B$2:$B$947,$A41,Objects!$F$2:$F$947,$B41,Objects!$I$2:$I$947,$C41)</f>
        <v/>
      </c>
      <c r="F41" s="5">
        <f>_xlfn.MAXIFS(Objects!$L$2:$L$947,Objects!$B$2:$B$947,$A41,Objects!$F$2:$F$947,$B41,Objects!$I$2:$I$947,$C41)</f>
        <v/>
      </c>
      <c r="G41" s="5">
        <f>_xlfn.MINIFS(Objects!$M$2:$M$947,Objects!$B$2:$B$947,$A41,Objects!$F$2:$F$947,$B41,Objects!$I$2:$I$947,$C41)</f>
        <v/>
      </c>
      <c r="H41" s="5">
        <f>_xlfn.MAXIFS(Objects!$M$2:$M$947,Objects!$B$2:$B$947,$A41,Objects!$F$2:$F$947,$B41,Objects!$I$2:$I$947,$C41)</f>
        <v/>
      </c>
      <c r="I41" s="5">
        <f>IF(OR(C41="(none)",B41="raft",B41="sump_pit"),"n/a",IF(OR(B41="column",B41="shear_wall",B41="isolated_footing",B41="combined_footing"),IF(AND(F41-E41&lt;=3,H41-G41&lt;=3),"yes","no"),IF(H41-G41&lt;=3,"yes (thickness)","no (thickness)")))</f>
        <v/>
      </c>
      <c r="J41" s="6">
        <f>SUMIFS(Objects!$L$2:$L$947,Objects!$B$2:$B$947,$A41,Objects!$F$2:$F$947,$B41,Objects!$I$2:$I$947,$C41)/100</f>
        <v/>
      </c>
      <c r="K41" s="5">
        <f>COUNTIFS(Objects!$B$2:$B$947,$A41,Objects!$F$2:$F$947,$B41,Objects!$I$2:$I$947,$C41,Objects!$J$2:$J$947,"inferred*")</f>
        <v/>
      </c>
    </row>
    <row r="42">
      <c r="A42" s="5" t="inlineStr">
        <is>
          <t>121</t>
        </is>
      </c>
      <c r="B42" s="5" t="inlineStr">
        <is>
          <t>grade_beam</t>
        </is>
      </c>
      <c r="C42" s="5" t="inlineStr">
        <is>
          <t>LG25x40</t>
        </is>
      </c>
      <c r="D42" s="5">
        <f>COUNTIFS(Objects!$B$2:$B$947,$A42,Objects!$F$2:$F$947,$B42,Objects!$I$2:$I$947,$C42)</f>
        <v/>
      </c>
      <c r="E42" s="5">
        <f>_xlfn.MINIFS(Objects!$L$2:$L$947,Objects!$B$2:$B$947,$A42,Objects!$F$2:$F$947,$B42,Objects!$I$2:$I$947,$C42)</f>
        <v/>
      </c>
      <c r="F42" s="5">
        <f>_xlfn.MAXIFS(Objects!$L$2:$L$947,Objects!$B$2:$B$947,$A42,Objects!$F$2:$F$947,$B42,Objects!$I$2:$I$947,$C42)</f>
        <v/>
      </c>
      <c r="G42" s="5">
        <f>_xlfn.MINIFS(Objects!$M$2:$M$947,Objects!$B$2:$B$947,$A42,Objects!$F$2:$F$947,$B42,Objects!$I$2:$I$947,$C42)</f>
        <v/>
      </c>
      <c r="H42" s="5">
        <f>_xlfn.MAXIFS(Objects!$M$2:$M$947,Objects!$B$2:$B$947,$A42,Objects!$F$2:$F$947,$B42,Objects!$I$2:$I$947,$C42)</f>
        <v/>
      </c>
      <c r="I42" s="5">
        <f>IF(OR(C42="(none)",B42="raft",B42="sump_pit"),"n/a",IF(OR(B42="column",B42="shear_wall",B42="isolated_footing",B42="combined_footing"),IF(AND(F42-E42&lt;=3,H42-G42&lt;=3),"yes","no"),IF(H42-G42&lt;=3,"yes (thickness)","no (thickness)")))</f>
        <v/>
      </c>
      <c r="J42" s="6">
        <f>SUMIFS(Objects!$L$2:$L$947,Objects!$B$2:$B$947,$A42,Objects!$F$2:$F$947,$B42,Objects!$I$2:$I$947,$C42)/100</f>
        <v/>
      </c>
      <c r="K42" s="5">
        <f>COUNTIFS(Objects!$B$2:$B$947,$A42,Objects!$F$2:$F$947,$B42,Objects!$I$2:$I$947,$C42,Objects!$J$2:$J$947,"inferred*")</f>
        <v/>
      </c>
    </row>
    <row r="43">
      <c r="A43" s="5" t="inlineStr">
        <is>
          <t>121</t>
        </is>
      </c>
      <c r="B43" s="5" t="inlineStr">
        <is>
          <t>grade_beam</t>
        </is>
      </c>
      <c r="C43" s="5" t="inlineStr">
        <is>
          <t>LG40x15</t>
        </is>
      </c>
      <c r="D43" s="5">
        <f>COUNTIFS(Objects!$B$2:$B$947,$A43,Objects!$F$2:$F$947,$B43,Objects!$I$2:$I$947,$C43)</f>
        <v/>
      </c>
      <c r="E43" s="5">
        <f>_xlfn.MINIFS(Objects!$L$2:$L$947,Objects!$B$2:$B$947,$A43,Objects!$F$2:$F$947,$B43,Objects!$I$2:$I$947,$C43)</f>
        <v/>
      </c>
      <c r="F43" s="5">
        <f>_xlfn.MAXIFS(Objects!$L$2:$L$947,Objects!$B$2:$B$947,$A43,Objects!$F$2:$F$947,$B43,Objects!$I$2:$I$947,$C43)</f>
        <v/>
      </c>
      <c r="G43" s="5">
        <f>_xlfn.MINIFS(Objects!$M$2:$M$947,Objects!$B$2:$B$947,$A43,Objects!$F$2:$F$947,$B43,Objects!$I$2:$I$947,$C43)</f>
        <v/>
      </c>
      <c r="H43" s="5">
        <f>_xlfn.MAXIFS(Objects!$M$2:$M$947,Objects!$B$2:$B$947,$A43,Objects!$F$2:$F$947,$B43,Objects!$I$2:$I$947,$C43)</f>
        <v/>
      </c>
      <c r="I43" s="5">
        <f>IF(OR(C43="(none)",B43="raft",B43="sump_pit"),"n/a",IF(OR(B43="column",B43="shear_wall",B43="isolated_footing",B43="combined_footing"),IF(AND(F43-E43&lt;=3,H43-G43&lt;=3),"yes","no"),IF(H43-G43&lt;=3,"yes (thickness)","no (thickness)")))</f>
        <v/>
      </c>
      <c r="J43" s="6">
        <f>SUMIFS(Objects!$L$2:$L$947,Objects!$B$2:$B$947,$A43,Objects!$F$2:$F$947,$B43,Objects!$I$2:$I$947,$C43)/100</f>
        <v/>
      </c>
      <c r="K43" s="5">
        <f>COUNTIFS(Objects!$B$2:$B$947,$A43,Objects!$F$2:$F$947,$B43,Objects!$I$2:$I$947,$C43,Objects!$J$2:$J$947,"inferred*")</f>
        <v/>
      </c>
    </row>
    <row r="44">
      <c r="A44" s="5" t="inlineStr">
        <is>
          <t>121</t>
        </is>
      </c>
      <c r="B44" s="5" t="inlineStr">
        <is>
          <t>raft</t>
        </is>
      </c>
      <c r="C44" s="5" t="inlineStr">
        <is>
          <t>Radier 190</t>
        </is>
      </c>
      <c r="D44" s="5">
        <f>COUNTIFS(Objects!$B$2:$B$947,$A44,Objects!$F$2:$F$947,$B44,Objects!$I$2:$I$947,$C44)</f>
        <v/>
      </c>
      <c r="E44" s="5">
        <f>_xlfn.MINIFS(Objects!$L$2:$L$947,Objects!$B$2:$B$947,$A44,Objects!$F$2:$F$947,$B44,Objects!$I$2:$I$947,$C44)</f>
        <v/>
      </c>
      <c r="F44" s="5">
        <f>_xlfn.MAXIFS(Objects!$L$2:$L$947,Objects!$B$2:$B$947,$A44,Objects!$F$2:$F$947,$B44,Objects!$I$2:$I$947,$C44)</f>
        <v/>
      </c>
      <c r="G44" s="5">
        <f>_xlfn.MINIFS(Objects!$M$2:$M$947,Objects!$B$2:$B$947,$A44,Objects!$F$2:$F$947,$B44,Objects!$I$2:$I$947,$C44)</f>
        <v/>
      </c>
      <c r="H44" s="5">
        <f>_xlfn.MAXIFS(Objects!$M$2:$M$947,Objects!$B$2:$B$947,$A44,Objects!$F$2:$F$947,$B44,Objects!$I$2:$I$947,$C44)</f>
        <v/>
      </c>
      <c r="I44" s="5">
        <f>IF(OR(C44="(none)",B44="raft",B44="sump_pit"),"n/a",IF(OR(B44="column",B44="shear_wall",B44="isolated_footing",B44="combined_footing"),IF(AND(F44-E44&lt;=3,H44-G44&lt;=3),"yes","no"),IF(H44-G44&lt;=3,"yes (thickness)","no (thickness)")))</f>
        <v/>
      </c>
      <c r="J44" s="6">
        <f>SUMIFS(Objects!$L$2:$L$947,Objects!$B$2:$B$947,$A44,Objects!$F$2:$F$947,$B44,Objects!$I$2:$I$947,$C44)/100</f>
        <v/>
      </c>
      <c r="K44" s="5">
        <f>COUNTIFS(Objects!$B$2:$B$947,$A44,Objects!$F$2:$F$947,$B44,Objects!$I$2:$I$947,$C44,Objects!$J$2:$J$947,"inferred*")</f>
        <v/>
      </c>
    </row>
    <row r="45">
      <c r="A45" s="5" t="inlineStr">
        <is>
          <t>121</t>
        </is>
      </c>
      <c r="B45" s="5" t="inlineStr">
        <is>
          <t>raft</t>
        </is>
      </c>
      <c r="C45" s="5" t="inlineStr">
        <is>
          <t>Radier 90</t>
        </is>
      </c>
      <c r="D45" s="5">
        <f>COUNTIFS(Objects!$B$2:$B$947,$A45,Objects!$F$2:$F$947,$B45,Objects!$I$2:$I$947,$C45)</f>
        <v/>
      </c>
      <c r="E45" s="5">
        <f>_xlfn.MINIFS(Objects!$L$2:$L$947,Objects!$B$2:$B$947,$A45,Objects!$F$2:$F$947,$B45,Objects!$I$2:$I$947,$C45)</f>
        <v/>
      </c>
      <c r="F45" s="5">
        <f>_xlfn.MAXIFS(Objects!$L$2:$L$947,Objects!$B$2:$B$947,$A45,Objects!$F$2:$F$947,$B45,Objects!$I$2:$I$947,$C45)</f>
        <v/>
      </c>
      <c r="G45" s="5">
        <f>_xlfn.MINIFS(Objects!$M$2:$M$947,Objects!$B$2:$B$947,$A45,Objects!$F$2:$F$947,$B45,Objects!$I$2:$I$947,$C45)</f>
        <v/>
      </c>
      <c r="H45" s="5">
        <f>_xlfn.MAXIFS(Objects!$M$2:$M$947,Objects!$B$2:$B$947,$A45,Objects!$F$2:$F$947,$B45,Objects!$I$2:$I$947,$C45)</f>
        <v/>
      </c>
      <c r="I45" s="5">
        <f>IF(OR(C45="(none)",B45="raft",B45="sump_pit"),"n/a",IF(OR(B45="column",B45="shear_wall",B45="isolated_footing",B45="combined_footing"),IF(AND(F45-E45&lt;=3,H45-G45&lt;=3),"yes","no"),IF(H45-G45&lt;=3,"yes (thickness)","no (thickness)")))</f>
        <v/>
      </c>
      <c r="J45" s="6">
        <f>SUMIFS(Objects!$L$2:$L$947,Objects!$B$2:$B$947,$A45,Objects!$F$2:$F$947,$B45,Objects!$I$2:$I$947,$C45)/100</f>
        <v/>
      </c>
      <c r="K45" s="5">
        <f>COUNTIFS(Objects!$B$2:$B$947,$A45,Objects!$F$2:$F$947,$B45,Objects!$I$2:$I$947,$C45,Objects!$J$2:$J$947,"inferred*")</f>
        <v/>
      </c>
    </row>
    <row r="46">
      <c r="A46" s="5" t="inlineStr">
        <is>
          <t>121</t>
        </is>
      </c>
      <c r="B46" s="5" t="inlineStr">
        <is>
          <t>sump_pit</t>
        </is>
      </c>
      <c r="C46" s="5" t="inlineStr">
        <is>
          <t>Fosse</t>
        </is>
      </c>
      <c r="D46" s="5">
        <f>COUNTIFS(Objects!$B$2:$B$947,$A46,Objects!$F$2:$F$947,$B46,Objects!$I$2:$I$947,$C46)</f>
        <v/>
      </c>
      <c r="E46" s="5">
        <f>_xlfn.MINIFS(Objects!$L$2:$L$947,Objects!$B$2:$B$947,$A46,Objects!$F$2:$F$947,$B46,Objects!$I$2:$I$947,$C46)</f>
        <v/>
      </c>
      <c r="F46" s="5">
        <f>_xlfn.MAXIFS(Objects!$L$2:$L$947,Objects!$B$2:$B$947,$A46,Objects!$F$2:$F$947,$B46,Objects!$I$2:$I$947,$C46)</f>
        <v/>
      </c>
      <c r="G46" s="5">
        <f>_xlfn.MINIFS(Objects!$M$2:$M$947,Objects!$B$2:$B$947,$A46,Objects!$F$2:$F$947,$B46,Objects!$I$2:$I$947,$C46)</f>
        <v/>
      </c>
      <c r="H46" s="5">
        <f>_xlfn.MAXIFS(Objects!$M$2:$M$947,Objects!$B$2:$B$947,$A46,Objects!$F$2:$F$947,$B46,Objects!$I$2:$I$947,$C46)</f>
        <v/>
      </c>
      <c r="I46" s="5">
        <f>IF(OR(C46="(none)",B46="raft",B46="sump_pit"),"n/a",IF(OR(B46="column",B46="shear_wall",B46="isolated_footing",B46="combined_footing"),IF(AND(F46-E46&lt;=3,H46-G46&lt;=3),"yes","no"),IF(H46-G46&lt;=3,"yes (thickness)","no (thickness)")))</f>
        <v/>
      </c>
      <c r="J46" s="6">
        <f>SUMIFS(Objects!$L$2:$L$947,Objects!$B$2:$B$947,$A46,Objects!$F$2:$F$947,$B46,Objects!$I$2:$I$947,$C46)/100</f>
        <v/>
      </c>
      <c r="K46" s="5">
        <f>COUNTIFS(Objects!$B$2:$B$947,$A46,Objects!$F$2:$F$947,$B46,Objects!$I$2:$I$947,$C46,Objects!$J$2:$J$947,"inferred*")</f>
        <v/>
      </c>
    </row>
    <row r="47">
      <c r="A47" s="5" t="inlineStr">
        <is>
          <t>122</t>
        </is>
      </c>
      <c r="B47" s="5" t="inlineStr">
        <is>
          <t>column</t>
        </is>
      </c>
      <c r="C47" s="5" t="inlineStr">
        <is>
          <t>P2/122</t>
        </is>
      </c>
      <c r="D47" s="5">
        <f>COUNTIFS(Objects!$B$2:$B$947,$A47,Objects!$F$2:$F$947,$B47,Objects!$I$2:$I$947,$C47)</f>
        <v/>
      </c>
      <c r="E47" s="5">
        <f>_xlfn.MINIFS(Objects!$L$2:$L$947,Objects!$B$2:$B$947,$A47,Objects!$F$2:$F$947,$B47,Objects!$I$2:$I$947,$C47)</f>
        <v/>
      </c>
      <c r="F47" s="5">
        <f>_xlfn.MAXIFS(Objects!$L$2:$L$947,Objects!$B$2:$B$947,$A47,Objects!$F$2:$F$947,$B47,Objects!$I$2:$I$947,$C47)</f>
        <v/>
      </c>
      <c r="G47" s="5">
        <f>_xlfn.MINIFS(Objects!$M$2:$M$947,Objects!$B$2:$B$947,$A47,Objects!$F$2:$F$947,$B47,Objects!$I$2:$I$947,$C47)</f>
        <v/>
      </c>
      <c r="H47" s="5">
        <f>_xlfn.MAXIFS(Objects!$M$2:$M$947,Objects!$B$2:$B$947,$A47,Objects!$F$2:$F$947,$B47,Objects!$I$2:$I$947,$C47)</f>
        <v/>
      </c>
      <c r="I47" s="5">
        <f>IF(OR(C47="(none)",B47="raft",B47="sump_pit"),"n/a",IF(OR(B47="column",B47="shear_wall",B47="isolated_footing",B47="combined_footing"),IF(AND(F47-E47&lt;=3,H47-G47&lt;=3),"yes","no"),IF(H47-G47&lt;=3,"yes (thickness)","no (thickness)")))</f>
        <v/>
      </c>
      <c r="J47" s="6">
        <f>SUMIFS(Objects!$L$2:$L$947,Objects!$B$2:$B$947,$A47,Objects!$F$2:$F$947,$B47,Objects!$I$2:$I$947,$C47)/100</f>
        <v/>
      </c>
      <c r="K47" s="5">
        <f>COUNTIFS(Objects!$B$2:$B$947,$A47,Objects!$F$2:$F$947,$B47,Objects!$I$2:$I$947,$C47,Objects!$J$2:$J$947,"inferred*")</f>
        <v/>
      </c>
    </row>
    <row r="48">
      <c r="A48" s="5" t="inlineStr">
        <is>
          <t>122</t>
        </is>
      </c>
      <c r="B48" s="5" t="inlineStr">
        <is>
          <t>column</t>
        </is>
      </c>
      <c r="C48" s="5" t="inlineStr">
        <is>
          <t>P2a/122</t>
        </is>
      </c>
      <c r="D48" s="5">
        <f>COUNTIFS(Objects!$B$2:$B$947,$A48,Objects!$F$2:$F$947,$B48,Objects!$I$2:$I$947,$C48)</f>
        <v/>
      </c>
      <c r="E48" s="5">
        <f>_xlfn.MINIFS(Objects!$L$2:$L$947,Objects!$B$2:$B$947,$A48,Objects!$F$2:$F$947,$B48,Objects!$I$2:$I$947,$C48)</f>
        <v/>
      </c>
      <c r="F48" s="5">
        <f>_xlfn.MAXIFS(Objects!$L$2:$L$947,Objects!$B$2:$B$947,$A48,Objects!$F$2:$F$947,$B48,Objects!$I$2:$I$947,$C48)</f>
        <v/>
      </c>
      <c r="G48" s="5">
        <f>_xlfn.MINIFS(Objects!$M$2:$M$947,Objects!$B$2:$B$947,$A48,Objects!$F$2:$F$947,$B48,Objects!$I$2:$I$947,$C48)</f>
        <v/>
      </c>
      <c r="H48" s="5">
        <f>_xlfn.MAXIFS(Objects!$M$2:$M$947,Objects!$B$2:$B$947,$A48,Objects!$F$2:$F$947,$B48,Objects!$I$2:$I$947,$C48)</f>
        <v/>
      </c>
      <c r="I48" s="5">
        <f>IF(OR(C48="(none)",B48="raft",B48="sump_pit"),"n/a",IF(OR(B48="column",B48="shear_wall",B48="isolated_footing",B48="combined_footing"),IF(AND(F48-E48&lt;=3,H48-G48&lt;=3),"yes","no"),IF(H48-G48&lt;=3,"yes (thickness)","no (thickness)")))</f>
        <v/>
      </c>
      <c r="J48" s="6">
        <f>SUMIFS(Objects!$L$2:$L$947,Objects!$B$2:$B$947,$A48,Objects!$F$2:$F$947,$B48,Objects!$I$2:$I$947,$C48)/100</f>
        <v/>
      </c>
      <c r="K48" s="5">
        <f>COUNTIFS(Objects!$B$2:$B$947,$A48,Objects!$F$2:$F$947,$B48,Objects!$I$2:$I$947,$C48,Objects!$J$2:$J$947,"inferred*")</f>
        <v/>
      </c>
    </row>
    <row r="49">
      <c r="A49" s="5" t="inlineStr">
        <is>
          <t>122</t>
        </is>
      </c>
      <c r="B49" s="5" t="inlineStr">
        <is>
          <t>column</t>
        </is>
      </c>
      <c r="C49" s="5" t="inlineStr">
        <is>
          <t>P3/122</t>
        </is>
      </c>
      <c r="D49" s="5">
        <f>COUNTIFS(Objects!$B$2:$B$947,$A49,Objects!$F$2:$F$947,$B49,Objects!$I$2:$I$947,$C49)</f>
        <v/>
      </c>
      <c r="E49" s="5">
        <f>_xlfn.MINIFS(Objects!$L$2:$L$947,Objects!$B$2:$B$947,$A49,Objects!$F$2:$F$947,$B49,Objects!$I$2:$I$947,$C49)</f>
        <v/>
      </c>
      <c r="F49" s="5">
        <f>_xlfn.MAXIFS(Objects!$L$2:$L$947,Objects!$B$2:$B$947,$A49,Objects!$F$2:$F$947,$B49,Objects!$I$2:$I$947,$C49)</f>
        <v/>
      </c>
      <c r="G49" s="5">
        <f>_xlfn.MINIFS(Objects!$M$2:$M$947,Objects!$B$2:$B$947,$A49,Objects!$F$2:$F$947,$B49,Objects!$I$2:$I$947,$C49)</f>
        <v/>
      </c>
      <c r="H49" s="5">
        <f>_xlfn.MAXIFS(Objects!$M$2:$M$947,Objects!$B$2:$B$947,$A49,Objects!$F$2:$F$947,$B49,Objects!$I$2:$I$947,$C49)</f>
        <v/>
      </c>
      <c r="I49" s="5">
        <f>IF(OR(C49="(none)",B49="raft",B49="sump_pit"),"n/a",IF(OR(B49="column",B49="shear_wall",B49="isolated_footing",B49="combined_footing"),IF(AND(F49-E49&lt;=3,H49-G49&lt;=3),"yes","no"),IF(H49-G49&lt;=3,"yes (thickness)","no (thickness)")))</f>
        <v/>
      </c>
      <c r="J49" s="6">
        <f>SUMIFS(Objects!$L$2:$L$947,Objects!$B$2:$B$947,$A49,Objects!$F$2:$F$947,$B49,Objects!$I$2:$I$947,$C49)/100</f>
        <v/>
      </c>
      <c r="K49" s="5">
        <f>COUNTIFS(Objects!$B$2:$B$947,$A49,Objects!$F$2:$F$947,$B49,Objects!$I$2:$I$947,$C49,Objects!$J$2:$J$947,"inferred*")</f>
        <v/>
      </c>
    </row>
    <row r="50">
      <c r="A50" s="5" t="inlineStr">
        <is>
          <t>122</t>
        </is>
      </c>
      <c r="B50" s="5" t="inlineStr">
        <is>
          <t>column</t>
        </is>
      </c>
      <c r="C50" s="5" t="inlineStr">
        <is>
          <t>P4/122</t>
        </is>
      </c>
      <c r="D50" s="5">
        <f>COUNTIFS(Objects!$B$2:$B$947,$A50,Objects!$F$2:$F$947,$B50,Objects!$I$2:$I$947,$C50)</f>
        <v/>
      </c>
      <c r="E50" s="5">
        <f>_xlfn.MINIFS(Objects!$L$2:$L$947,Objects!$B$2:$B$947,$A50,Objects!$F$2:$F$947,$B50,Objects!$I$2:$I$947,$C50)</f>
        <v/>
      </c>
      <c r="F50" s="5">
        <f>_xlfn.MAXIFS(Objects!$L$2:$L$947,Objects!$B$2:$B$947,$A50,Objects!$F$2:$F$947,$B50,Objects!$I$2:$I$947,$C50)</f>
        <v/>
      </c>
      <c r="G50" s="5">
        <f>_xlfn.MINIFS(Objects!$M$2:$M$947,Objects!$B$2:$B$947,$A50,Objects!$F$2:$F$947,$B50,Objects!$I$2:$I$947,$C50)</f>
        <v/>
      </c>
      <c r="H50" s="5">
        <f>_xlfn.MAXIFS(Objects!$M$2:$M$947,Objects!$B$2:$B$947,$A50,Objects!$F$2:$F$947,$B50,Objects!$I$2:$I$947,$C50)</f>
        <v/>
      </c>
      <c r="I50" s="5">
        <f>IF(OR(C50="(none)",B50="raft",B50="sump_pit"),"n/a",IF(OR(B50="column",B50="shear_wall",B50="isolated_footing",B50="combined_footing"),IF(AND(F50-E50&lt;=3,H50-G50&lt;=3),"yes","no"),IF(H50-G50&lt;=3,"yes (thickness)","no (thickness)")))</f>
        <v/>
      </c>
      <c r="J50" s="6">
        <f>SUMIFS(Objects!$L$2:$L$947,Objects!$B$2:$B$947,$A50,Objects!$F$2:$F$947,$B50,Objects!$I$2:$I$947,$C50)/100</f>
        <v/>
      </c>
      <c r="K50" s="5">
        <f>COUNTIFS(Objects!$B$2:$B$947,$A50,Objects!$F$2:$F$947,$B50,Objects!$I$2:$I$947,$C50,Objects!$J$2:$J$947,"inferred*")</f>
        <v/>
      </c>
    </row>
    <row r="51">
      <c r="A51" s="5" t="inlineStr">
        <is>
          <t>122</t>
        </is>
      </c>
      <c r="B51" s="5" t="inlineStr">
        <is>
          <t>shear_wall</t>
        </is>
      </c>
      <c r="C51" s="5" t="inlineStr">
        <is>
          <t>V1/122</t>
        </is>
      </c>
      <c r="D51" s="5">
        <f>COUNTIFS(Objects!$B$2:$B$947,$A51,Objects!$F$2:$F$947,$B51,Objects!$I$2:$I$947,$C51)</f>
        <v/>
      </c>
      <c r="E51" s="5">
        <f>_xlfn.MINIFS(Objects!$L$2:$L$947,Objects!$B$2:$B$947,$A51,Objects!$F$2:$F$947,$B51,Objects!$I$2:$I$947,$C51)</f>
        <v/>
      </c>
      <c r="F51" s="5">
        <f>_xlfn.MAXIFS(Objects!$L$2:$L$947,Objects!$B$2:$B$947,$A51,Objects!$F$2:$F$947,$B51,Objects!$I$2:$I$947,$C51)</f>
        <v/>
      </c>
      <c r="G51" s="5">
        <f>_xlfn.MINIFS(Objects!$M$2:$M$947,Objects!$B$2:$B$947,$A51,Objects!$F$2:$F$947,$B51,Objects!$I$2:$I$947,$C51)</f>
        <v/>
      </c>
      <c r="H51" s="5">
        <f>_xlfn.MAXIFS(Objects!$M$2:$M$947,Objects!$B$2:$B$947,$A51,Objects!$F$2:$F$947,$B51,Objects!$I$2:$I$947,$C51)</f>
        <v/>
      </c>
      <c r="I51" s="5">
        <f>IF(OR(C51="(none)",B51="raft",B51="sump_pit"),"n/a",IF(OR(B51="column",B51="shear_wall",B51="isolated_footing",B51="combined_footing"),IF(AND(F51-E51&lt;=3,H51-G51&lt;=3),"yes","no"),IF(H51-G51&lt;=3,"yes (thickness)","no (thickness)")))</f>
        <v/>
      </c>
      <c r="J51" s="6">
        <f>SUMIFS(Objects!$L$2:$L$947,Objects!$B$2:$B$947,$A51,Objects!$F$2:$F$947,$B51,Objects!$I$2:$I$947,$C51)/100</f>
        <v/>
      </c>
      <c r="K51" s="5">
        <f>COUNTIFS(Objects!$B$2:$B$947,$A51,Objects!$F$2:$F$947,$B51,Objects!$I$2:$I$947,$C51,Objects!$J$2:$J$947,"inferred*")</f>
        <v/>
      </c>
    </row>
    <row r="52">
      <c r="A52" s="5" t="inlineStr">
        <is>
          <t>122</t>
        </is>
      </c>
      <c r="B52" s="5" t="inlineStr">
        <is>
          <t>shear_wall</t>
        </is>
      </c>
      <c r="C52" s="5" t="inlineStr">
        <is>
          <t>V2/122</t>
        </is>
      </c>
      <c r="D52" s="5">
        <f>COUNTIFS(Objects!$B$2:$B$947,$A52,Objects!$F$2:$F$947,$B52,Objects!$I$2:$I$947,$C52)</f>
        <v/>
      </c>
      <c r="E52" s="5">
        <f>_xlfn.MINIFS(Objects!$L$2:$L$947,Objects!$B$2:$B$947,$A52,Objects!$F$2:$F$947,$B52,Objects!$I$2:$I$947,$C52)</f>
        <v/>
      </c>
      <c r="F52" s="5">
        <f>_xlfn.MAXIFS(Objects!$L$2:$L$947,Objects!$B$2:$B$947,$A52,Objects!$F$2:$F$947,$B52,Objects!$I$2:$I$947,$C52)</f>
        <v/>
      </c>
      <c r="G52" s="5">
        <f>_xlfn.MINIFS(Objects!$M$2:$M$947,Objects!$B$2:$B$947,$A52,Objects!$F$2:$F$947,$B52,Objects!$I$2:$I$947,$C52)</f>
        <v/>
      </c>
      <c r="H52" s="5">
        <f>_xlfn.MAXIFS(Objects!$M$2:$M$947,Objects!$B$2:$B$947,$A52,Objects!$F$2:$F$947,$B52,Objects!$I$2:$I$947,$C52)</f>
        <v/>
      </c>
      <c r="I52" s="5">
        <f>IF(OR(C52="(none)",B52="raft",B52="sump_pit"),"n/a",IF(OR(B52="column",B52="shear_wall",B52="isolated_footing",B52="combined_footing"),IF(AND(F52-E52&lt;=3,H52-G52&lt;=3),"yes","no"),IF(H52-G52&lt;=3,"yes (thickness)","no (thickness)")))</f>
        <v/>
      </c>
      <c r="J52" s="6">
        <f>SUMIFS(Objects!$L$2:$L$947,Objects!$B$2:$B$947,$A52,Objects!$F$2:$F$947,$B52,Objects!$I$2:$I$947,$C52)/100</f>
        <v/>
      </c>
      <c r="K52" s="5">
        <f>COUNTIFS(Objects!$B$2:$B$947,$A52,Objects!$F$2:$F$947,$B52,Objects!$I$2:$I$947,$C52,Objects!$J$2:$J$947,"inferred*")</f>
        <v/>
      </c>
    </row>
    <row r="53">
      <c r="A53" s="5" t="inlineStr">
        <is>
          <t>122</t>
        </is>
      </c>
      <c r="B53" s="5" t="inlineStr">
        <is>
          <t>shear_wall</t>
        </is>
      </c>
      <c r="C53" s="5" t="inlineStr">
        <is>
          <t>V3/122</t>
        </is>
      </c>
      <c r="D53" s="5">
        <f>COUNTIFS(Objects!$B$2:$B$947,$A53,Objects!$F$2:$F$947,$B53,Objects!$I$2:$I$947,$C53)</f>
        <v/>
      </c>
      <c r="E53" s="5">
        <f>_xlfn.MINIFS(Objects!$L$2:$L$947,Objects!$B$2:$B$947,$A53,Objects!$F$2:$F$947,$B53,Objects!$I$2:$I$947,$C53)</f>
        <v/>
      </c>
      <c r="F53" s="5">
        <f>_xlfn.MAXIFS(Objects!$L$2:$L$947,Objects!$B$2:$B$947,$A53,Objects!$F$2:$F$947,$B53,Objects!$I$2:$I$947,$C53)</f>
        <v/>
      </c>
      <c r="G53" s="5">
        <f>_xlfn.MINIFS(Objects!$M$2:$M$947,Objects!$B$2:$B$947,$A53,Objects!$F$2:$F$947,$B53,Objects!$I$2:$I$947,$C53)</f>
        <v/>
      </c>
      <c r="H53" s="5">
        <f>_xlfn.MAXIFS(Objects!$M$2:$M$947,Objects!$B$2:$B$947,$A53,Objects!$F$2:$F$947,$B53,Objects!$I$2:$I$947,$C53)</f>
        <v/>
      </c>
      <c r="I53" s="5">
        <f>IF(OR(C53="(none)",B53="raft",B53="sump_pit"),"n/a",IF(OR(B53="column",B53="shear_wall",B53="isolated_footing",B53="combined_footing"),IF(AND(F53-E53&lt;=3,H53-G53&lt;=3),"yes","no"),IF(H53-G53&lt;=3,"yes (thickness)","no (thickness)")))</f>
        <v/>
      </c>
      <c r="J53" s="6">
        <f>SUMIFS(Objects!$L$2:$L$947,Objects!$B$2:$B$947,$A53,Objects!$F$2:$F$947,$B53,Objects!$I$2:$I$947,$C53)/100</f>
        <v/>
      </c>
      <c r="K53" s="5">
        <f>COUNTIFS(Objects!$B$2:$B$947,$A53,Objects!$F$2:$F$947,$B53,Objects!$I$2:$I$947,$C53,Objects!$J$2:$J$947,"inferred*")</f>
        <v/>
      </c>
    </row>
    <row r="54">
      <c r="A54" s="5" t="inlineStr">
        <is>
          <t>122</t>
        </is>
      </c>
      <c r="B54" s="5" t="inlineStr">
        <is>
          <t>shear_wall</t>
        </is>
      </c>
      <c r="C54" s="5" t="inlineStr">
        <is>
          <t>V4/122</t>
        </is>
      </c>
      <c r="D54" s="5">
        <f>COUNTIFS(Objects!$B$2:$B$947,$A54,Objects!$F$2:$F$947,$B54,Objects!$I$2:$I$947,$C54)</f>
        <v/>
      </c>
      <c r="E54" s="5">
        <f>_xlfn.MINIFS(Objects!$L$2:$L$947,Objects!$B$2:$B$947,$A54,Objects!$F$2:$F$947,$B54,Objects!$I$2:$I$947,$C54)</f>
        <v/>
      </c>
      <c r="F54" s="5">
        <f>_xlfn.MAXIFS(Objects!$L$2:$L$947,Objects!$B$2:$B$947,$A54,Objects!$F$2:$F$947,$B54,Objects!$I$2:$I$947,$C54)</f>
        <v/>
      </c>
      <c r="G54" s="5">
        <f>_xlfn.MINIFS(Objects!$M$2:$M$947,Objects!$B$2:$B$947,$A54,Objects!$F$2:$F$947,$B54,Objects!$I$2:$I$947,$C54)</f>
        <v/>
      </c>
      <c r="H54" s="5">
        <f>_xlfn.MAXIFS(Objects!$M$2:$M$947,Objects!$B$2:$B$947,$A54,Objects!$F$2:$F$947,$B54,Objects!$I$2:$I$947,$C54)</f>
        <v/>
      </c>
      <c r="I54" s="5">
        <f>IF(OR(C54="(none)",B54="raft",B54="sump_pit"),"n/a",IF(OR(B54="column",B54="shear_wall",B54="isolated_footing",B54="combined_footing"),IF(AND(F54-E54&lt;=3,H54-G54&lt;=3),"yes","no"),IF(H54-G54&lt;=3,"yes (thickness)","no (thickness)")))</f>
        <v/>
      </c>
      <c r="J54" s="6">
        <f>SUMIFS(Objects!$L$2:$L$947,Objects!$B$2:$B$947,$A54,Objects!$F$2:$F$947,$B54,Objects!$I$2:$I$947,$C54)/100</f>
        <v/>
      </c>
      <c r="K54" s="5">
        <f>COUNTIFS(Objects!$B$2:$B$947,$A54,Objects!$F$2:$F$947,$B54,Objects!$I$2:$I$947,$C54,Objects!$J$2:$J$947,"inferred*")</f>
        <v/>
      </c>
    </row>
    <row r="55">
      <c r="A55" s="5" t="inlineStr">
        <is>
          <t>122</t>
        </is>
      </c>
      <c r="B55" s="5" t="inlineStr">
        <is>
          <t>shear_wall</t>
        </is>
      </c>
      <c r="C55" s="5" t="inlineStr">
        <is>
          <t>V5/122</t>
        </is>
      </c>
      <c r="D55" s="5">
        <f>COUNTIFS(Objects!$B$2:$B$947,$A55,Objects!$F$2:$F$947,$B55,Objects!$I$2:$I$947,$C55)</f>
        <v/>
      </c>
      <c r="E55" s="5">
        <f>_xlfn.MINIFS(Objects!$L$2:$L$947,Objects!$B$2:$B$947,$A55,Objects!$F$2:$F$947,$B55,Objects!$I$2:$I$947,$C55)</f>
        <v/>
      </c>
      <c r="F55" s="5">
        <f>_xlfn.MAXIFS(Objects!$L$2:$L$947,Objects!$B$2:$B$947,$A55,Objects!$F$2:$F$947,$B55,Objects!$I$2:$I$947,$C55)</f>
        <v/>
      </c>
      <c r="G55" s="5">
        <f>_xlfn.MINIFS(Objects!$M$2:$M$947,Objects!$B$2:$B$947,$A55,Objects!$F$2:$F$947,$B55,Objects!$I$2:$I$947,$C55)</f>
        <v/>
      </c>
      <c r="H55" s="5">
        <f>_xlfn.MAXIFS(Objects!$M$2:$M$947,Objects!$B$2:$B$947,$A55,Objects!$F$2:$F$947,$B55,Objects!$I$2:$I$947,$C55)</f>
        <v/>
      </c>
      <c r="I55" s="5">
        <f>IF(OR(C55="(none)",B55="raft",B55="sump_pit"),"n/a",IF(OR(B55="column",B55="shear_wall",B55="isolated_footing",B55="combined_footing"),IF(AND(F55-E55&lt;=3,H55-G55&lt;=3),"yes","no"),IF(H55-G55&lt;=3,"yes (thickness)","no (thickness)")))</f>
        <v/>
      </c>
      <c r="J55" s="6">
        <f>SUMIFS(Objects!$L$2:$L$947,Objects!$B$2:$B$947,$A55,Objects!$F$2:$F$947,$B55,Objects!$I$2:$I$947,$C55)/100</f>
        <v/>
      </c>
      <c r="K55" s="5">
        <f>COUNTIFS(Objects!$B$2:$B$947,$A55,Objects!$F$2:$F$947,$B55,Objects!$I$2:$I$947,$C55,Objects!$J$2:$J$947,"inferred*")</f>
        <v/>
      </c>
    </row>
    <row r="56">
      <c r="A56" s="5" t="inlineStr">
        <is>
          <t>122</t>
        </is>
      </c>
      <c r="B56" s="5" t="inlineStr">
        <is>
          <t>shear_wall</t>
        </is>
      </c>
      <c r="C56" s="5" t="inlineStr">
        <is>
          <t>V6/122</t>
        </is>
      </c>
      <c r="D56" s="5">
        <f>COUNTIFS(Objects!$B$2:$B$947,$A56,Objects!$F$2:$F$947,$B56,Objects!$I$2:$I$947,$C56)</f>
        <v/>
      </c>
      <c r="E56" s="5">
        <f>_xlfn.MINIFS(Objects!$L$2:$L$947,Objects!$B$2:$B$947,$A56,Objects!$F$2:$F$947,$B56,Objects!$I$2:$I$947,$C56)</f>
        <v/>
      </c>
      <c r="F56" s="5">
        <f>_xlfn.MAXIFS(Objects!$L$2:$L$947,Objects!$B$2:$B$947,$A56,Objects!$F$2:$F$947,$B56,Objects!$I$2:$I$947,$C56)</f>
        <v/>
      </c>
      <c r="G56" s="5">
        <f>_xlfn.MINIFS(Objects!$M$2:$M$947,Objects!$B$2:$B$947,$A56,Objects!$F$2:$F$947,$B56,Objects!$I$2:$I$947,$C56)</f>
        <v/>
      </c>
      <c r="H56" s="5">
        <f>_xlfn.MAXIFS(Objects!$M$2:$M$947,Objects!$B$2:$B$947,$A56,Objects!$F$2:$F$947,$B56,Objects!$I$2:$I$947,$C56)</f>
        <v/>
      </c>
      <c r="I56" s="5">
        <f>IF(OR(C56="(none)",B56="raft",B56="sump_pit"),"n/a",IF(OR(B56="column",B56="shear_wall",B56="isolated_footing",B56="combined_footing"),IF(AND(F56-E56&lt;=3,H56-G56&lt;=3),"yes","no"),IF(H56-G56&lt;=3,"yes (thickness)","no (thickness)")))</f>
        <v/>
      </c>
      <c r="J56" s="6">
        <f>SUMIFS(Objects!$L$2:$L$947,Objects!$B$2:$B$947,$A56,Objects!$F$2:$F$947,$B56,Objects!$I$2:$I$947,$C56)/100</f>
        <v/>
      </c>
      <c r="K56" s="5">
        <f>COUNTIFS(Objects!$B$2:$B$947,$A56,Objects!$F$2:$F$947,$B56,Objects!$I$2:$I$947,$C56,Objects!$J$2:$J$947,"inferred*")</f>
        <v/>
      </c>
    </row>
    <row r="57">
      <c r="A57" s="5" t="inlineStr">
        <is>
          <t>122</t>
        </is>
      </c>
      <c r="B57" s="5" t="inlineStr">
        <is>
          <t>core_wall</t>
        </is>
      </c>
      <c r="C57" s="5" t="inlineStr">
        <is>
          <t>(none)</t>
        </is>
      </c>
      <c r="D57" s="5">
        <f>COUNTIFS(Objects!$B$2:$B$947,$A57,Objects!$F$2:$F$947,$B57,Objects!$I$2:$I$947,$C57)</f>
        <v/>
      </c>
      <c r="E57" s="5">
        <f>_xlfn.MINIFS(Objects!$L$2:$L$947,Objects!$B$2:$B$947,$A57,Objects!$F$2:$F$947,$B57,Objects!$I$2:$I$947,$C57)</f>
        <v/>
      </c>
      <c r="F57" s="5">
        <f>_xlfn.MAXIFS(Objects!$L$2:$L$947,Objects!$B$2:$B$947,$A57,Objects!$F$2:$F$947,$B57,Objects!$I$2:$I$947,$C57)</f>
        <v/>
      </c>
      <c r="G57" s="5">
        <f>_xlfn.MINIFS(Objects!$M$2:$M$947,Objects!$B$2:$B$947,$A57,Objects!$F$2:$F$947,$B57,Objects!$I$2:$I$947,$C57)</f>
        <v/>
      </c>
      <c r="H57" s="5">
        <f>_xlfn.MAXIFS(Objects!$M$2:$M$947,Objects!$B$2:$B$947,$A57,Objects!$F$2:$F$947,$B57,Objects!$I$2:$I$947,$C57)</f>
        <v/>
      </c>
      <c r="I57" s="5">
        <f>IF(OR(C57="(none)",B57="raft",B57="sump_pit"),"n/a",IF(OR(B57="column",B57="shear_wall",B57="isolated_footing",B57="combined_footing"),IF(AND(F57-E57&lt;=3,H57-G57&lt;=3),"yes","no"),IF(H57-G57&lt;=3,"yes (thickness)","no (thickness)")))</f>
        <v/>
      </c>
      <c r="J57" s="6">
        <f>SUMIFS(Objects!$L$2:$L$947,Objects!$B$2:$B$947,$A57,Objects!$F$2:$F$947,$B57,Objects!$I$2:$I$947,$C57)/100</f>
        <v/>
      </c>
      <c r="K57" s="5">
        <f>COUNTIFS(Objects!$B$2:$B$947,$A57,Objects!$F$2:$F$947,$B57,Objects!$I$2:$I$947,$C57,Objects!$J$2:$J$947,"inferred*")</f>
        <v/>
      </c>
    </row>
    <row r="58">
      <c r="A58" s="5" t="inlineStr">
        <is>
          <t>122</t>
        </is>
      </c>
      <c r="B58" s="5" t="inlineStr">
        <is>
          <t>retaining_wall</t>
        </is>
      </c>
      <c r="C58" s="5" t="inlineStr">
        <is>
          <t>VP20</t>
        </is>
      </c>
      <c r="D58" s="5">
        <f>COUNTIFS(Objects!$B$2:$B$947,$A58,Objects!$F$2:$F$947,$B58,Objects!$I$2:$I$947,$C58)</f>
        <v/>
      </c>
      <c r="E58" s="5">
        <f>_xlfn.MINIFS(Objects!$L$2:$L$947,Objects!$B$2:$B$947,$A58,Objects!$F$2:$F$947,$B58,Objects!$I$2:$I$947,$C58)</f>
        <v/>
      </c>
      <c r="F58" s="5">
        <f>_xlfn.MAXIFS(Objects!$L$2:$L$947,Objects!$B$2:$B$947,$A58,Objects!$F$2:$F$947,$B58,Objects!$I$2:$I$947,$C58)</f>
        <v/>
      </c>
      <c r="G58" s="5">
        <f>_xlfn.MINIFS(Objects!$M$2:$M$947,Objects!$B$2:$B$947,$A58,Objects!$F$2:$F$947,$B58,Objects!$I$2:$I$947,$C58)</f>
        <v/>
      </c>
      <c r="H58" s="5">
        <f>_xlfn.MAXIFS(Objects!$M$2:$M$947,Objects!$B$2:$B$947,$A58,Objects!$F$2:$F$947,$B58,Objects!$I$2:$I$947,$C58)</f>
        <v/>
      </c>
      <c r="I58" s="5">
        <f>IF(OR(C58="(none)",B58="raft",B58="sump_pit"),"n/a",IF(OR(B58="column",B58="shear_wall",B58="isolated_footing",B58="combined_footing"),IF(AND(F58-E58&lt;=3,H58-G58&lt;=3),"yes","no"),IF(H58-G58&lt;=3,"yes (thickness)","no (thickness)")))</f>
        <v/>
      </c>
      <c r="J58" s="6">
        <f>SUMIFS(Objects!$L$2:$L$947,Objects!$B$2:$B$947,$A58,Objects!$F$2:$F$947,$B58,Objects!$I$2:$I$947,$C58)/100</f>
        <v/>
      </c>
      <c r="K58" s="5">
        <f>COUNTIFS(Objects!$B$2:$B$947,$A58,Objects!$F$2:$F$947,$B58,Objects!$I$2:$I$947,$C58,Objects!$J$2:$J$947,"inferred*")</f>
        <v/>
      </c>
    </row>
    <row r="59">
      <c r="A59" s="5" t="inlineStr">
        <is>
          <t>122</t>
        </is>
      </c>
      <c r="B59" s="5" t="inlineStr">
        <is>
          <t>retaining_wall</t>
        </is>
      </c>
      <c r="C59" s="5" t="inlineStr">
        <is>
          <t>VP25</t>
        </is>
      </c>
      <c r="D59" s="5">
        <f>COUNTIFS(Objects!$B$2:$B$947,$A59,Objects!$F$2:$F$947,$B59,Objects!$I$2:$I$947,$C59)</f>
        <v/>
      </c>
      <c r="E59" s="5">
        <f>_xlfn.MINIFS(Objects!$L$2:$L$947,Objects!$B$2:$B$947,$A59,Objects!$F$2:$F$947,$B59,Objects!$I$2:$I$947,$C59)</f>
        <v/>
      </c>
      <c r="F59" s="5">
        <f>_xlfn.MAXIFS(Objects!$L$2:$L$947,Objects!$B$2:$B$947,$A59,Objects!$F$2:$F$947,$B59,Objects!$I$2:$I$947,$C59)</f>
        <v/>
      </c>
      <c r="G59" s="5">
        <f>_xlfn.MINIFS(Objects!$M$2:$M$947,Objects!$B$2:$B$947,$A59,Objects!$F$2:$F$947,$B59,Objects!$I$2:$I$947,$C59)</f>
        <v/>
      </c>
      <c r="H59" s="5">
        <f>_xlfn.MAXIFS(Objects!$M$2:$M$947,Objects!$B$2:$B$947,$A59,Objects!$F$2:$F$947,$B59,Objects!$I$2:$I$947,$C59)</f>
        <v/>
      </c>
      <c r="I59" s="5">
        <f>IF(OR(C59="(none)",B59="raft",B59="sump_pit"),"n/a",IF(OR(B59="column",B59="shear_wall",B59="isolated_footing",B59="combined_footing"),IF(AND(F59-E59&lt;=3,H59-G59&lt;=3),"yes","no"),IF(H59-G59&lt;=3,"yes (thickness)","no (thickness)")))</f>
        <v/>
      </c>
      <c r="J59" s="6">
        <f>SUMIFS(Objects!$L$2:$L$947,Objects!$B$2:$B$947,$A59,Objects!$F$2:$F$947,$B59,Objects!$I$2:$I$947,$C59)/100</f>
        <v/>
      </c>
      <c r="K59" s="5">
        <f>COUNTIFS(Objects!$B$2:$B$947,$A59,Objects!$F$2:$F$947,$B59,Objects!$I$2:$I$947,$C59,Objects!$J$2:$J$947,"inferred*")</f>
        <v/>
      </c>
    </row>
    <row r="60">
      <c r="A60" s="5" t="inlineStr">
        <is>
          <t>122</t>
        </is>
      </c>
      <c r="B60" s="5" t="inlineStr">
        <is>
          <t>isolated_footing</t>
        </is>
      </c>
      <c r="C60" s="5" t="inlineStr">
        <is>
          <t>(none)</t>
        </is>
      </c>
      <c r="D60" s="5">
        <f>COUNTIFS(Objects!$B$2:$B$947,$A60,Objects!$F$2:$F$947,$B60,Objects!$I$2:$I$947,$C60)</f>
        <v/>
      </c>
      <c r="E60" s="5">
        <f>_xlfn.MINIFS(Objects!$L$2:$L$947,Objects!$B$2:$B$947,$A60,Objects!$F$2:$F$947,$B60,Objects!$I$2:$I$947,$C60)</f>
        <v/>
      </c>
      <c r="F60" s="5">
        <f>_xlfn.MAXIFS(Objects!$L$2:$L$947,Objects!$B$2:$B$947,$A60,Objects!$F$2:$F$947,$B60,Objects!$I$2:$I$947,$C60)</f>
        <v/>
      </c>
      <c r="G60" s="5">
        <f>_xlfn.MINIFS(Objects!$M$2:$M$947,Objects!$B$2:$B$947,$A60,Objects!$F$2:$F$947,$B60,Objects!$I$2:$I$947,$C60)</f>
        <v/>
      </c>
      <c r="H60" s="5">
        <f>_xlfn.MAXIFS(Objects!$M$2:$M$947,Objects!$B$2:$B$947,$A60,Objects!$F$2:$F$947,$B60,Objects!$I$2:$I$947,$C60)</f>
        <v/>
      </c>
      <c r="I60" s="5">
        <f>IF(OR(C60="(none)",B60="raft",B60="sump_pit"),"n/a",IF(OR(B60="column",B60="shear_wall",B60="isolated_footing",B60="combined_footing"),IF(AND(F60-E60&lt;=3,H60-G60&lt;=3),"yes","no"),IF(H60-G60&lt;=3,"yes (thickness)","no (thickness)")))</f>
        <v/>
      </c>
      <c r="J60" s="6">
        <f>SUMIFS(Objects!$L$2:$L$947,Objects!$B$2:$B$947,$A60,Objects!$F$2:$F$947,$B60,Objects!$I$2:$I$947,$C60)/100</f>
        <v/>
      </c>
      <c r="K60" s="5">
        <f>COUNTIFS(Objects!$B$2:$B$947,$A60,Objects!$F$2:$F$947,$B60,Objects!$I$2:$I$947,$C60,Objects!$J$2:$J$947,"inferred*")</f>
        <v/>
      </c>
    </row>
    <row r="61">
      <c r="A61" s="5" t="inlineStr">
        <is>
          <t>122</t>
        </is>
      </c>
      <c r="B61" s="5" t="inlineStr">
        <is>
          <t>isolated_footing</t>
        </is>
      </c>
      <c r="C61" s="5" t="inlineStr">
        <is>
          <t>S10</t>
        </is>
      </c>
      <c r="D61" s="5">
        <f>COUNTIFS(Objects!$B$2:$B$947,$A61,Objects!$F$2:$F$947,$B61,Objects!$I$2:$I$947,$C61)</f>
        <v/>
      </c>
      <c r="E61" s="5">
        <f>_xlfn.MINIFS(Objects!$L$2:$L$947,Objects!$B$2:$B$947,$A61,Objects!$F$2:$F$947,$B61,Objects!$I$2:$I$947,$C61)</f>
        <v/>
      </c>
      <c r="F61" s="5">
        <f>_xlfn.MAXIFS(Objects!$L$2:$L$947,Objects!$B$2:$B$947,$A61,Objects!$F$2:$F$947,$B61,Objects!$I$2:$I$947,$C61)</f>
        <v/>
      </c>
      <c r="G61" s="5">
        <f>_xlfn.MINIFS(Objects!$M$2:$M$947,Objects!$B$2:$B$947,$A61,Objects!$F$2:$F$947,$B61,Objects!$I$2:$I$947,$C61)</f>
        <v/>
      </c>
      <c r="H61" s="5">
        <f>_xlfn.MAXIFS(Objects!$M$2:$M$947,Objects!$B$2:$B$947,$A61,Objects!$F$2:$F$947,$B61,Objects!$I$2:$I$947,$C61)</f>
        <v/>
      </c>
      <c r="I61" s="5">
        <f>IF(OR(C61="(none)",B61="raft",B61="sump_pit"),"n/a",IF(OR(B61="column",B61="shear_wall",B61="isolated_footing",B61="combined_footing"),IF(AND(F61-E61&lt;=3,H61-G61&lt;=3),"yes","no"),IF(H61-G61&lt;=3,"yes (thickness)","no (thickness)")))</f>
        <v/>
      </c>
      <c r="J61" s="6">
        <f>SUMIFS(Objects!$L$2:$L$947,Objects!$B$2:$B$947,$A61,Objects!$F$2:$F$947,$B61,Objects!$I$2:$I$947,$C61)/100</f>
        <v/>
      </c>
      <c r="K61" s="5">
        <f>COUNTIFS(Objects!$B$2:$B$947,$A61,Objects!$F$2:$F$947,$B61,Objects!$I$2:$I$947,$C61,Objects!$J$2:$J$947,"inferred*")</f>
        <v/>
      </c>
    </row>
    <row r="62">
      <c r="A62" s="5" t="inlineStr">
        <is>
          <t>122</t>
        </is>
      </c>
      <c r="B62" s="5" t="inlineStr">
        <is>
          <t>isolated_footing</t>
        </is>
      </c>
      <c r="C62" s="5" t="inlineStr">
        <is>
          <t>S11</t>
        </is>
      </c>
      <c r="D62" s="5">
        <f>COUNTIFS(Objects!$B$2:$B$947,$A62,Objects!$F$2:$F$947,$B62,Objects!$I$2:$I$947,$C62)</f>
        <v/>
      </c>
      <c r="E62" s="5">
        <f>_xlfn.MINIFS(Objects!$L$2:$L$947,Objects!$B$2:$B$947,$A62,Objects!$F$2:$F$947,$B62,Objects!$I$2:$I$947,$C62)</f>
        <v/>
      </c>
      <c r="F62" s="5">
        <f>_xlfn.MAXIFS(Objects!$L$2:$L$947,Objects!$B$2:$B$947,$A62,Objects!$F$2:$F$947,$B62,Objects!$I$2:$I$947,$C62)</f>
        <v/>
      </c>
      <c r="G62" s="5">
        <f>_xlfn.MINIFS(Objects!$M$2:$M$947,Objects!$B$2:$B$947,$A62,Objects!$F$2:$F$947,$B62,Objects!$I$2:$I$947,$C62)</f>
        <v/>
      </c>
      <c r="H62" s="5">
        <f>_xlfn.MAXIFS(Objects!$M$2:$M$947,Objects!$B$2:$B$947,$A62,Objects!$F$2:$F$947,$B62,Objects!$I$2:$I$947,$C62)</f>
        <v/>
      </c>
      <c r="I62" s="5">
        <f>IF(OR(C62="(none)",B62="raft",B62="sump_pit"),"n/a",IF(OR(B62="column",B62="shear_wall",B62="isolated_footing",B62="combined_footing"),IF(AND(F62-E62&lt;=3,H62-G62&lt;=3),"yes","no"),IF(H62-G62&lt;=3,"yes (thickness)","no (thickness)")))</f>
        <v/>
      </c>
      <c r="J62" s="6">
        <f>SUMIFS(Objects!$L$2:$L$947,Objects!$B$2:$B$947,$A62,Objects!$F$2:$F$947,$B62,Objects!$I$2:$I$947,$C62)/100</f>
        <v/>
      </c>
      <c r="K62" s="5">
        <f>COUNTIFS(Objects!$B$2:$B$947,$A62,Objects!$F$2:$F$947,$B62,Objects!$I$2:$I$947,$C62,Objects!$J$2:$J$947,"inferred*")</f>
        <v/>
      </c>
    </row>
    <row r="63">
      <c r="A63" s="5" t="inlineStr">
        <is>
          <t>122</t>
        </is>
      </c>
      <c r="B63" s="5" t="inlineStr">
        <is>
          <t>isolated_footing</t>
        </is>
      </c>
      <c r="C63" s="5" t="inlineStr">
        <is>
          <t>S12</t>
        </is>
      </c>
      <c r="D63" s="5">
        <f>COUNTIFS(Objects!$B$2:$B$947,$A63,Objects!$F$2:$F$947,$B63,Objects!$I$2:$I$947,$C63)</f>
        <v/>
      </c>
      <c r="E63" s="5">
        <f>_xlfn.MINIFS(Objects!$L$2:$L$947,Objects!$B$2:$B$947,$A63,Objects!$F$2:$F$947,$B63,Objects!$I$2:$I$947,$C63)</f>
        <v/>
      </c>
      <c r="F63" s="5">
        <f>_xlfn.MAXIFS(Objects!$L$2:$L$947,Objects!$B$2:$B$947,$A63,Objects!$F$2:$F$947,$B63,Objects!$I$2:$I$947,$C63)</f>
        <v/>
      </c>
      <c r="G63" s="5">
        <f>_xlfn.MINIFS(Objects!$M$2:$M$947,Objects!$B$2:$B$947,$A63,Objects!$F$2:$F$947,$B63,Objects!$I$2:$I$947,$C63)</f>
        <v/>
      </c>
      <c r="H63" s="5">
        <f>_xlfn.MAXIFS(Objects!$M$2:$M$947,Objects!$B$2:$B$947,$A63,Objects!$F$2:$F$947,$B63,Objects!$I$2:$I$947,$C63)</f>
        <v/>
      </c>
      <c r="I63" s="5">
        <f>IF(OR(C63="(none)",B63="raft",B63="sump_pit"),"n/a",IF(OR(B63="column",B63="shear_wall",B63="isolated_footing",B63="combined_footing"),IF(AND(F63-E63&lt;=3,H63-G63&lt;=3),"yes","no"),IF(H63-G63&lt;=3,"yes (thickness)","no (thickness)")))</f>
        <v/>
      </c>
      <c r="J63" s="6">
        <f>SUMIFS(Objects!$L$2:$L$947,Objects!$B$2:$B$947,$A63,Objects!$F$2:$F$947,$B63,Objects!$I$2:$I$947,$C63)/100</f>
        <v/>
      </c>
      <c r="K63" s="5">
        <f>COUNTIFS(Objects!$B$2:$B$947,$A63,Objects!$F$2:$F$947,$B63,Objects!$I$2:$I$947,$C63,Objects!$J$2:$J$947,"inferred*")</f>
        <v/>
      </c>
    </row>
    <row r="64">
      <c r="A64" s="5" t="inlineStr">
        <is>
          <t>122</t>
        </is>
      </c>
      <c r="B64" s="5" t="inlineStr">
        <is>
          <t>isolated_footing</t>
        </is>
      </c>
      <c r="C64" s="5" t="inlineStr">
        <is>
          <t>S2</t>
        </is>
      </c>
      <c r="D64" s="5">
        <f>COUNTIFS(Objects!$B$2:$B$947,$A64,Objects!$F$2:$F$947,$B64,Objects!$I$2:$I$947,$C64)</f>
        <v/>
      </c>
      <c r="E64" s="5">
        <f>_xlfn.MINIFS(Objects!$L$2:$L$947,Objects!$B$2:$B$947,$A64,Objects!$F$2:$F$947,$B64,Objects!$I$2:$I$947,$C64)</f>
        <v/>
      </c>
      <c r="F64" s="5">
        <f>_xlfn.MAXIFS(Objects!$L$2:$L$947,Objects!$B$2:$B$947,$A64,Objects!$F$2:$F$947,$B64,Objects!$I$2:$I$947,$C64)</f>
        <v/>
      </c>
      <c r="G64" s="5">
        <f>_xlfn.MINIFS(Objects!$M$2:$M$947,Objects!$B$2:$B$947,$A64,Objects!$F$2:$F$947,$B64,Objects!$I$2:$I$947,$C64)</f>
        <v/>
      </c>
      <c r="H64" s="5">
        <f>_xlfn.MAXIFS(Objects!$M$2:$M$947,Objects!$B$2:$B$947,$A64,Objects!$F$2:$F$947,$B64,Objects!$I$2:$I$947,$C64)</f>
        <v/>
      </c>
      <c r="I64" s="5">
        <f>IF(OR(C64="(none)",B64="raft",B64="sump_pit"),"n/a",IF(OR(B64="column",B64="shear_wall",B64="isolated_footing",B64="combined_footing"),IF(AND(F64-E64&lt;=3,H64-G64&lt;=3),"yes","no"),IF(H64-G64&lt;=3,"yes (thickness)","no (thickness)")))</f>
        <v/>
      </c>
      <c r="J64" s="6">
        <f>SUMIFS(Objects!$L$2:$L$947,Objects!$B$2:$B$947,$A64,Objects!$F$2:$F$947,$B64,Objects!$I$2:$I$947,$C64)/100</f>
        <v/>
      </c>
      <c r="K64" s="5">
        <f>COUNTIFS(Objects!$B$2:$B$947,$A64,Objects!$F$2:$F$947,$B64,Objects!$I$2:$I$947,$C64,Objects!$J$2:$J$947,"inferred*")</f>
        <v/>
      </c>
    </row>
    <row r="65">
      <c r="A65" s="5" t="inlineStr">
        <is>
          <t>122</t>
        </is>
      </c>
      <c r="B65" s="5" t="inlineStr">
        <is>
          <t>combined_footing</t>
        </is>
      </c>
      <c r="C65" s="5" t="inlineStr">
        <is>
          <t>SC2</t>
        </is>
      </c>
      <c r="D65" s="5">
        <f>COUNTIFS(Objects!$B$2:$B$947,$A65,Objects!$F$2:$F$947,$B65,Objects!$I$2:$I$947,$C65)</f>
        <v/>
      </c>
      <c r="E65" s="5">
        <f>_xlfn.MINIFS(Objects!$L$2:$L$947,Objects!$B$2:$B$947,$A65,Objects!$F$2:$F$947,$B65,Objects!$I$2:$I$947,$C65)</f>
        <v/>
      </c>
      <c r="F65" s="5">
        <f>_xlfn.MAXIFS(Objects!$L$2:$L$947,Objects!$B$2:$B$947,$A65,Objects!$F$2:$F$947,$B65,Objects!$I$2:$I$947,$C65)</f>
        <v/>
      </c>
      <c r="G65" s="5">
        <f>_xlfn.MINIFS(Objects!$M$2:$M$947,Objects!$B$2:$B$947,$A65,Objects!$F$2:$F$947,$B65,Objects!$I$2:$I$947,$C65)</f>
        <v/>
      </c>
      <c r="H65" s="5">
        <f>_xlfn.MAXIFS(Objects!$M$2:$M$947,Objects!$B$2:$B$947,$A65,Objects!$F$2:$F$947,$B65,Objects!$I$2:$I$947,$C65)</f>
        <v/>
      </c>
      <c r="I65" s="5">
        <f>IF(OR(C65="(none)",B65="raft",B65="sump_pit"),"n/a",IF(OR(B65="column",B65="shear_wall",B65="isolated_footing",B65="combined_footing"),IF(AND(F65-E65&lt;=3,H65-G65&lt;=3),"yes","no"),IF(H65-G65&lt;=3,"yes (thickness)","no (thickness)")))</f>
        <v/>
      </c>
      <c r="J65" s="6">
        <f>SUMIFS(Objects!$L$2:$L$947,Objects!$B$2:$B$947,$A65,Objects!$F$2:$F$947,$B65,Objects!$I$2:$I$947,$C65)/100</f>
        <v/>
      </c>
      <c r="K65" s="5">
        <f>COUNTIFS(Objects!$B$2:$B$947,$A65,Objects!$F$2:$F$947,$B65,Objects!$I$2:$I$947,$C65,Objects!$J$2:$J$947,"inferred*")</f>
        <v/>
      </c>
    </row>
    <row r="66">
      <c r="A66" s="5" t="inlineStr">
        <is>
          <t>122</t>
        </is>
      </c>
      <c r="B66" s="5" t="inlineStr">
        <is>
          <t>combined_footing</t>
        </is>
      </c>
      <c r="C66" s="5" t="inlineStr">
        <is>
          <t>SC3</t>
        </is>
      </c>
      <c r="D66" s="5">
        <f>COUNTIFS(Objects!$B$2:$B$947,$A66,Objects!$F$2:$F$947,$B66,Objects!$I$2:$I$947,$C66)</f>
        <v/>
      </c>
      <c r="E66" s="5">
        <f>_xlfn.MINIFS(Objects!$L$2:$L$947,Objects!$B$2:$B$947,$A66,Objects!$F$2:$F$947,$B66,Objects!$I$2:$I$947,$C66)</f>
        <v/>
      </c>
      <c r="F66" s="5">
        <f>_xlfn.MAXIFS(Objects!$L$2:$L$947,Objects!$B$2:$B$947,$A66,Objects!$F$2:$F$947,$B66,Objects!$I$2:$I$947,$C66)</f>
        <v/>
      </c>
      <c r="G66" s="5">
        <f>_xlfn.MINIFS(Objects!$M$2:$M$947,Objects!$B$2:$B$947,$A66,Objects!$F$2:$F$947,$B66,Objects!$I$2:$I$947,$C66)</f>
        <v/>
      </c>
      <c r="H66" s="5">
        <f>_xlfn.MAXIFS(Objects!$M$2:$M$947,Objects!$B$2:$B$947,$A66,Objects!$F$2:$F$947,$B66,Objects!$I$2:$I$947,$C66)</f>
        <v/>
      </c>
      <c r="I66" s="5">
        <f>IF(OR(C66="(none)",B66="raft",B66="sump_pit"),"n/a",IF(OR(B66="column",B66="shear_wall",B66="isolated_footing",B66="combined_footing"),IF(AND(F66-E66&lt;=3,H66-G66&lt;=3),"yes","no"),IF(H66-G66&lt;=3,"yes (thickness)","no (thickness)")))</f>
        <v/>
      </c>
      <c r="J66" s="6">
        <f>SUMIFS(Objects!$L$2:$L$947,Objects!$B$2:$B$947,$A66,Objects!$F$2:$F$947,$B66,Objects!$I$2:$I$947,$C66)/100</f>
        <v/>
      </c>
      <c r="K66" s="5">
        <f>COUNTIFS(Objects!$B$2:$B$947,$A66,Objects!$F$2:$F$947,$B66,Objects!$I$2:$I$947,$C66,Objects!$J$2:$J$947,"inferred*")</f>
        <v/>
      </c>
    </row>
    <row r="67">
      <c r="A67" s="5" t="inlineStr">
        <is>
          <t>122</t>
        </is>
      </c>
      <c r="B67" s="5" t="inlineStr">
        <is>
          <t>strip_footing</t>
        </is>
      </c>
      <c r="C67" s="5" t="inlineStr">
        <is>
          <t>(none)</t>
        </is>
      </c>
      <c r="D67" s="5">
        <f>COUNTIFS(Objects!$B$2:$B$947,$A67,Objects!$F$2:$F$947,$B67,Objects!$I$2:$I$947,$C67)</f>
        <v/>
      </c>
      <c r="E67" s="5">
        <f>_xlfn.MINIFS(Objects!$L$2:$L$947,Objects!$B$2:$B$947,$A67,Objects!$F$2:$F$947,$B67,Objects!$I$2:$I$947,$C67)</f>
        <v/>
      </c>
      <c r="F67" s="5">
        <f>_xlfn.MAXIFS(Objects!$L$2:$L$947,Objects!$B$2:$B$947,$A67,Objects!$F$2:$F$947,$B67,Objects!$I$2:$I$947,$C67)</f>
        <v/>
      </c>
      <c r="G67" s="5">
        <f>_xlfn.MINIFS(Objects!$M$2:$M$947,Objects!$B$2:$B$947,$A67,Objects!$F$2:$F$947,$B67,Objects!$I$2:$I$947,$C67)</f>
        <v/>
      </c>
      <c r="H67" s="5">
        <f>_xlfn.MAXIFS(Objects!$M$2:$M$947,Objects!$B$2:$B$947,$A67,Objects!$F$2:$F$947,$B67,Objects!$I$2:$I$947,$C67)</f>
        <v/>
      </c>
      <c r="I67" s="5">
        <f>IF(OR(C67="(none)",B67="raft",B67="sump_pit"),"n/a",IF(OR(B67="column",B67="shear_wall",B67="isolated_footing",B67="combined_footing"),IF(AND(F67-E67&lt;=3,H67-G67&lt;=3),"yes","no"),IF(H67-G67&lt;=3,"yes (thickness)","no (thickness)")))</f>
        <v/>
      </c>
      <c r="J67" s="6">
        <f>SUMIFS(Objects!$L$2:$L$947,Objects!$B$2:$B$947,$A67,Objects!$F$2:$F$947,$B67,Objects!$I$2:$I$947,$C67)/100</f>
        <v/>
      </c>
      <c r="K67" s="5">
        <f>COUNTIFS(Objects!$B$2:$B$947,$A67,Objects!$F$2:$F$947,$B67,Objects!$I$2:$I$947,$C67,Objects!$J$2:$J$947,"inferred*")</f>
        <v/>
      </c>
    </row>
    <row r="68">
      <c r="A68" s="5" t="inlineStr">
        <is>
          <t>122</t>
        </is>
      </c>
      <c r="B68" s="5" t="inlineStr">
        <is>
          <t>strip_footing</t>
        </is>
      </c>
      <c r="C68" s="5" t="inlineStr">
        <is>
          <t>SF1</t>
        </is>
      </c>
      <c r="D68" s="5">
        <f>COUNTIFS(Objects!$B$2:$B$947,$A68,Objects!$F$2:$F$947,$B68,Objects!$I$2:$I$947,$C68)</f>
        <v/>
      </c>
      <c r="E68" s="5">
        <f>_xlfn.MINIFS(Objects!$L$2:$L$947,Objects!$B$2:$B$947,$A68,Objects!$F$2:$F$947,$B68,Objects!$I$2:$I$947,$C68)</f>
        <v/>
      </c>
      <c r="F68" s="5">
        <f>_xlfn.MAXIFS(Objects!$L$2:$L$947,Objects!$B$2:$B$947,$A68,Objects!$F$2:$F$947,$B68,Objects!$I$2:$I$947,$C68)</f>
        <v/>
      </c>
      <c r="G68" s="5">
        <f>_xlfn.MINIFS(Objects!$M$2:$M$947,Objects!$B$2:$B$947,$A68,Objects!$F$2:$F$947,$B68,Objects!$I$2:$I$947,$C68)</f>
        <v/>
      </c>
      <c r="H68" s="5">
        <f>_xlfn.MAXIFS(Objects!$M$2:$M$947,Objects!$B$2:$B$947,$A68,Objects!$F$2:$F$947,$B68,Objects!$I$2:$I$947,$C68)</f>
        <v/>
      </c>
      <c r="I68" s="5">
        <f>IF(OR(C68="(none)",B68="raft",B68="sump_pit"),"n/a",IF(OR(B68="column",B68="shear_wall",B68="isolated_footing",B68="combined_footing"),IF(AND(F68-E68&lt;=3,H68-G68&lt;=3),"yes","no"),IF(H68-G68&lt;=3,"yes (thickness)","no (thickness)")))</f>
        <v/>
      </c>
      <c r="J68" s="6">
        <f>SUMIFS(Objects!$L$2:$L$947,Objects!$B$2:$B$947,$A68,Objects!$F$2:$F$947,$B68,Objects!$I$2:$I$947,$C68)/100</f>
        <v/>
      </c>
      <c r="K68" s="5">
        <f>COUNTIFS(Objects!$B$2:$B$947,$A68,Objects!$F$2:$F$947,$B68,Objects!$I$2:$I$947,$C68,Objects!$J$2:$J$947,"inferred*")</f>
        <v/>
      </c>
    </row>
    <row r="69">
      <c r="A69" s="5" t="inlineStr">
        <is>
          <t>122</t>
        </is>
      </c>
      <c r="B69" s="5" t="inlineStr">
        <is>
          <t>strip_footing</t>
        </is>
      </c>
      <c r="C69" s="5" t="inlineStr">
        <is>
          <t>SF4</t>
        </is>
      </c>
      <c r="D69" s="5">
        <f>COUNTIFS(Objects!$B$2:$B$947,$A69,Objects!$F$2:$F$947,$B69,Objects!$I$2:$I$947,$C69)</f>
        <v/>
      </c>
      <c r="E69" s="5">
        <f>_xlfn.MINIFS(Objects!$L$2:$L$947,Objects!$B$2:$B$947,$A69,Objects!$F$2:$F$947,$B69,Objects!$I$2:$I$947,$C69)</f>
        <v/>
      </c>
      <c r="F69" s="5">
        <f>_xlfn.MAXIFS(Objects!$L$2:$L$947,Objects!$B$2:$B$947,$A69,Objects!$F$2:$F$947,$B69,Objects!$I$2:$I$947,$C69)</f>
        <v/>
      </c>
      <c r="G69" s="5">
        <f>_xlfn.MINIFS(Objects!$M$2:$M$947,Objects!$B$2:$B$947,$A69,Objects!$F$2:$F$947,$B69,Objects!$I$2:$I$947,$C69)</f>
        <v/>
      </c>
      <c r="H69" s="5">
        <f>_xlfn.MAXIFS(Objects!$M$2:$M$947,Objects!$B$2:$B$947,$A69,Objects!$F$2:$F$947,$B69,Objects!$I$2:$I$947,$C69)</f>
        <v/>
      </c>
      <c r="I69" s="5">
        <f>IF(OR(C69="(none)",B69="raft",B69="sump_pit"),"n/a",IF(OR(B69="column",B69="shear_wall",B69="isolated_footing",B69="combined_footing"),IF(AND(F69-E69&lt;=3,H69-G69&lt;=3),"yes","no"),IF(H69-G69&lt;=3,"yes (thickness)","no (thickness)")))</f>
        <v/>
      </c>
      <c r="J69" s="6">
        <f>SUMIFS(Objects!$L$2:$L$947,Objects!$B$2:$B$947,$A69,Objects!$F$2:$F$947,$B69,Objects!$I$2:$I$947,$C69)/100</f>
        <v/>
      </c>
      <c r="K69" s="5">
        <f>COUNTIFS(Objects!$B$2:$B$947,$A69,Objects!$F$2:$F$947,$B69,Objects!$I$2:$I$947,$C69,Objects!$J$2:$J$947,"inferred*")</f>
        <v/>
      </c>
    </row>
    <row r="70">
      <c r="A70" s="5" t="inlineStr">
        <is>
          <t>122</t>
        </is>
      </c>
      <c r="B70" s="5" t="inlineStr">
        <is>
          <t>grade_beam</t>
        </is>
      </c>
      <c r="C70" s="5" t="inlineStr">
        <is>
          <t>(none)</t>
        </is>
      </c>
      <c r="D70" s="5">
        <f>COUNTIFS(Objects!$B$2:$B$947,$A70,Objects!$F$2:$F$947,$B70,Objects!$I$2:$I$947,$C70)</f>
        <v/>
      </c>
      <c r="E70" s="5">
        <f>_xlfn.MINIFS(Objects!$L$2:$L$947,Objects!$B$2:$B$947,$A70,Objects!$F$2:$F$947,$B70,Objects!$I$2:$I$947,$C70)</f>
        <v/>
      </c>
      <c r="F70" s="5">
        <f>_xlfn.MAXIFS(Objects!$L$2:$L$947,Objects!$B$2:$B$947,$A70,Objects!$F$2:$F$947,$B70,Objects!$I$2:$I$947,$C70)</f>
        <v/>
      </c>
      <c r="G70" s="5">
        <f>_xlfn.MINIFS(Objects!$M$2:$M$947,Objects!$B$2:$B$947,$A70,Objects!$F$2:$F$947,$B70,Objects!$I$2:$I$947,$C70)</f>
        <v/>
      </c>
      <c r="H70" s="5">
        <f>_xlfn.MAXIFS(Objects!$M$2:$M$947,Objects!$B$2:$B$947,$A70,Objects!$F$2:$F$947,$B70,Objects!$I$2:$I$947,$C70)</f>
        <v/>
      </c>
      <c r="I70" s="5">
        <f>IF(OR(C70="(none)",B70="raft",B70="sump_pit"),"n/a",IF(OR(B70="column",B70="shear_wall",B70="isolated_footing",B70="combined_footing"),IF(AND(F70-E70&lt;=3,H70-G70&lt;=3),"yes","no"),IF(H70-G70&lt;=3,"yes (thickness)","no (thickness)")))</f>
        <v/>
      </c>
      <c r="J70" s="6">
        <f>SUMIFS(Objects!$L$2:$L$947,Objects!$B$2:$B$947,$A70,Objects!$F$2:$F$947,$B70,Objects!$I$2:$I$947,$C70)/100</f>
        <v/>
      </c>
      <c r="K70" s="5">
        <f>COUNTIFS(Objects!$B$2:$B$947,$A70,Objects!$F$2:$F$947,$B70,Objects!$I$2:$I$947,$C70,Objects!$J$2:$J$947,"inferred*")</f>
        <v/>
      </c>
    </row>
    <row r="71">
      <c r="A71" s="5" t="inlineStr">
        <is>
          <t>122</t>
        </is>
      </c>
      <c r="B71" s="5" t="inlineStr">
        <is>
          <t>grade_beam</t>
        </is>
      </c>
      <c r="C71" s="5" t="inlineStr">
        <is>
          <t>LG25x40</t>
        </is>
      </c>
      <c r="D71" s="5">
        <f>COUNTIFS(Objects!$B$2:$B$947,$A71,Objects!$F$2:$F$947,$B71,Objects!$I$2:$I$947,$C71)</f>
        <v/>
      </c>
      <c r="E71" s="5">
        <f>_xlfn.MINIFS(Objects!$L$2:$L$947,Objects!$B$2:$B$947,$A71,Objects!$F$2:$F$947,$B71,Objects!$I$2:$I$947,$C71)</f>
        <v/>
      </c>
      <c r="F71" s="5">
        <f>_xlfn.MAXIFS(Objects!$L$2:$L$947,Objects!$B$2:$B$947,$A71,Objects!$F$2:$F$947,$B71,Objects!$I$2:$I$947,$C71)</f>
        <v/>
      </c>
      <c r="G71" s="5">
        <f>_xlfn.MINIFS(Objects!$M$2:$M$947,Objects!$B$2:$B$947,$A71,Objects!$F$2:$F$947,$B71,Objects!$I$2:$I$947,$C71)</f>
        <v/>
      </c>
      <c r="H71" s="5">
        <f>_xlfn.MAXIFS(Objects!$M$2:$M$947,Objects!$B$2:$B$947,$A71,Objects!$F$2:$F$947,$B71,Objects!$I$2:$I$947,$C71)</f>
        <v/>
      </c>
      <c r="I71" s="5">
        <f>IF(OR(C71="(none)",B71="raft",B71="sump_pit"),"n/a",IF(OR(B71="column",B71="shear_wall",B71="isolated_footing",B71="combined_footing"),IF(AND(F71-E71&lt;=3,H71-G71&lt;=3),"yes","no"),IF(H71-G71&lt;=3,"yes (thickness)","no (thickness)")))</f>
        <v/>
      </c>
      <c r="J71" s="6">
        <f>SUMIFS(Objects!$L$2:$L$947,Objects!$B$2:$B$947,$A71,Objects!$F$2:$F$947,$B71,Objects!$I$2:$I$947,$C71)/100</f>
        <v/>
      </c>
      <c r="K71" s="5">
        <f>COUNTIFS(Objects!$B$2:$B$947,$A71,Objects!$F$2:$F$947,$B71,Objects!$I$2:$I$947,$C71,Objects!$J$2:$J$947,"inferred*")</f>
        <v/>
      </c>
    </row>
    <row r="72">
      <c r="A72" s="5" t="inlineStr">
        <is>
          <t>122</t>
        </is>
      </c>
      <c r="B72" s="5" t="inlineStr">
        <is>
          <t>grade_beam</t>
        </is>
      </c>
      <c r="C72" s="5" t="inlineStr">
        <is>
          <t>LG40x15</t>
        </is>
      </c>
      <c r="D72" s="5">
        <f>COUNTIFS(Objects!$B$2:$B$947,$A72,Objects!$F$2:$F$947,$B72,Objects!$I$2:$I$947,$C72)</f>
        <v/>
      </c>
      <c r="E72" s="5">
        <f>_xlfn.MINIFS(Objects!$L$2:$L$947,Objects!$B$2:$B$947,$A72,Objects!$F$2:$F$947,$B72,Objects!$I$2:$I$947,$C72)</f>
        <v/>
      </c>
      <c r="F72" s="5">
        <f>_xlfn.MAXIFS(Objects!$L$2:$L$947,Objects!$B$2:$B$947,$A72,Objects!$F$2:$F$947,$B72,Objects!$I$2:$I$947,$C72)</f>
        <v/>
      </c>
      <c r="G72" s="5">
        <f>_xlfn.MINIFS(Objects!$M$2:$M$947,Objects!$B$2:$B$947,$A72,Objects!$F$2:$F$947,$B72,Objects!$I$2:$I$947,$C72)</f>
        <v/>
      </c>
      <c r="H72" s="5">
        <f>_xlfn.MAXIFS(Objects!$M$2:$M$947,Objects!$B$2:$B$947,$A72,Objects!$F$2:$F$947,$B72,Objects!$I$2:$I$947,$C72)</f>
        <v/>
      </c>
      <c r="I72" s="5">
        <f>IF(OR(C72="(none)",B72="raft",B72="sump_pit"),"n/a",IF(OR(B72="column",B72="shear_wall",B72="isolated_footing",B72="combined_footing"),IF(AND(F72-E72&lt;=3,H72-G72&lt;=3),"yes","no"),IF(H72-G72&lt;=3,"yes (thickness)","no (thickness)")))</f>
        <v/>
      </c>
      <c r="J72" s="6">
        <f>SUMIFS(Objects!$L$2:$L$947,Objects!$B$2:$B$947,$A72,Objects!$F$2:$F$947,$B72,Objects!$I$2:$I$947,$C72)/100</f>
        <v/>
      </c>
      <c r="K72" s="5">
        <f>COUNTIFS(Objects!$B$2:$B$947,$A72,Objects!$F$2:$F$947,$B72,Objects!$I$2:$I$947,$C72,Objects!$J$2:$J$947,"inferred*")</f>
        <v/>
      </c>
    </row>
    <row r="73">
      <c r="A73" s="5" t="inlineStr">
        <is>
          <t>122</t>
        </is>
      </c>
      <c r="B73" s="5" t="inlineStr">
        <is>
          <t>raft</t>
        </is>
      </c>
      <c r="C73" s="5" t="inlineStr">
        <is>
          <t>Radier 100</t>
        </is>
      </c>
      <c r="D73" s="5">
        <f>COUNTIFS(Objects!$B$2:$B$947,$A73,Objects!$F$2:$F$947,$B73,Objects!$I$2:$I$947,$C73)</f>
        <v/>
      </c>
      <c r="E73" s="5">
        <f>_xlfn.MINIFS(Objects!$L$2:$L$947,Objects!$B$2:$B$947,$A73,Objects!$F$2:$F$947,$B73,Objects!$I$2:$I$947,$C73)</f>
        <v/>
      </c>
      <c r="F73" s="5">
        <f>_xlfn.MAXIFS(Objects!$L$2:$L$947,Objects!$B$2:$B$947,$A73,Objects!$F$2:$F$947,$B73,Objects!$I$2:$I$947,$C73)</f>
        <v/>
      </c>
      <c r="G73" s="5">
        <f>_xlfn.MINIFS(Objects!$M$2:$M$947,Objects!$B$2:$B$947,$A73,Objects!$F$2:$F$947,$B73,Objects!$I$2:$I$947,$C73)</f>
        <v/>
      </c>
      <c r="H73" s="5">
        <f>_xlfn.MAXIFS(Objects!$M$2:$M$947,Objects!$B$2:$B$947,$A73,Objects!$F$2:$F$947,$B73,Objects!$I$2:$I$947,$C73)</f>
        <v/>
      </c>
      <c r="I73" s="5">
        <f>IF(OR(C73="(none)",B73="raft",B73="sump_pit"),"n/a",IF(OR(B73="column",B73="shear_wall",B73="isolated_footing",B73="combined_footing"),IF(AND(F73-E73&lt;=3,H73-G73&lt;=3),"yes","no"),IF(H73-G73&lt;=3,"yes (thickness)","no (thickness)")))</f>
        <v/>
      </c>
      <c r="J73" s="6">
        <f>SUMIFS(Objects!$L$2:$L$947,Objects!$B$2:$B$947,$A73,Objects!$F$2:$F$947,$B73,Objects!$I$2:$I$947,$C73)/100</f>
        <v/>
      </c>
      <c r="K73" s="5">
        <f>COUNTIFS(Objects!$B$2:$B$947,$A73,Objects!$F$2:$F$947,$B73,Objects!$I$2:$I$947,$C73,Objects!$J$2:$J$947,"inferred*")</f>
        <v/>
      </c>
    </row>
    <row r="74">
      <c r="A74" s="5" t="inlineStr">
        <is>
          <t>123</t>
        </is>
      </c>
      <c r="B74" s="5" t="inlineStr">
        <is>
          <t>shear_wall</t>
        </is>
      </c>
      <c r="C74" s="5" t="inlineStr">
        <is>
          <t>V1/123</t>
        </is>
      </c>
      <c r="D74" s="5">
        <f>COUNTIFS(Objects!$B$2:$B$947,$A74,Objects!$F$2:$F$947,$B74,Objects!$I$2:$I$947,$C74)</f>
        <v/>
      </c>
      <c r="E74" s="5">
        <f>_xlfn.MINIFS(Objects!$L$2:$L$947,Objects!$B$2:$B$947,$A74,Objects!$F$2:$F$947,$B74,Objects!$I$2:$I$947,$C74)</f>
        <v/>
      </c>
      <c r="F74" s="5">
        <f>_xlfn.MAXIFS(Objects!$L$2:$L$947,Objects!$B$2:$B$947,$A74,Objects!$F$2:$F$947,$B74,Objects!$I$2:$I$947,$C74)</f>
        <v/>
      </c>
      <c r="G74" s="5">
        <f>_xlfn.MINIFS(Objects!$M$2:$M$947,Objects!$B$2:$B$947,$A74,Objects!$F$2:$F$947,$B74,Objects!$I$2:$I$947,$C74)</f>
        <v/>
      </c>
      <c r="H74" s="5">
        <f>_xlfn.MAXIFS(Objects!$M$2:$M$947,Objects!$B$2:$B$947,$A74,Objects!$F$2:$F$947,$B74,Objects!$I$2:$I$947,$C74)</f>
        <v/>
      </c>
      <c r="I74" s="5">
        <f>IF(OR(C74="(none)",B74="raft",B74="sump_pit"),"n/a",IF(OR(B74="column",B74="shear_wall",B74="isolated_footing",B74="combined_footing"),IF(AND(F74-E74&lt;=3,H74-G74&lt;=3),"yes","no"),IF(H74-G74&lt;=3,"yes (thickness)","no (thickness)")))</f>
        <v/>
      </c>
      <c r="J74" s="6">
        <f>SUMIFS(Objects!$L$2:$L$947,Objects!$B$2:$B$947,$A74,Objects!$F$2:$F$947,$B74,Objects!$I$2:$I$947,$C74)/100</f>
        <v/>
      </c>
      <c r="K74" s="5">
        <f>COUNTIFS(Objects!$B$2:$B$947,$A74,Objects!$F$2:$F$947,$B74,Objects!$I$2:$I$947,$C74,Objects!$J$2:$J$947,"inferred*")</f>
        <v/>
      </c>
    </row>
    <row r="75">
      <c r="A75" s="5" t="inlineStr">
        <is>
          <t>123</t>
        </is>
      </c>
      <c r="B75" s="5" t="inlineStr">
        <is>
          <t>shear_wall</t>
        </is>
      </c>
      <c r="C75" s="5" t="inlineStr">
        <is>
          <t>V2/123</t>
        </is>
      </c>
      <c r="D75" s="5">
        <f>COUNTIFS(Objects!$B$2:$B$947,$A75,Objects!$F$2:$F$947,$B75,Objects!$I$2:$I$947,$C75)</f>
        <v/>
      </c>
      <c r="E75" s="5">
        <f>_xlfn.MINIFS(Objects!$L$2:$L$947,Objects!$B$2:$B$947,$A75,Objects!$F$2:$F$947,$B75,Objects!$I$2:$I$947,$C75)</f>
        <v/>
      </c>
      <c r="F75" s="5">
        <f>_xlfn.MAXIFS(Objects!$L$2:$L$947,Objects!$B$2:$B$947,$A75,Objects!$F$2:$F$947,$B75,Objects!$I$2:$I$947,$C75)</f>
        <v/>
      </c>
      <c r="G75" s="5">
        <f>_xlfn.MINIFS(Objects!$M$2:$M$947,Objects!$B$2:$B$947,$A75,Objects!$F$2:$F$947,$B75,Objects!$I$2:$I$947,$C75)</f>
        <v/>
      </c>
      <c r="H75" s="5">
        <f>_xlfn.MAXIFS(Objects!$M$2:$M$947,Objects!$B$2:$B$947,$A75,Objects!$F$2:$F$947,$B75,Objects!$I$2:$I$947,$C75)</f>
        <v/>
      </c>
      <c r="I75" s="5">
        <f>IF(OR(C75="(none)",B75="raft",B75="sump_pit"),"n/a",IF(OR(B75="column",B75="shear_wall",B75="isolated_footing",B75="combined_footing"),IF(AND(F75-E75&lt;=3,H75-G75&lt;=3),"yes","no"),IF(H75-G75&lt;=3,"yes (thickness)","no (thickness)")))</f>
        <v/>
      </c>
      <c r="J75" s="6">
        <f>SUMIFS(Objects!$L$2:$L$947,Objects!$B$2:$B$947,$A75,Objects!$F$2:$F$947,$B75,Objects!$I$2:$I$947,$C75)/100</f>
        <v/>
      </c>
      <c r="K75" s="5">
        <f>COUNTIFS(Objects!$B$2:$B$947,$A75,Objects!$F$2:$F$947,$B75,Objects!$I$2:$I$947,$C75,Objects!$J$2:$J$947,"inferred*")</f>
        <v/>
      </c>
    </row>
    <row r="76">
      <c r="A76" s="5" t="inlineStr">
        <is>
          <t>123</t>
        </is>
      </c>
      <c r="B76" s="5" t="inlineStr">
        <is>
          <t>shear_wall</t>
        </is>
      </c>
      <c r="C76" s="5" t="inlineStr">
        <is>
          <t>V3/123</t>
        </is>
      </c>
      <c r="D76" s="5">
        <f>COUNTIFS(Objects!$B$2:$B$947,$A76,Objects!$F$2:$F$947,$B76,Objects!$I$2:$I$947,$C76)</f>
        <v/>
      </c>
      <c r="E76" s="5">
        <f>_xlfn.MINIFS(Objects!$L$2:$L$947,Objects!$B$2:$B$947,$A76,Objects!$F$2:$F$947,$B76,Objects!$I$2:$I$947,$C76)</f>
        <v/>
      </c>
      <c r="F76" s="5">
        <f>_xlfn.MAXIFS(Objects!$L$2:$L$947,Objects!$B$2:$B$947,$A76,Objects!$F$2:$F$947,$B76,Objects!$I$2:$I$947,$C76)</f>
        <v/>
      </c>
      <c r="G76" s="5">
        <f>_xlfn.MINIFS(Objects!$M$2:$M$947,Objects!$B$2:$B$947,$A76,Objects!$F$2:$F$947,$B76,Objects!$I$2:$I$947,$C76)</f>
        <v/>
      </c>
      <c r="H76" s="5">
        <f>_xlfn.MAXIFS(Objects!$M$2:$M$947,Objects!$B$2:$B$947,$A76,Objects!$F$2:$F$947,$B76,Objects!$I$2:$I$947,$C76)</f>
        <v/>
      </c>
      <c r="I76" s="5">
        <f>IF(OR(C76="(none)",B76="raft",B76="sump_pit"),"n/a",IF(OR(B76="column",B76="shear_wall",B76="isolated_footing",B76="combined_footing"),IF(AND(F76-E76&lt;=3,H76-G76&lt;=3),"yes","no"),IF(H76-G76&lt;=3,"yes (thickness)","no (thickness)")))</f>
        <v/>
      </c>
      <c r="J76" s="6">
        <f>SUMIFS(Objects!$L$2:$L$947,Objects!$B$2:$B$947,$A76,Objects!$F$2:$F$947,$B76,Objects!$I$2:$I$947,$C76)/100</f>
        <v/>
      </c>
      <c r="K76" s="5">
        <f>COUNTIFS(Objects!$B$2:$B$947,$A76,Objects!$F$2:$F$947,$B76,Objects!$I$2:$I$947,$C76,Objects!$J$2:$J$947,"inferred*")</f>
        <v/>
      </c>
    </row>
    <row r="77">
      <c r="A77" s="5" t="inlineStr">
        <is>
          <t>123</t>
        </is>
      </c>
      <c r="B77" s="5" t="inlineStr">
        <is>
          <t>shear_wall</t>
        </is>
      </c>
      <c r="C77" s="5" t="inlineStr">
        <is>
          <t>V4/123</t>
        </is>
      </c>
      <c r="D77" s="5">
        <f>COUNTIFS(Objects!$B$2:$B$947,$A77,Objects!$F$2:$F$947,$B77,Objects!$I$2:$I$947,$C77)</f>
        <v/>
      </c>
      <c r="E77" s="5">
        <f>_xlfn.MINIFS(Objects!$L$2:$L$947,Objects!$B$2:$B$947,$A77,Objects!$F$2:$F$947,$B77,Objects!$I$2:$I$947,$C77)</f>
        <v/>
      </c>
      <c r="F77" s="5">
        <f>_xlfn.MAXIFS(Objects!$L$2:$L$947,Objects!$B$2:$B$947,$A77,Objects!$F$2:$F$947,$B77,Objects!$I$2:$I$947,$C77)</f>
        <v/>
      </c>
      <c r="G77" s="5">
        <f>_xlfn.MINIFS(Objects!$M$2:$M$947,Objects!$B$2:$B$947,$A77,Objects!$F$2:$F$947,$B77,Objects!$I$2:$I$947,$C77)</f>
        <v/>
      </c>
      <c r="H77" s="5">
        <f>_xlfn.MAXIFS(Objects!$M$2:$M$947,Objects!$B$2:$B$947,$A77,Objects!$F$2:$F$947,$B77,Objects!$I$2:$I$947,$C77)</f>
        <v/>
      </c>
      <c r="I77" s="5">
        <f>IF(OR(C77="(none)",B77="raft",B77="sump_pit"),"n/a",IF(OR(B77="column",B77="shear_wall",B77="isolated_footing",B77="combined_footing"),IF(AND(F77-E77&lt;=3,H77-G77&lt;=3),"yes","no"),IF(H77-G77&lt;=3,"yes (thickness)","no (thickness)")))</f>
        <v/>
      </c>
      <c r="J77" s="6">
        <f>SUMIFS(Objects!$L$2:$L$947,Objects!$B$2:$B$947,$A77,Objects!$F$2:$F$947,$B77,Objects!$I$2:$I$947,$C77)/100</f>
        <v/>
      </c>
      <c r="K77" s="5">
        <f>COUNTIFS(Objects!$B$2:$B$947,$A77,Objects!$F$2:$F$947,$B77,Objects!$I$2:$I$947,$C77,Objects!$J$2:$J$947,"inferred*")</f>
        <v/>
      </c>
    </row>
    <row r="78">
      <c r="A78" s="5" t="inlineStr">
        <is>
          <t>123</t>
        </is>
      </c>
      <c r="B78" s="5" t="inlineStr">
        <is>
          <t>shear_wall</t>
        </is>
      </c>
      <c r="C78" s="5" t="inlineStr">
        <is>
          <t>V5/123</t>
        </is>
      </c>
      <c r="D78" s="5">
        <f>COUNTIFS(Objects!$B$2:$B$947,$A78,Objects!$F$2:$F$947,$B78,Objects!$I$2:$I$947,$C78)</f>
        <v/>
      </c>
      <c r="E78" s="5">
        <f>_xlfn.MINIFS(Objects!$L$2:$L$947,Objects!$B$2:$B$947,$A78,Objects!$F$2:$F$947,$B78,Objects!$I$2:$I$947,$C78)</f>
        <v/>
      </c>
      <c r="F78" s="5">
        <f>_xlfn.MAXIFS(Objects!$L$2:$L$947,Objects!$B$2:$B$947,$A78,Objects!$F$2:$F$947,$B78,Objects!$I$2:$I$947,$C78)</f>
        <v/>
      </c>
      <c r="G78" s="5">
        <f>_xlfn.MINIFS(Objects!$M$2:$M$947,Objects!$B$2:$B$947,$A78,Objects!$F$2:$F$947,$B78,Objects!$I$2:$I$947,$C78)</f>
        <v/>
      </c>
      <c r="H78" s="5">
        <f>_xlfn.MAXIFS(Objects!$M$2:$M$947,Objects!$B$2:$B$947,$A78,Objects!$F$2:$F$947,$B78,Objects!$I$2:$I$947,$C78)</f>
        <v/>
      </c>
      <c r="I78" s="5">
        <f>IF(OR(C78="(none)",B78="raft",B78="sump_pit"),"n/a",IF(OR(B78="column",B78="shear_wall",B78="isolated_footing",B78="combined_footing"),IF(AND(F78-E78&lt;=3,H78-G78&lt;=3),"yes","no"),IF(H78-G78&lt;=3,"yes (thickness)","no (thickness)")))</f>
        <v/>
      </c>
      <c r="J78" s="6">
        <f>SUMIFS(Objects!$L$2:$L$947,Objects!$B$2:$B$947,$A78,Objects!$F$2:$F$947,$B78,Objects!$I$2:$I$947,$C78)/100</f>
        <v/>
      </c>
      <c r="K78" s="5">
        <f>COUNTIFS(Objects!$B$2:$B$947,$A78,Objects!$F$2:$F$947,$B78,Objects!$I$2:$I$947,$C78,Objects!$J$2:$J$947,"inferred*")</f>
        <v/>
      </c>
    </row>
    <row r="79">
      <c r="A79" s="5" t="inlineStr">
        <is>
          <t>123</t>
        </is>
      </c>
      <c r="B79" s="5" t="inlineStr">
        <is>
          <t>shear_wall</t>
        </is>
      </c>
      <c r="C79" s="5" t="inlineStr">
        <is>
          <t>V6/123</t>
        </is>
      </c>
      <c r="D79" s="5">
        <f>COUNTIFS(Objects!$B$2:$B$947,$A79,Objects!$F$2:$F$947,$B79,Objects!$I$2:$I$947,$C79)</f>
        <v/>
      </c>
      <c r="E79" s="5">
        <f>_xlfn.MINIFS(Objects!$L$2:$L$947,Objects!$B$2:$B$947,$A79,Objects!$F$2:$F$947,$B79,Objects!$I$2:$I$947,$C79)</f>
        <v/>
      </c>
      <c r="F79" s="5">
        <f>_xlfn.MAXIFS(Objects!$L$2:$L$947,Objects!$B$2:$B$947,$A79,Objects!$F$2:$F$947,$B79,Objects!$I$2:$I$947,$C79)</f>
        <v/>
      </c>
      <c r="G79" s="5">
        <f>_xlfn.MINIFS(Objects!$M$2:$M$947,Objects!$B$2:$B$947,$A79,Objects!$F$2:$F$947,$B79,Objects!$I$2:$I$947,$C79)</f>
        <v/>
      </c>
      <c r="H79" s="5">
        <f>_xlfn.MAXIFS(Objects!$M$2:$M$947,Objects!$B$2:$B$947,$A79,Objects!$F$2:$F$947,$B79,Objects!$I$2:$I$947,$C79)</f>
        <v/>
      </c>
      <c r="I79" s="5">
        <f>IF(OR(C79="(none)",B79="raft",B79="sump_pit"),"n/a",IF(OR(B79="column",B79="shear_wall",B79="isolated_footing",B79="combined_footing"),IF(AND(F79-E79&lt;=3,H79-G79&lt;=3),"yes","no"),IF(H79-G79&lt;=3,"yes (thickness)","no (thickness)")))</f>
        <v/>
      </c>
      <c r="J79" s="6">
        <f>SUMIFS(Objects!$L$2:$L$947,Objects!$B$2:$B$947,$A79,Objects!$F$2:$F$947,$B79,Objects!$I$2:$I$947,$C79)/100</f>
        <v/>
      </c>
      <c r="K79" s="5">
        <f>COUNTIFS(Objects!$B$2:$B$947,$A79,Objects!$F$2:$F$947,$B79,Objects!$I$2:$I$947,$C79,Objects!$J$2:$J$947,"inferred*")</f>
        <v/>
      </c>
    </row>
    <row r="80">
      <c r="A80" s="5" t="inlineStr">
        <is>
          <t>123</t>
        </is>
      </c>
      <c r="B80" s="5" t="inlineStr">
        <is>
          <t>shear_wall</t>
        </is>
      </c>
      <c r="C80" s="5" t="inlineStr">
        <is>
          <t>V7/123</t>
        </is>
      </c>
      <c r="D80" s="5">
        <f>COUNTIFS(Objects!$B$2:$B$947,$A80,Objects!$F$2:$F$947,$B80,Objects!$I$2:$I$947,$C80)</f>
        <v/>
      </c>
      <c r="E80" s="5">
        <f>_xlfn.MINIFS(Objects!$L$2:$L$947,Objects!$B$2:$B$947,$A80,Objects!$F$2:$F$947,$B80,Objects!$I$2:$I$947,$C80)</f>
        <v/>
      </c>
      <c r="F80" s="5">
        <f>_xlfn.MAXIFS(Objects!$L$2:$L$947,Objects!$B$2:$B$947,$A80,Objects!$F$2:$F$947,$B80,Objects!$I$2:$I$947,$C80)</f>
        <v/>
      </c>
      <c r="G80" s="5">
        <f>_xlfn.MINIFS(Objects!$M$2:$M$947,Objects!$B$2:$B$947,$A80,Objects!$F$2:$F$947,$B80,Objects!$I$2:$I$947,$C80)</f>
        <v/>
      </c>
      <c r="H80" s="5">
        <f>_xlfn.MAXIFS(Objects!$M$2:$M$947,Objects!$B$2:$B$947,$A80,Objects!$F$2:$F$947,$B80,Objects!$I$2:$I$947,$C80)</f>
        <v/>
      </c>
      <c r="I80" s="5">
        <f>IF(OR(C80="(none)",B80="raft",B80="sump_pit"),"n/a",IF(OR(B80="column",B80="shear_wall",B80="isolated_footing",B80="combined_footing"),IF(AND(F80-E80&lt;=3,H80-G80&lt;=3),"yes","no"),IF(H80-G80&lt;=3,"yes (thickness)","no (thickness)")))</f>
        <v/>
      </c>
      <c r="J80" s="6">
        <f>SUMIFS(Objects!$L$2:$L$947,Objects!$B$2:$B$947,$A80,Objects!$F$2:$F$947,$B80,Objects!$I$2:$I$947,$C80)/100</f>
        <v/>
      </c>
      <c r="K80" s="5">
        <f>COUNTIFS(Objects!$B$2:$B$947,$A80,Objects!$F$2:$F$947,$B80,Objects!$I$2:$I$947,$C80,Objects!$J$2:$J$947,"inferred*")</f>
        <v/>
      </c>
    </row>
    <row r="81">
      <c r="A81" s="5" t="inlineStr">
        <is>
          <t>123</t>
        </is>
      </c>
      <c r="B81" s="5" t="inlineStr">
        <is>
          <t>core_wall</t>
        </is>
      </c>
      <c r="C81" s="5" t="inlineStr">
        <is>
          <t>(none)</t>
        </is>
      </c>
      <c r="D81" s="5">
        <f>COUNTIFS(Objects!$B$2:$B$947,$A81,Objects!$F$2:$F$947,$B81,Objects!$I$2:$I$947,$C81)</f>
        <v/>
      </c>
      <c r="E81" s="5">
        <f>_xlfn.MINIFS(Objects!$L$2:$L$947,Objects!$B$2:$B$947,$A81,Objects!$F$2:$F$947,$B81,Objects!$I$2:$I$947,$C81)</f>
        <v/>
      </c>
      <c r="F81" s="5">
        <f>_xlfn.MAXIFS(Objects!$L$2:$L$947,Objects!$B$2:$B$947,$A81,Objects!$F$2:$F$947,$B81,Objects!$I$2:$I$947,$C81)</f>
        <v/>
      </c>
      <c r="G81" s="5">
        <f>_xlfn.MINIFS(Objects!$M$2:$M$947,Objects!$B$2:$B$947,$A81,Objects!$F$2:$F$947,$B81,Objects!$I$2:$I$947,$C81)</f>
        <v/>
      </c>
      <c r="H81" s="5">
        <f>_xlfn.MAXIFS(Objects!$M$2:$M$947,Objects!$B$2:$B$947,$A81,Objects!$F$2:$F$947,$B81,Objects!$I$2:$I$947,$C81)</f>
        <v/>
      </c>
      <c r="I81" s="5">
        <f>IF(OR(C81="(none)",B81="raft",B81="sump_pit"),"n/a",IF(OR(B81="column",B81="shear_wall",B81="isolated_footing",B81="combined_footing"),IF(AND(F81-E81&lt;=3,H81-G81&lt;=3),"yes","no"),IF(H81-G81&lt;=3,"yes (thickness)","no (thickness)")))</f>
        <v/>
      </c>
      <c r="J81" s="6">
        <f>SUMIFS(Objects!$L$2:$L$947,Objects!$B$2:$B$947,$A81,Objects!$F$2:$F$947,$B81,Objects!$I$2:$I$947,$C81)/100</f>
        <v/>
      </c>
      <c r="K81" s="5">
        <f>COUNTIFS(Objects!$B$2:$B$947,$A81,Objects!$F$2:$F$947,$B81,Objects!$I$2:$I$947,$C81,Objects!$J$2:$J$947,"inferred*")</f>
        <v/>
      </c>
    </row>
    <row r="82">
      <c r="A82" s="5" t="inlineStr">
        <is>
          <t>123</t>
        </is>
      </c>
      <c r="B82" s="5" t="inlineStr">
        <is>
          <t>retaining_wall</t>
        </is>
      </c>
      <c r="C82" s="5" t="inlineStr">
        <is>
          <t>VP20</t>
        </is>
      </c>
      <c r="D82" s="5">
        <f>COUNTIFS(Objects!$B$2:$B$947,$A82,Objects!$F$2:$F$947,$B82,Objects!$I$2:$I$947,$C82)</f>
        <v/>
      </c>
      <c r="E82" s="5">
        <f>_xlfn.MINIFS(Objects!$L$2:$L$947,Objects!$B$2:$B$947,$A82,Objects!$F$2:$F$947,$B82,Objects!$I$2:$I$947,$C82)</f>
        <v/>
      </c>
      <c r="F82" s="5">
        <f>_xlfn.MAXIFS(Objects!$L$2:$L$947,Objects!$B$2:$B$947,$A82,Objects!$F$2:$F$947,$B82,Objects!$I$2:$I$947,$C82)</f>
        <v/>
      </c>
      <c r="G82" s="5">
        <f>_xlfn.MINIFS(Objects!$M$2:$M$947,Objects!$B$2:$B$947,$A82,Objects!$F$2:$F$947,$B82,Objects!$I$2:$I$947,$C82)</f>
        <v/>
      </c>
      <c r="H82" s="5">
        <f>_xlfn.MAXIFS(Objects!$M$2:$M$947,Objects!$B$2:$B$947,$A82,Objects!$F$2:$F$947,$B82,Objects!$I$2:$I$947,$C82)</f>
        <v/>
      </c>
      <c r="I82" s="5">
        <f>IF(OR(C82="(none)",B82="raft",B82="sump_pit"),"n/a",IF(OR(B82="column",B82="shear_wall",B82="isolated_footing",B82="combined_footing"),IF(AND(F82-E82&lt;=3,H82-G82&lt;=3),"yes","no"),IF(H82-G82&lt;=3,"yes (thickness)","no (thickness)")))</f>
        <v/>
      </c>
      <c r="J82" s="6">
        <f>SUMIFS(Objects!$L$2:$L$947,Objects!$B$2:$B$947,$A82,Objects!$F$2:$F$947,$B82,Objects!$I$2:$I$947,$C82)/100</f>
        <v/>
      </c>
      <c r="K82" s="5">
        <f>COUNTIFS(Objects!$B$2:$B$947,$A82,Objects!$F$2:$F$947,$B82,Objects!$I$2:$I$947,$C82,Objects!$J$2:$J$947,"inferred*")</f>
        <v/>
      </c>
    </row>
    <row r="83">
      <c r="A83" s="5" t="inlineStr">
        <is>
          <t>123</t>
        </is>
      </c>
      <c r="B83" s="5" t="inlineStr">
        <is>
          <t>retaining_wall</t>
        </is>
      </c>
      <c r="C83" s="5" t="inlineStr">
        <is>
          <t>VP25</t>
        </is>
      </c>
      <c r="D83" s="5">
        <f>COUNTIFS(Objects!$B$2:$B$947,$A83,Objects!$F$2:$F$947,$B83,Objects!$I$2:$I$947,$C83)</f>
        <v/>
      </c>
      <c r="E83" s="5">
        <f>_xlfn.MINIFS(Objects!$L$2:$L$947,Objects!$B$2:$B$947,$A83,Objects!$F$2:$F$947,$B83,Objects!$I$2:$I$947,$C83)</f>
        <v/>
      </c>
      <c r="F83" s="5">
        <f>_xlfn.MAXIFS(Objects!$L$2:$L$947,Objects!$B$2:$B$947,$A83,Objects!$F$2:$F$947,$B83,Objects!$I$2:$I$947,$C83)</f>
        <v/>
      </c>
      <c r="G83" s="5">
        <f>_xlfn.MINIFS(Objects!$M$2:$M$947,Objects!$B$2:$B$947,$A83,Objects!$F$2:$F$947,$B83,Objects!$I$2:$I$947,$C83)</f>
        <v/>
      </c>
      <c r="H83" s="5">
        <f>_xlfn.MAXIFS(Objects!$M$2:$M$947,Objects!$B$2:$B$947,$A83,Objects!$F$2:$F$947,$B83,Objects!$I$2:$I$947,$C83)</f>
        <v/>
      </c>
      <c r="I83" s="5">
        <f>IF(OR(C83="(none)",B83="raft",B83="sump_pit"),"n/a",IF(OR(B83="column",B83="shear_wall",B83="isolated_footing",B83="combined_footing"),IF(AND(F83-E83&lt;=3,H83-G83&lt;=3),"yes","no"),IF(H83-G83&lt;=3,"yes (thickness)","no (thickness)")))</f>
        <v/>
      </c>
      <c r="J83" s="6">
        <f>SUMIFS(Objects!$L$2:$L$947,Objects!$B$2:$B$947,$A83,Objects!$F$2:$F$947,$B83,Objects!$I$2:$I$947,$C83)/100</f>
        <v/>
      </c>
      <c r="K83" s="5">
        <f>COUNTIFS(Objects!$B$2:$B$947,$A83,Objects!$F$2:$F$947,$B83,Objects!$I$2:$I$947,$C83,Objects!$J$2:$J$947,"inferred*")</f>
        <v/>
      </c>
    </row>
    <row r="84">
      <c r="A84" s="5" t="inlineStr">
        <is>
          <t>123</t>
        </is>
      </c>
      <c r="B84" s="5" t="inlineStr">
        <is>
          <t>isolated_footing</t>
        </is>
      </c>
      <c r="C84" s="5" t="inlineStr">
        <is>
          <t>S5</t>
        </is>
      </c>
      <c r="D84" s="5">
        <f>COUNTIFS(Objects!$B$2:$B$947,$A84,Objects!$F$2:$F$947,$B84,Objects!$I$2:$I$947,$C84)</f>
        <v/>
      </c>
      <c r="E84" s="5">
        <f>_xlfn.MINIFS(Objects!$L$2:$L$947,Objects!$B$2:$B$947,$A84,Objects!$F$2:$F$947,$B84,Objects!$I$2:$I$947,$C84)</f>
        <v/>
      </c>
      <c r="F84" s="5">
        <f>_xlfn.MAXIFS(Objects!$L$2:$L$947,Objects!$B$2:$B$947,$A84,Objects!$F$2:$F$947,$B84,Objects!$I$2:$I$947,$C84)</f>
        <v/>
      </c>
      <c r="G84" s="5">
        <f>_xlfn.MINIFS(Objects!$M$2:$M$947,Objects!$B$2:$B$947,$A84,Objects!$F$2:$F$947,$B84,Objects!$I$2:$I$947,$C84)</f>
        <v/>
      </c>
      <c r="H84" s="5">
        <f>_xlfn.MAXIFS(Objects!$M$2:$M$947,Objects!$B$2:$B$947,$A84,Objects!$F$2:$F$947,$B84,Objects!$I$2:$I$947,$C84)</f>
        <v/>
      </c>
      <c r="I84" s="5">
        <f>IF(OR(C84="(none)",B84="raft",B84="sump_pit"),"n/a",IF(OR(B84="column",B84="shear_wall",B84="isolated_footing",B84="combined_footing"),IF(AND(F84-E84&lt;=3,H84-G84&lt;=3),"yes","no"),IF(H84-G84&lt;=3,"yes (thickness)","no (thickness)")))</f>
        <v/>
      </c>
      <c r="J84" s="6">
        <f>SUMIFS(Objects!$L$2:$L$947,Objects!$B$2:$B$947,$A84,Objects!$F$2:$F$947,$B84,Objects!$I$2:$I$947,$C84)/100</f>
        <v/>
      </c>
      <c r="K84" s="5">
        <f>COUNTIFS(Objects!$B$2:$B$947,$A84,Objects!$F$2:$F$947,$B84,Objects!$I$2:$I$947,$C84,Objects!$J$2:$J$947,"inferred*")</f>
        <v/>
      </c>
    </row>
    <row r="85">
      <c r="A85" s="5" t="inlineStr">
        <is>
          <t>123</t>
        </is>
      </c>
      <c r="B85" s="5" t="inlineStr">
        <is>
          <t>isolated_footing</t>
        </is>
      </c>
      <c r="C85" s="5" t="inlineStr">
        <is>
          <t>S7</t>
        </is>
      </c>
      <c r="D85" s="5">
        <f>COUNTIFS(Objects!$B$2:$B$947,$A85,Objects!$F$2:$F$947,$B85,Objects!$I$2:$I$947,$C85)</f>
        <v/>
      </c>
      <c r="E85" s="5">
        <f>_xlfn.MINIFS(Objects!$L$2:$L$947,Objects!$B$2:$B$947,$A85,Objects!$F$2:$F$947,$B85,Objects!$I$2:$I$947,$C85)</f>
        <v/>
      </c>
      <c r="F85" s="5">
        <f>_xlfn.MAXIFS(Objects!$L$2:$L$947,Objects!$B$2:$B$947,$A85,Objects!$F$2:$F$947,$B85,Objects!$I$2:$I$947,$C85)</f>
        <v/>
      </c>
      <c r="G85" s="5">
        <f>_xlfn.MINIFS(Objects!$M$2:$M$947,Objects!$B$2:$B$947,$A85,Objects!$F$2:$F$947,$B85,Objects!$I$2:$I$947,$C85)</f>
        <v/>
      </c>
      <c r="H85" s="5">
        <f>_xlfn.MAXIFS(Objects!$M$2:$M$947,Objects!$B$2:$B$947,$A85,Objects!$F$2:$F$947,$B85,Objects!$I$2:$I$947,$C85)</f>
        <v/>
      </c>
      <c r="I85" s="5">
        <f>IF(OR(C85="(none)",B85="raft",B85="sump_pit"),"n/a",IF(OR(B85="column",B85="shear_wall",B85="isolated_footing",B85="combined_footing"),IF(AND(F85-E85&lt;=3,H85-G85&lt;=3),"yes","no"),IF(H85-G85&lt;=3,"yes (thickness)","no (thickness)")))</f>
        <v/>
      </c>
      <c r="J85" s="6">
        <f>SUMIFS(Objects!$L$2:$L$947,Objects!$B$2:$B$947,$A85,Objects!$F$2:$F$947,$B85,Objects!$I$2:$I$947,$C85)/100</f>
        <v/>
      </c>
      <c r="K85" s="5">
        <f>COUNTIFS(Objects!$B$2:$B$947,$A85,Objects!$F$2:$F$947,$B85,Objects!$I$2:$I$947,$C85,Objects!$J$2:$J$947,"inferred*")</f>
        <v/>
      </c>
    </row>
    <row r="86">
      <c r="A86" s="5" t="inlineStr">
        <is>
          <t>123</t>
        </is>
      </c>
      <c r="B86" s="5" t="inlineStr">
        <is>
          <t>combined_footing</t>
        </is>
      </c>
      <c r="C86" s="5" t="inlineStr">
        <is>
          <t>SC1</t>
        </is>
      </c>
      <c r="D86" s="5">
        <f>COUNTIFS(Objects!$B$2:$B$947,$A86,Objects!$F$2:$F$947,$B86,Objects!$I$2:$I$947,$C86)</f>
        <v/>
      </c>
      <c r="E86" s="5">
        <f>_xlfn.MINIFS(Objects!$L$2:$L$947,Objects!$B$2:$B$947,$A86,Objects!$F$2:$F$947,$B86,Objects!$I$2:$I$947,$C86)</f>
        <v/>
      </c>
      <c r="F86" s="5">
        <f>_xlfn.MAXIFS(Objects!$L$2:$L$947,Objects!$B$2:$B$947,$A86,Objects!$F$2:$F$947,$B86,Objects!$I$2:$I$947,$C86)</f>
        <v/>
      </c>
      <c r="G86" s="5">
        <f>_xlfn.MINIFS(Objects!$M$2:$M$947,Objects!$B$2:$B$947,$A86,Objects!$F$2:$F$947,$B86,Objects!$I$2:$I$947,$C86)</f>
        <v/>
      </c>
      <c r="H86" s="5">
        <f>_xlfn.MAXIFS(Objects!$M$2:$M$947,Objects!$B$2:$B$947,$A86,Objects!$F$2:$F$947,$B86,Objects!$I$2:$I$947,$C86)</f>
        <v/>
      </c>
      <c r="I86" s="5">
        <f>IF(OR(C86="(none)",B86="raft",B86="sump_pit"),"n/a",IF(OR(B86="column",B86="shear_wall",B86="isolated_footing",B86="combined_footing"),IF(AND(F86-E86&lt;=3,H86-G86&lt;=3),"yes","no"),IF(H86-G86&lt;=3,"yes (thickness)","no (thickness)")))</f>
        <v/>
      </c>
      <c r="J86" s="6">
        <f>SUMIFS(Objects!$L$2:$L$947,Objects!$B$2:$B$947,$A86,Objects!$F$2:$F$947,$B86,Objects!$I$2:$I$947,$C86)/100</f>
        <v/>
      </c>
      <c r="K86" s="5">
        <f>COUNTIFS(Objects!$B$2:$B$947,$A86,Objects!$F$2:$F$947,$B86,Objects!$I$2:$I$947,$C86,Objects!$J$2:$J$947,"inferred*")</f>
        <v/>
      </c>
    </row>
    <row r="87">
      <c r="A87" s="5" t="inlineStr">
        <is>
          <t>123</t>
        </is>
      </c>
      <c r="B87" s="5" t="inlineStr">
        <is>
          <t>combined_footing</t>
        </is>
      </c>
      <c r="C87" s="5" t="inlineStr">
        <is>
          <t>SC4</t>
        </is>
      </c>
      <c r="D87" s="5">
        <f>COUNTIFS(Objects!$B$2:$B$947,$A87,Objects!$F$2:$F$947,$B87,Objects!$I$2:$I$947,$C87)</f>
        <v/>
      </c>
      <c r="E87" s="5">
        <f>_xlfn.MINIFS(Objects!$L$2:$L$947,Objects!$B$2:$B$947,$A87,Objects!$F$2:$F$947,$B87,Objects!$I$2:$I$947,$C87)</f>
        <v/>
      </c>
      <c r="F87" s="5">
        <f>_xlfn.MAXIFS(Objects!$L$2:$L$947,Objects!$B$2:$B$947,$A87,Objects!$F$2:$F$947,$B87,Objects!$I$2:$I$947,$C87)</f>
        <v/>
      </c>
      <c r="G87" s="5">
        <f>_xlfn.MINIFS(Objects!$M$2:$M$947,Objects!$B$2:$B$947,$A87,Objects!$F$2:$F$947,$B87,Objects!$I$2:$I$947,$C87)</f>
        <v/>
      </c>
      <c r="H87" s="5">
        <f>_xlfn.MAXIFS(Objects!$M$2:$M$947,Objects!$B$2:$B$947,$A87,Objects!$F$2:$F$947,$B87,Objects!$I$2:$I$947,$C87)</f>
        <v/>
      </c>
      <c r="I87" s="5">
        <f>IF(OR(C87="(none)",B87="raft",B87="sump_pit"),"n/a",IF(OR(B87="column",B87="shear_wall",B87="isolated_footing",B87="combined_footing"),IF(AND(F87-E87&lt;=3,H87-G87&lt;=3),"yes","no"),IF(H87-G87&lt;=3,"yes (thickness)","no (thickness)")))</f>
        <v/>
      </c>
      <c r="J87" s="6">
        <f>SUMIFS(Objects!$L$2:$L$947,Objects!$B$2:$B$947,$A87,Objects!$F$2:$F$947,$B87,Objects!$I$2:$I$947,$C87)/100</f>
        <v/>
      </c>
      <c r="K87" s="5">
        <f>COUNTIFS(Objects!$B$2:$B$947,$A87,Objects!$F$2:$F$947,$B87,Objects!$I$2:$I$947,$C87,Objects!$J$2:$J$947,"inferred*")</f>
        <v/>
      </c>
    </row>
    <row r="88">
      <c r="A88" s="5" t="inlineStr">
        <is>
          <t>123</t>
        </is>
      </c>
      <c r="B88" s="5" t="inlineStr">
        <is>
          <t>strip_footing</t>
        </is>
      </c>
      <c r="C88" s="5" t="inlineStr">
        <is>
          <t>SF1</t>
        </is>
      </c>
      <c r="D88" s="5">
        <f>COUNTIFS(Objects!$B$2:$B$947,$A88,Objects!$F$2:$F$947,$B88,Objects!$I$2:$I$947,$C88)</f>
        <v/>
      </c>
      <c r="E88" s="5">
        <f>_xlfn.MINIFS(Objects!$L$2:$L$947,Objects!$B$2:$B$947,$A88,Objects!$F$2:$F$947,$B88,Objects!$I$2:$I$947,$C88)</f>
        <v/>
      </c>
      <c r="F88" s="5">
        <f>_xlfn.MAXIFS(Objects!$L$2:$L$947,Objects!$B$2:$B$947,$A88,Objects!$F$2:$F$947,$B88,Objects!$I$2:$I$947,$C88)</f>
        <v/>
      </c>
      <c r="G88" s="5">
        <f>_xlfn.MINIFS(Objects!$M$2:$M$947,Objects!$B$2:$B$947,$A88,Objects!$F$2:$F$947,$B88,Objects!$I$2:$I$947,$C88)</f>
        <v/>
      </c>
      <c r="H88" s="5">
        <f>_xlfn.MAXIFS(Objects!$M$2:$M$947,Objects!$B$2:$B$947,$A88,Objects!$F$2:$F$947,$B88,Objects!$I$2:$I$947,$C88)</f>
        <v/>
      </c>
      <c r="I88" s="5">
        <f>IF(OR(C88="(none)",B88="raft",B88="sump_pit"),"n/a",IF(OR(B88="column",B88="shear_wall",B88="isolated_footing",B88="combined_footing"),IF(AND(F88-E88&lt;=3,H88-G88&lt;=3),"yes","no"),IF(H88-G88&lt;=3,"yes (thickness)","no (thickness)")))</f>
        <v/>
      </c>
      <c r="J88" s="6">
        <f>SUMIFS(Objects!$L$2:$L$947,Objects!$B$2:$B$947,$A88,Objects!$F$2:$F$947,$B88,Objects!$I$2:$I$947,$C88)/100</f>
        <v/>
      </c>
      <c r="K88" s="5">
        <f>COUNTIFS(Objects!$B$2:$B$947,$A88,Objects!$F$2:$F$947,$B88,Objects!$I$2:$I$947,$C88,Objects!$J$2:$J$947,"inferred*")</f>
        <v/>
      </c>
    </row>
    <row r="89">
      <c r="A89" s="5" t="inlineStr">
        <is>
          <t>123</t>
        </is>
      </c>
      <c r="B89" s="5" t="inlineStr">
        <is>
          <t>grade_beam</t>
        </is>
      </c>
      <c r="C89" s="5" t="inlineStr">
        <is>
          <t>(none)</t>
        </is>
      </c>
      <c r="D89" s="5">
        <f>COUNTIFS(Objects!$B$2:$B$947,$A89,Objects!$F$2:$F$947,$B89,Objects!$I$2:$I$947,$C89)</f>
        <v/>
      </c>
      <c r="E89" s="5">
        <f>_xlfn.MINIFS(Objects!$L$2:$L$947,Objects!$B$2:$B$947,$A89,Objects!$F$2:$F$947,$B89,Objects!$I$2:$I$947,$C89)</f>
        <v/>
      </c>
      <c r="F89" s="5">
        <f>_xlfn.MAXIFS(Objects!$L$2:$L$947,Objects!$B$2:$B$947,$A89,Objects!$F$2:$F$947,$B89,Objects!$I$2:$I$947,$C89)</f>
        <v/>
      </c>
      <c r="G89" s="5">
        <f>_xlfn.MINIFS(Objects!$M$2:$M$947,Objects!$B$2:$B$947,$A89,Objects!$F$2:$F$947,$B89,Objects!$I$2:$I$947,$C89)</f>
        <v/>
      </c>
      <c r="H89" s="5">
        <f>_xlfn.MAXIFS(Objects!$M$2:$M$947,Objects!$B$2:$B$947,$A89,Objects!$F$2:$F$947,$B89,Objects!$I$2:$I$947,$C89)</f>
        <v/>
      </c>
      <c r="I89" s="5">
        <f>IF(OR(C89="(none)",B89="raft",B89="sump_pit"),"n/a",IF(OR(B89="column",B89="shear_wall",B89="isolated_footing",B89="combined_footing"),IF(AND(F89-E89&lt;=3,H89-G89&lt;=3),"yes","no"),IF(H89-G89&lt;=3,"yes (thickness)","no (thickness)")))</f>
        <v/>
      </c>
      <c r="J89" s="6">
        <f>SUMIFS(Objects!$L$2:$L$947,Objects!$B$2:$B$947,$A89,Objects!$F$2:$F$947,$B89,Objects!$I$2:$I$947,$C89)/100</f>
        <v/>
      </c>
      <c r="K89" s="5">
        <f>COUNTIFS(Objects!$B$2:$B$947,$A89,Objects!$F$2:$F$947,$B89,Objects!$I$2:$I$947,$C89,Objects!$J$2:$J$947,"inferred*")</f>
        <v/>
      </c>
    </row>
    <row r="90">
      <c r="A90" s="5" t="inlineStr">
        <is>
          <t>123</t>
        </is>
      </c>
      <c r="B90" s="5" t="inlineStr">
        <is>
          <t>grade_beam</t>
        </is>
      </c>
      <c r="C90" s="5" t="inlineStr">
        <is>
          <t>LG40x15</t>
        </is>
      </c>
      <c r="D90" s="5">
        <f>COUNTIFS(Objects!$B$2:$B$947,$A90,Objects!$F$2:$F$947,$B90,Objects!$I$2:$I$947,$C90)</f>
        <v/>
      </c>
      <c r="E90" s="5">
        <f>_xlfn.MINIFS(Objects!$L$2:$L$947,Objects!$B$2:$B$947,$A90,Objects!$F$2:$F$947,$B90,Objects!$I$2:$I$947,$C90)</f>
        <v/>
      </c>
      <c r="F90" s="5">
        <f>_xlfn.MAXIFS(Objects!$L$2:$L$947,Objects!$B$2:$B$947,$A90,Objects!$F$2:$F$947,$B90,Objects!$I$2:$I$947,$C90)</f>
        <v/>
      </c>
      <c r="G90" s="5">
        <f>_xlfn.MINIFS(Objects!$M$2:$M$947,Objects!$B$2:$B$947,$A90,Objects!$F$2:$F$947,$B90,Objects!$I$2:$I$947,$C90)</f>
        <v/>
      </c>
      <c r="H90" s="5">
        <f>_xlfn.MAXIFS(Objects!$M$2:$M$947,Objects!$B$2:$B$947,$A90,Objects!$F$2:$F$947,$B90,Objects!$I$2:$I$947,$C90)</f>
        <v/>
      </c>
      <c r="I90" s="5">
        <f>IF(OR(C90="(none)",B90="raft",B90="sump_pit"),"n/a",IF(OR(B90="column",B90="shear_wall",B90="isolated_footing",B90="combined_footing"),IF(AND(F90-E90&lt;=3,H90-G90&lt;=3),"yes","no"),IF(H90-G90&lt;=3,"yes (thickness)","no (thickness)")))</f>
        <v/>
      </c>
      <c r="J90" s="6">
        <f>SUMIFS(Objects!$L$2:$L$947,Objects!$B$2:$B$947,$A90,Objects!$F$2:$F$947,$B90,Objects!$I$2:$I$947,$C90)/100</f>
        <v/>
      </c>
      <c r="K90" s="5">
        <f>COUNTIFS(Objects!$B$2:$B$947,$A90,Objects!$F$2:$F$947,$B90,Objects!$I$2:$I$947,$C90,Objects!$J$2:$J$947,"inferred*")</f>
        <v/>
      </c>
    </row>
    <row r="91">
      <c r="A91" s="5" t="inlineStr">
        <is>
          <t>123</t>
        </is>
      </c>
      <c r="B91" s="5" t="inlineStr">
        <is>
          <t>raft</t>
        </is>
      </c>
      <c r="C91" s="5" t="inlineStr">
        <is>
          <t>Radier 90</t>
        </is>
      </c>
      <c r="D91" s="5">
        <f>COUNTIFS(Objects!$B$2:$B$947,$A91,Objects!$F$2:$F$947,$B91,Objects!$I$2:$I$947,$C91)</f>
        <v/>
      </c>
      <c r="E91" s="5">
        <f>_xlfn.MINIFS(Objects!$L$2:$L$947,Objects!$B$2:$B$947,$A91,Objects!$F$2:$F$947,$B91,Objects!$I$2:$I$947,$C91)</f>
        <v/>
      </c>
      <c r="F91" s="5">
        <f>_xlfn.MAXIFS(Objects!$L$2:$L$947,Objects!$B$2:$B$947,$A91,Objects!$F$2:$F$947,$B91,Objects!$I$2:$I$947,$C91)</f>
        <v/>
      </c>
      <c r="G91" s="5">
        <f>_xlfn.MINIFS(Objects!$M$2:$M$947,Objects!$B$2:$B$947,$A91,Objects!$F$2:$F$947,$B91,Objects!$I$2:$I$947,$C91)</f>
        <v/>
      </c>
      <c r="H91" s="5">
        <f>_xlfn.MAXIFS(Objects!$M$2:$M$947,Objects!$B$2:$B$947,$A91,Objects!$F$2:$F$947,$B91,Objects!$I$2:$I$947,$C91)</f>
        <v/>
      </c>
      <c r="I91" s="5">
        <f>IF(OR(C91="(none)",B91="raft",B91="sump_pit"),"n/a",IF(OR(B91="column",B91="shear_wall",B91="isolated_footing",B91="combined_footing"),IF(AND(F91-E91&lt;=3,H91-G91&lt;=3),"yes","no"),IF(H91-G91&lt;=3,"yes (thickness)","no (thickness)")))</f>
        <v/>
      </c>
      <c r="J91" s="6">
        <f>SUMIFS(Objects!$L$2:$L$947,Objects!$B$2:$B$947,$A91,Objects!$F$2:$F$947,$B91,Objects!$I$2:$I$947,$C91)/100</f>
        <v/>
      </c>
      <c r="K91" s="5">
        <f>COUNTIFS(Objects!$B$2:$B$947,$A91,Objects!$F$2:$F$947,$B91,Objects!$I$2:$I$947,$C91,Objects!$J$2:$J$947,"inferred*")</f>
        <v/>
      </c>
    </row>
    <row r="92">
      <c r="A92" s="5" t="inlineStr">
        <is>
          <t>123</t>
        </is>
      </c>
      <c r="B92" s="5" t="inlineStr">
        <is>
          <t>sump_pit</t>
        </is>
      </c>
      <c r="C92" s="5" t="inlineStr">
        <is>
          <t>Fosse</t>
        </is>
      </c>
      <c r="D92" s="5">
        <f>COUNTIFS(Objects!$B$2:$B$947,$A92,Objects!$F$2:$F$947,$B92,Objects!$I$2:$I$947,$C92)</f>
        <v/>
      </c>
      <c r="E92" s="5">
        <f>_xlfn.MINIFS(Objects!$L$2:$L$947,Objects!$B$2:$B$947,$A92,Objects!$F$2:$F$947,$B92,Objects!$I$2:$I$947,$C92)</f>
        <v/>
      </c>
      <c r="F92" s="5">
        <f>_xlfn.MAXIFS(Objects!$L$2:$L$947,Objects!$B$2:$B$947,$A92,Objects!$F$2:$F$947,$B92,Objects!$I$2:$I$947,$C92)</f>
        <v/>
      </c>
      <c r="G92" s="5">
        <f>_xlfn.MINIFS(Objects!$M$2:$M$947,Objects!$B$2:$B$947,$A92,Objects!$F$2:$F$947,$B92,Objects!$I$2:$I$947,$C92)</f>
        <v/>
      </c>
      <c r="H92" s="5">
        <f>_xlfn.MAXIFS(Objects!$M$2:$M$947,Objects!$B$2:$B$947,$A92,Objects!$F$2:$F$947,$B92,Objects!$I$2:$I$947,$C92)</f>
        <v/>
      </c>
      <c r="I92" s="5">
        <f>IF(OR(C92="(none)",B92="raft",B92="sump_pit"),"n/a",IF(OR(B92="column",B92="shear_wall",B92="isolated_footing",B92="combined_footing"),IF(AND(F92-E92&lt;=3,H92-G92&lt;=3),"yes","no"),IF(H92-G92&lt;=3,"yes (thickness)","no (thickness)")))</f>
        <v/>
      </c>
      <c r="J92" s="6">
        <f>SUMIFS(Objects!$L$2:$L$947,Objects!$B$2:$B$947,$A92,Objects!$F$2:$F$947,$B92,Objects!$I$2:$I$947,$C92)/100</f>
        <v/>
      </c>
      <c r="K92" s="5">
        <f>COUNTIFS(Objects!$B$2:$B$947,$A92,Objects!$F$2:$F$947,$B92,Objects!$I$2:$I$947,$C92,Objects!$J$2:$J$947,"inferred*")</f>
        <v/>
      </c>
    </row>
    <row r="93">
      <c r="A93" s="5" t="inlineStr">
        <is>
          <t>124</t>
        </is>
      </c>
      <c r="B93" s="5" t="inlineStr">
        <is>
          <t>column</t>
        </is>
      </c>
      <c r="C93" s="5" t="inlineStr">
        <is>
          <t>P1/124</t>
        </is>
      </c>
      <c r="D93" s="5">
        <f>COUNTIFS(Objects!$B$2:$B$947,$A93,Objects!$F$2:$F$947,$B93,Objects!$I$2:$I$947,$C93)</f>
        <v/>
      </c>
      <c r="E93" s="5">
        <f>_xlfn.MINIFS(Objects!$L$2:$L$947,Objects!$B$2:$B$947,$A93,Objects!$F$2:$F$947,$B93,Objects!$I$2:$I$947,$C93)</f>
        <v/>
      </c>
      <c r="F93" s="5">
        <f>_xlfn.MAXIFS(Objects!$L$2:$L$947,Objects!$B$2:$B$947,$A93,Objects!$F$2:$F$947,$B93,Objects!$I$2:$I$947,$C93)</f>
        <v/>
      </c>
      <c r="G93" s="5">
        <f>_xlfn.MINIFS(Objects!$M$2:$M$947,Objects!$B$2:$B$947,$A93,Objects!$F$2:$F$947,$B93,Objects!$I$2:$I$947,$C93)</f>
        <v/>
      </c>
      <c r="H93" s="5">
        <f>_xlfn.MAXIFS(Objects!$M$2:$M$947,Objects!$B$2:$B$947,$A93,Objects!$F$2:$F$947,$B93,Objects!$I$2:$I$947,$C93)</f>
        <v/>
      </c>
      <c r="I93" s="5">
        <f>IF(OR(C93="(none)",B93="raft",B93="sump_pit"),"n/a",IF(OR(B93="column",B93="shear_wall",B93="isolated_footing",B93="combined_footing"),IF(AND(F93-E93&lt;=3,H93-G93&lt;=3),"yes","no"),IF(H93-G93&lt;=3,"yes (thickness)","no (thickness)")))</f>
        <v/>
      </c>
      <c r="J93" s="6">
        <f>SUMIFS(Objects!$L$2:$L$947,Objects!$B$2:$B$947,$A93,Objects!$F$2:$F$947,$B93,Objects!$I$2:$I$947,$C93)/100</f>
        <v/>
      </c>
      <c r="K93" s="5">
        <f>COUNTIFS(Objects!$B$2:$B$947,$A93,Objects!$F$2:$F$947,$B93,Objects!$I$2:$I$947,$C93,Objects!$J$2:$J$947,"inferred*")</f>
        <v/>
      </c>
    </row>
    <row r="94">
      <c r="A94" s="5" t="inlineStr">
        <is>
          <t>124</t>
        </is>
      </c>
      <c r="B94" s="5" t="inlineStr">
        <is>
          <t>shear_wall</t>
        </is>
      </c>
      <c r="C94" s="5" t="inlineStr">
        <is>
          <t>V1/124</t>
        </is>
      </c>
      <c r="D94" s="5">
        <f>COUNTIFS(Objects!$B$2:$B$947,$A94,Objects!$F$2:$F$947,$B94,Objects!$I$2:$I$947,$C94)</f>
        <v/>
      </c>
      <c r="E94" s="5">
        <f>_xlfn.MINIFS(Objects!$L$2:$L$947,Objects!$B$2:$B$947,$A94,Objects!$F$2:$F$947,$B94,Objects!$I$2:$I$947,$C94)</f>
        <v/>
      </c>
      <c r="F94" s="5">
        <f>_xlfn.MAXIFS(Objects!$L$2:$L$947,Objects!$B$2:$B$947,$A94,Objects!$F$2:$F$947,$B94,Objects!$I$2:$I$947,$C94)</f>
        <v/>
      </c>
      <c r="G94" s="5">
        <f>_xlfn.MINIFS(Objects!$M$2:$M$947,Objects!$B$2:$B$947,$A94,Objects!$F$2:$F$947,$B94,Objects!$I$2:$I$947,$C94)</f>
        <v/>
      </c>
      <c r="H94" s="5">
        <f>_xlfn.MAXIFS(Objects!$M$2:$M$947,Objects!$B$2:$B$947,$A94,Objects!$F$2:$F$947,$B94,Objects!$I$2:$I$947,$C94)</f>
        <v/>
      </c>
      <c r="I94" s="5">
        <f>IF(OR(C94="(none)",B94="raft",B94="sump_pit"),"n/a",IF(OR(B94="column",B94="shear_wall",B94="isolated_footing",B94="combined_footing"),IF(AND(F94-E94&lt;=3,H94-G94&lt;=3),"yes","no"),IF(H94-G94&lt;=3,"yes (thickness)","no (thickness)")))</f>
        <v/>
      </c>
      <c r="J94" s="6">
        <f>SUMIFS(Objects!$L$2:$L$947,Objects!$B$2:$B$947,$A94,Objects!$F$2:$F$947,$B94,Objects!$I$2:$I$947,$C94)/100</f>
        <v/>
      </c>
      <c r="K94" s="5">
        <f>COUNTIFS(Objects!$B$2:$B$947,$A94,Objects!$F$2:$F$947,$B94,Objects!$I$2:$I$947,$C94,Objects!$J$2:$J$947,"inferred*")</f>
        <v/>
      </c>
    </row>
    <row r="95">
      <c r="A95" s="5" t="inlineStr">
        <is>
          <t>124</t>
        </is>
      </c>
      <c r="B95" s="5" t="inlineStr">
        <is>
          <t>shear_wall</t>
        </is>
      </c>
      <c r="C95" s="5" t="inlineStr">
        <is>
          <t>V2/124</t>
        </is>
      </c>
      <c r="D95" s="5">
        <f>COUNTIFS(Objects!$B$2:$B$947,$A95,Objects!$F$2:$F$947,$B95,Objects!$I$2:$I$947,$C95)</f>
        <v/>
      </c>
      <c r="E95" s="5">
        <f>_xlfn.MINIFS(Objects!$L$2:$L$947,Objects!$B$2:$B$947,$A95,Objects!$F$2:$F$947,$B95,Objects!$I$2:$I$947,$C95)</f>
        <v/>
      </c>
      <c r="F95" s="5">
        <f>_xlfn.MAXIFS(Objects!$L$2:$L$947,Objects!$B$2:$B$947,$A95,Objects!$F$2:$F$947,$B95,Objects!$I$2:$I$947,$C95)</f>
        <v/>
      </c>
      <c r="G95" s="5">
        <f>_xlfn.MINIFS(Objects!$M$2:$M$947,Objects!$B$2:$B$947,$A95,Objects!$F$2:$F$947,$B95,Objects!$I$2:$I$947,$C95)</f>
        <v/>
      </c>
      <c r="H95" s="5">
        <f>_xlfn.MAXIFS(Objects!$M$2:$M$947,Objects!$B$2:$B$947,$A95,Objects!$F$2:$F$947,$B95,Objects!$I$2:$I$947,$C95)</f>
        <v/>
      </c>
      <c r="I95" s="5">
        <f>IF(OR(C95="(none)",B95="raft",B95="sump_pit"),"n/a",IF(OR(B95="column",B95="shear_wall",B95="isolated_footing",B95="combined_footing"),IF(AND(F95-E95&lt;=3,H95-G95&lt;=3),"yes","no"),IF(H95-G95&lt;=3,"yes (thickness)","no (thickness)")))</f>
        <v/>
      </c>
      <c r="J95" s="6">
        <f>SUMIFS(Objects!$L$2:$L$947,Objects!$B$2:$B$947,$A95,Objects!$F$2:$F$947,$B95,Objects!$I$2:$I$947,$C95)/100</f>
        <v/>
      </c>
      <c r="K95" s="5">
        <f>COUNTIFS(Objects!$B$2:$B$947,$A95,Objects!$F$2:$F$947,$B95,Objects!$I$2:$I$947,$C95,Objects!$J$2:$J$947,"inferred*")</f>
        <v/>
      </c>
    </row>
    <row r="96">
      <c r="A96" s="5" t="inlineStr">
        <is>
          <t>124</t>
        </is>
      </c>
      <c r="B96" s="5" t="inlineStr">
        <is>
          <t>shear_wall</t>
        </is>
      </c>
      <c r="C96" s="5" t="inlineStr">
        <is>
          <t>V3/124</t>
        </is>
      </c>
      <c r="D96" s="5">
        <f>COUNTIFS(Objects!$B$2:$B$947,$A96,Objects!$F$2:$F$947,$B96,Objects!$I$2:$I$947,$C96)</f>
        <v/>
      </c>
      <c r="E96" s="5">
        <f>_xlfn.MINIFS(Objects!$L$2:$L$947,Objects!$B$2:$B$947,$A96,Objects!$F$2:$F$947,$B96,Objects!$I$2:$I$947,$C96)</f>
        <v/>
      </c>
      <c r="F96" s="5">
        <f>_xlfn.MAXIFS(Objects!$L$2:$L$947,Objects!$B$2:$B$947,$A96,Objects!$F$2:$F$947,$B96,Objects!$I$2:$I$947,$C96)</f>
        <v/>
      </c>
      <c r="G96" s="5">
        <f>_xlfn.MINIFS(Objects!$M$2:$M$947,Objects!$B$2:$B$947,$A96,Objects!$F$2:$F$947,$B96,Objects!$I$2:$I$947,$C96)</f>
        <v/>
      </c>
      <c r="H96" s="5">
        <f>_xlfn.MAXIFS(Objects!$M$2:$M$947,Objects!$B$2:$B$947,$A96,Objects!$F$2:$F$947,$B96,Objects!$I$2:$I$947,$C96)</f>
        <v/>
      </c>
      <c r="I96" s="5">
        <f>IF(OR(C96="(none)",B96="raft",B96="sump_pit"),"n/a",IF(OR(B96="column",B96="shear_wall",B96="isolated_footing",B96="combined_footing"),IF(AND(F96-E96&lt;=3,H96-G96&lt;=3),"yes","no"),IF(H96-G96&lt;=3,"yes (thickness)","no (thickness)")))</f>
        <v/>
      </c>
      <c r="J96" s="6">
        <f>SUMIFS(Objects!$L$2:$L$947,Objects!$B$2:$B$947,$A96,Objects!$F$2:$F$947,$B96,Objects!$I$2:$I$947,$C96)/100</f>
        <v/>
      </c>
      <c r="K96" s="5">
        <f>COUNTIFS(Objects!$B$2:$B$947,$A96,Objects!$F$2:$F$947,$B96,Objects!$I$2:$I$947,$C96,Objects!$J$2:$J$947,"inferred*")</f>
        <v/>
      </c>
    </row>
    <row r="97">
      <c r="A97" s="5" t="inlineStr">
        <is>
          <t>124</t>
        </is>
      </c>
      <c r="B97" s="5" t="inlineStr">
        <is>
          <t>shear_wall</t>
        </is>
      </c>
      <c r="C97" s="5" t="inlineStr">
        <is>
          <t>V4/124</t>
        </is>
      </c>
      <c r="D97" s="5">
        <f>COUNTIFS(Objects!$B$2:$B$947,$A97,Objects!$F$2:$F$947,$B97,Objects!$I$2:$I$947,$C97)</f>
        <v/>
      </c>
      <c r="E97" s="5">
        <f>_xlfn.MINIFS(Objects!$L$2:$L$947,Objects!$B$2:$B$947,$A97,Objects!$F$2:$F$947,$B97,Objects!$I$2:$I$947,$C97)</f>
        <v/>
      </c>
      <c r="F97" s="5">
        <f>_xlfn.MAXIFS(Objects!$L$2:$L$947,Objects!$B$2:$B$947,$A97,Objects!$F$2:$F$947,$B97,Objects!$I$2:$I$947,$C97)</f>
        <v/>
      </c>
      <c r="G97" s="5">
        <f>_xlfn.MINIFS(Objects!$M$2:$M$947,Objects!$B$2:$B$947,$A97,Objects!$F$2:$F$947,$B97,Objects!$I$2:$I$947,$C97)</f>
        <v/>
      </c>
      <c r="H97" s="5">
        <f>_xlfn.MAXIFS(Objects!$M$2:$M$947,Objects!$B$2:$B$947,$A97,Objects!$F$2:$F$947,$B97,Objects!$I$2:$I$947,$C97)</f>
        <v/>
      </c>
      <c r="I97" s="5">
        <f>IF(OR(C97="(none)",B97="raft",B97="sump_pit"),"n/a",IF(OR(B97="column",B97="shear_wall",B97="isolated_footing",B97="combined_footing"),IF(AND(F97-E97&lt;=3,H97-G97&lt;=3),"yes","no"),IF(H97-G97&lt;=3,"yes (thickness)","no (thickness)")))</f>
        <v/>
      </c>
      <c r="J97" s="6">
        <f>SUMIFS(Objects!$L$2:$L$947,Objects!$B$2:$B$947,$A97,Objects!$F$2:$F$947,$B97,Objects!$I$2:$I$947,$C97)/100</f>
        <v/>
      </c>
      <c r="K97" s="5">
        <f>COUNTIFS(Objects!$B$2:$B$947,$A97,Objects!$F$2:$F$947,$B97,Objects!$I$2:$I$947,$C97,Objects!$J$2:$J$947,"inferred*")</f>
        <v/>
      </c>
    </row>
    <row r="98">
      <c r="A98" s="5" t="inlineStr">
        <is>
          <t>124</t>
        </is>
      </c>
      <c r="B98" s="5" t="inlineStr">
        <is>
          <t>shear_wall</t>
        </is>
      </c>
      <c r="C98" s="5" t="inlineStr">
        <is>
          <t>V5/124</t>
        </is>
      </c>
      <c r="D98" s="5">
        <f>COUNTIFS(Objects!$B$2:$B$947,$A98,Objects!$F$2:$F$947,$B98,Objects!$I$2:$I$947,$C98)</f>
        <v/>
      </c>
      <c r="E98" s="5">
        <f>_xlfn.MINIFS(Objects!$L$2:$L$947,Objects!$B$2:$B$947,$A98,Objects!$F$2:$F$947,$B98,Objects!$I$2:$I$947,$C98)</f>
        <v/>
      </c>
      <c r="F98" s="5">
        <f>_xlfn.MAXIFS(Objects!$L$2:$L$947,Objects!$B$2:$B$947,$A98,Objects!$F$2:$F$947,$B98,Objects!$I$2:$I$947,$C98)</f>
        <v/>
      </c>
      <c r="G98" s="5">
        <f>_xlfn.MINIFS(Objects!$M$2:$M$947,Objects!$B$2:$B$947,$A98,Objects!$F$2:$F$947,$B98,Objects!$I$2:$I$947,$C98)</f>
        <v/>
      </c>
      <c r="H98" s="5">
        <f>_xlfn.MAXIFS(Objects!$M$2:$M$947,Objects!$B$2:$B$947,$A98,Objects!$F$2:$F$947,$B98,Objects!$I$2:$I$947,$C98)</f>
        <v/>
      </c>
      <c r="I98" s="5">
        <f>IF(OR(C98="(none)",B98="raft",B98="sump_pit"),"n/a",IF(OR(B98="column",B98="shear_wall",B98="isolated_footing",B98="combined_footing"),IF(AND(F98-E98&lt;=3,H98-G98&lt;=3),"yes","no"),IF(H98-G98&lt;=3,"yes (thickness)","no (thickness)")))</f>
        <v/>
      </c>
      <c r="J98" s="6">
        <f>SUMIFS(Objects!$L$2:$L$947,Objects!$B$2:$B$947,$A98,Objects!$F$2:$F$947,$B98,Objects!$I$2:$I$947,$C98)/100</f>
        <v/>
      </c>
      <c r="K98" s="5">
        <f>COUNTIFS(Objects!$B$2:$B$947,$A98,Objects!$F$2:$F$947,$B98,Objects!$I$2:$I$947,$C98,Objects!$J$2:$J$947,"inferred*")</f>
        <v/>
      </c>
    </row>
    <row r="99">
      <c r="A99" s="5" t="inlineStr">
        <is>
          <t>124</t>
        </is>
      </c>
      <c r="B99" s="5" t="inlineStr">
        <is>
          <t>shear_wall</t>
        </is>
      </c>
      <c r="C99" s="5" t="inlineStr">
        <is>
          <t>V6/124</t>
        </is>
      </c>
      <c r="D99" s="5">
        <f>COUNTIFS(Objects!$B$2:$B$947,$A99,Objects!$F$2:$F$947,$B99,Objects!$I$2:$I$947,$C99)</f>
        <v/>
      </c>
      <c r="E99" s="5">
        <f>_xlfn.MINIFS(Objects!$L$2:$L$947,Objects!$B$2:$B$947,$A99,Objects!$F$2:$F$947,$B99,Objects!$I$2:$I$947,$C99)</f>
        <v/>
      </c>
      <c r="F99" s="5">
        <f>_xlfn.MAXIFS(Objects!$L$2:$L$947,Objects!$B$2:$B$947,$A99,Objects!$F$2:$F$947,$B99,Objects!$I$2:$I$947,$C99)</f>
        <v/>
      </c>
      <c r="G99" s="5">
        <f>_xlfn.MINIFS(Objects!$M$2:$M$947,Objects!$B$2:$B$947,$A99,Objects!$F$2:$F$947,$B99,Objects!$I$2:$I$947,$C99)</f>
        <v/>
      </c>
      <c r="H99" s="5">
        <f>_xlfn.MAXIFS(Objects!$M$2:$M$947,Objects!$B$2:$B$947,$A99,Objects!$F$2:$F$947,$B99,Objects!$I$2:$I$947,$C99)</f>
        <v/>
      </c>
      <c r="I99" s="5">
        <f>IF(OR(C99="(none)",B99="raft",B99="sump_pit"),"n/a",IF(OR(B99="column",B99="shear_wall",B99="isolated_footing",B99="combined_footing"),IF(AND(F99-E99&lt;=3,H99-G99&lt;=3),"yes","no"),IF(H99-G99&lt;=3,"yes (thickness)","no (thickness)")))</f>
        <v/>
      </c>
      <c r="J99" s="6">
        <f>SUMIFS(Objects!$L$2:$L$947,Objects!$B$2:$B$947,$A99,Objects!$F$2:$F$947,$B99,Objects!$I$2:$I$947,$C99)/100</f>
        <v/>
      </c>
      <c r="K99" s="5">
        <f>COUNTIFS(Objects!$B$2:$B$947,$A99,Objects!$F$2:$F$947,$B99,Objects!$I$2:$I$947,$C99,Objects!$J$2:$J$947,"inferred*")</f>
        <v/>
      </c>
    </row>
    <row r="100">
      <c r="A100" s="5" t="inlineStr">
        <is>
          <t>124</t>
        </is>
      </c>
      <c r="B100" s="5" t="inlineStr">
        <is>
          <t>shear_wall</t>
        </is>
      </c>
      <c r="C100" s="5" t="inlineStr">
        <is>
          <t>V7/124</t>
        </is>
      </c>
      <c r="D100" s="5">
        <f>COUNTIFS(Objects!$B$2:$B$947,$A100,Objects!$F$2:$F$947,$B100,Objects!$I$2:$I$947,$C100)</f>
        <v/>
      </c>
      <c r="E100" s="5">
        <f>_xlfn.MINIFS(Objects!$L$2:$L$947,Objects!$B$2:$B$947,$A100,Objects!$F$2:$F$947,$B100,Objects!$I$2:$I$947,$C100)</f>
        <v/>
      </c>
      <c r="F100" s="5">
        <f>_xlfn.MAXIFS(Objects!$L$2:$L$947,Objects!$B$2:$B$947,$A100,Objects!$F$2:$F$947,$B100,Objects!$I$2:$I$947,$C100)</f>
        <v/>
      </c>
      <c r="G100" s="5">
        <f>_xlfn.MINIFS(Objects!$M$2:$M$947,Objects!$B$2:$B$947,$A100,Objects!$F$2:$F$947,$B100,Objects!$I$2:$I$947,$C100)</f>
        <v/>
      </c>
      <c r="H100" s="5">
        <f>_xlfn.MAXIFS(Objects!$M$2:$M$947,Objects!$B$2:$B$947,$A100,Objects!$F$2:$F$947,$B100,Objects!$I$2:$I$947,$C100)</f>
        <v/>
      </c>
      <c r="I100" s="5">
        <f>IF(OR(C100="(none)",B100="raft",B100="sump_pit"),"n/a",IF(OR(B100="column",B100="shear_wall",B100="isolated_footing",B100="combined_footing"),IF(AND(F100-E100&lt;=3,H100-G100&lt;=3),"yes","no"),IF(H100-G100&lt;=3,"yes (thickness)","no (thickness)")))</f>
        <v/>
      </c>
      <c r="J100" s="6">
        <f>SUMIFS(Objects!$L$2:$L$947,Objects!$B$2:$B$947,$A100,Objects!$F$2:$F$947,$B100,Objects!$I$2:$I$947,$C100)/100</f>
        <v/>
      </c>
      <c r="K100" s="5">
        <f>COUNTIFS(Objects!$B$2:$B$947,$A100,Objects!$F$2:$F$947,$B100,Objects!$I$2:$I$947,$C100,Objects!$J$2:$J$947,"inferred*")</f>
        <v/>
      </c>
    </row>
    <row r="101">
      <c r="A101" s="5" t="inlineStr">
        <is>
          <t>124</t>
        </is>
      </c>
      <c r="B101" s="5" t="inlineStr">
        <is>
          <t>shear_wall</t>
        </is>
      </c>
      <c r="C101" s="5" t="inlineStr">
        <is>
          <t>V8/124</t>
        </is>
      </c>
      <c r="D101" s="5">
        <f>COUNTIFS(Objects!$B$2:$B$947,$A101,Objects!$F$2:$F$947,$B101,Objects!$I$2:$I$947,$C101)</f>
        <v/>
      </c>
      <c r="E101" s="5">
        <f>_xlfn.MINIFS(Objects!$L$2:$L$947,Objects!$B$2:$B$947,$A101,Objects!$F$2:$F$947,$B101,Objects!$I$2:$I$947,$C101)</f>
        <v/>
      </c>
      <c r="F101" s="5">
        <f>_xlfn.MAXIFS(Objects!$L$2:$L$947,Objects!$B$2:$B$947,$A101,Objects!$F$2:$F$947,$B101,Objects!$I$2:$I$947,$C101)</f>
        <v/>
      </c>
      <c r="G101" s="5">
        <f>_xlfn.MINIFS(Objects!$M$2:$M$947,Objects!$B$2:$B$947,$A101,Objects!$F$2:$F$947,$B101,Objects!$I$2:$I$947,$C101)</f>
        <v/>
      </c>
      <c r="H101" s="5">
        <f>_xlfn.MAXIFS(Objects!$M$2:$M$947,Objects!$B$2:$B$947,$A101,Objects!$F$2:$F$947,$B101,Objects!$I$2:$I$947,$C101)</f>
        <v/>
      </c>
      <c r="I101" s="5">
        <f>IF(OR(C101="(none)",B101="raft",B101="sump_pit"),"n/a",IF(OR(B101="column",B101="shear_wall",B101="isolated_footing",B101="combined_footing"),IF(AND(F101-E101&lt;=3,H101-G101&lt;=3),"yes","no"),IF(H101-G101&lt;=3,"yes (thickness)","no (thickness)")))</f>
        <v/>
      </c>
      <c r="J101" s="6">
        <f>SUMIFS(Objects!$L$2:$L$947,Objects!$B$2:$B$947,$A101,Objects!$F$2:$F$947,$B101,Objects!$I$2:$I$947,$C101)/100</f>
        <v/>
      </c>
      <c r="K101" s="5">
        <f>COUNTIFS(Objects!$B$2:$B$947,$A101,Objects!$F$2:$F$947,$B101,Objects!$I$2:$I$947,$C101,Objects!$J$2:$J$947,"inferred*")</f>
        <v/>
      </c>
    </row>
    <row r="102">
      <c r="A102" s="5" t="inlineStr">
        <is>
          <t>124</t>
        </is>
      </c>
      <c r="B102" s="5" t="inlineStr">
        <is>
          <t>core_wall</t>
        </is>
      </c>
      <c r="C102" s="5" t="inlineStr">
        <is>
          <t>(none)</t>
        </is>
      </c>
      <c r="D102" s="5">
        <f>COUNTIFS(Objects!$B$2:$B$947,$A102,Objects!$F$2:$F$947,$B102,Objects!$I$2:$I$947,$C102)</f>
        <v/>
      </c>
      <c r="E102" s="5">
        <f>_xlfn.MINIFS(Objects!$L$2:$L$947,Objects!$B$2:$B$947,$A102,Objects!$F$2:$F$947,$B102,Objects!$I$2:$I$947,$C102)</f>
        <v/>
      </c>
      <c r="F102" s="5">
        <f>_xlfn.MAXIFS(Objects!$L$2:$L$947,Objects!$B$2:$B$947,$A102,Objects!$F$2:$F$947,$B102,Objects!$I$2:$I$947,$C102)</f>
        <v/>
      </c>
      <c r="G102" s="5">
        <f>_xlfn.MINIFS(Objects!$M$2:$M$947,Objects!$B$2:$B$947,$A102,Objects!$F$2:$F$947,$B102,Objects!$I$2:$I$947,$C102)</f>
        <v/>
      </c>
      <c r="H102" s="5">
        <f>_xlfn.MAXIFS(Objects!$M$2:$M$947,Objects!$B$2:$B$947,$A102,Objects!$F$2:$F$947,$B102,Objects!$I$2:$I$947,$C102)</f>
        <v/>
      </c>
      <c r="I102" s="5">
        <f>IF(OR(C102="(none)",B102="raft",B102="sump_pit"),"n/a",IF(OR(B102="column",B102="shear_wall",B102="isolated_footing",B102="combined_footing"),IF(AND(F102-E102&lt;=3,H102-G102&lt;=3),"yes","no"),IF(H102-G102&lt;=3,"yes (thickness)","no (thickness)")))</f>
        <v/>
      </c>
      <c r="J102" s="6">
        <f>SUMIFS(Objects!$L$2:$L$947,Objects!$B$2:$B$947,$A102,Objects!$F$2:$F$947,$B102,Objects!$I$2:$I$947,$C102)/100</f>
        <v/>
      </c>
      <c r="K102" s="5">
        <f>COUNTIFS(Objects!$B$2:$B$947,$A102,Objects!$F$2:$F$947,$B102,Objects!$I$2:$I$947,$C102,Objects!$J$2:$J$947,"inferred*")</f>
        <v/>
      </c>
    </row>
    <row r="103">
      <c r="A103" s="5" t="inlineStr">
        <is>
          <t>124</t>
        </is>
      </c>
      <c r="B103" s="5" t="inlineStr">
        <is>
          <t>retaining_wall</t>
        </is>
      </c>
      <c r="C103" s="5" t="inlineStr">
        <is>
          <t>VP20</t>
        </is>
      </c>
      <c r="D103" s="5">
        <f>COUNTIFS(Objects!$B$2:$B$947,$A103,Objects!$F$2:$F$947,$B103,Objects!$I$2:$I$947,$C103)</f>
        <v/>
      </c>
      <c r="E103" s="5">
        <f>_xlfn.MINIFS(Objects!$L$2:$L$947,Objects!$B$2:$B$947,$A103,Objects!$F$2:$F$947,$B103,Objects!$I$2:$I$947,$C103)</f>
        <v/>
      </c>
      <c r="F103" s="5">
        <f>_xlfn.MAXIFS(Objects!$L$2:$L$947,Objects!$B$2:$B$947,$A103,Objects!$F$2:$F$947,$B103,Objects!$I$2:$I$947,$C103)</f>
        <v/>
      </c>
      <c r="G103" s="5">
        <f>_xlfn.MINIFS(Objects!$M$2:$M$947,Objects!$B$2:$B$947,$A103,Objects!$F$2:$F$947,$B103,Objects!$I$2:$I$947,$C103)</f>
        <v/>
      </c>
      <c r="H103" s="5">
        <f>_xlfn.MAXIFS(Objects!$M$2:$M$947,Objects!$B$2:$B$947,$A103,Objects!$F$2:$F$947,$B103,Objects!$I$2:$I$947,$C103)</f>
        <v/>
      </c>
      <c r="I103" s="5">
        <f>IF(OR(C103="(none)",B103="raft",B103="sump_pit"),"n/a",IF(OR(B103="column",B103="shear_wall",B103="isolated_footing",B103="combined_footing"),IF(AND(F103-E103&lt;=3,H103-G103&lt;=3),"yes","no"),IF(H103-G103&lt;=3,"yes (thickness)","no (thickness)")))</f>
        <v/>
      </c>
      <c r="J103" s="6">
        <f>SUMIFS(Objects!$L$2:$L$947,Objects!$B$2:$B$947,$A103,Objects!$F$2:$F$947,$B103,Objects!$I$2:$I$947,$C103)/100</f>
        <v/>
      </c>
      <c r="K103" s="5">
        <f>COUNTIFS(Objects!$B$2:$B$947,$A103,Objects!$F$2:$F$947,$B103,Objects!$I$2:$I$947,$C103,Objects!$J$2:$J$947,"inferred*")</f>
        <v/>
      </c>
    </row>
    <row r="104">
      <c r="A104" s="5" t="inlineStr">
        <is>
          <t>124</t>
        </is>
      </c>
      <c r="B104" s="5" t="inlineStr">
        <is>
          <t>retaining_wall</t>
        </is>
      </c>
      <c r="C104" s="5" t="inlineStr">
        <is>
          <t>VP25</t>
        </is>
      </c>
      <c r="D104" s="5">
        <f>COUNTIFS(Objects!$B$2:$B$947,$A104,Objects!$F$2:$F$947,$B104,Objects!$I$2:$I$947,$C104)</f>
        <v/>
      </c>
      <c r="E104" s="5">
        <f>_xlfn.MINIFS(Objects!$L$2:$L$947,Objects!$B$2:$B$947,$A104,Objects!$F$2:$F$947,$B104,Objects!$I$2:$I$947,$C104)</f>
        <v/>
      </c>
      <c r="F104" s="5">
        <f>_xlfn.MAXIFS(Objects!$L$2:$L$947,Objects!$B$2:$B$947,$A104,Objects!$F$2:$F$947,$B104,Objects!$I$2:$I$947,$C104)</f>
        <v/>
      </c>
      <c r="G104" s="5">
        <f>_xlfn.MINIFS(Objects!$M$2:$M$947,Objects!$B$2:$B$947,$A104,Objects!$F$2:$F$947,$B104,Objects!$I$2:$I$947,$C104)</f>
        <v/>
      </c>
      <c r="H104" s="5">
        <f>_xlfn.MAXIFS(Objects!$M$2:$M$947,Objects!$B$2:$B$947,$A104,Objects!$F$2:$F$947,$B104,Objects!$I$2:$I$947,$C104)</f>
        <v/>
      </c>
      <c r="I104" s="5">
        <f>IF(OR(C104="(none)",B104="raft",B104="sump_pit"),"n/a",IF(OR(B104="column",B104="shear_wall",B104="isolated_footing",B104="combined_footing"),IF(AND(F104-E104&lt;=3,H104-G104&lt;=3),"yes","no"),IF(H104-G104&lt;=3,"yes (thickness)","no (thickness)")))</f>
        <v/>
      </c>
      <c r="J104" s="6">
        <f>SUMIFS(Objects!$L$2:$L$947,Objects!$B$2:$B$947,$A104,Objects!$F$2:$F$947,$B104,Objects!$I$2:$I$947,$C104)/100</f>
        <v/>
      </c>
      <c r="K104" s="5">
        <f>COUNTIFS(Objects!$B$2:$B$947,$A104,Objects!$F$2:$F$947,$B104,Objects!$I$2:$I$947,$C104,Objects!$J$2:$J$947,"inferred*")</f>
        <v/>
      </c>
    </row>
    <row r="105">
      <c r="A105" s="5" t="inlineStr">
        <is>
          <t>124</t>
        </is>
      </c>
      <c r="B105" s="5" t="inlineStr">
        <is>
          <t>isolated_footing</t>
        </is>
      </c>
      <c r="C105" s="5" t="inlineStr">
        <is>
          <t>S11</t>
        </is>
      </c>
      <c r="D105" s="5">
        <f>COUNTIFS(Objects!$B$2:$B$947,$A105,Objects!$F$2:$F$947,$B105,Objects!$I$2:$I$947,$C105)</f>
        <v/>
      </c>
      <c r="E105" s="5">
        <f>_xlfn.MINIFS(Objects!$L$2:$L$947,Objects!$B$2:$B$947,$A105,Objects!$F$2:$F$947,$B105,Objects!$I$2:$I$947,$C105)</f>
        <v/>
      </c>
      <c r="F105" s="5">
        <f>_xlfn.MAXIFS(Objects!$L$2:$L$947,Objects!$B$2:$B$947,$A105,Objects!$F$2:$F$947,$B105,Objects!$I$2:$I$947,$C105)</f>
        <v/>
      </c>
      <c r="G105" s="5">
        <f>_xlfn.MINIFS(Objects!$M$2:$M$947,Objects!$B$2:$B$947,$A105,Objects!$F$2:$F$947,$B105,Objects!$I$2:$I$947,$C105)</f>
        <v/>
      </c>
      <c r="H105" s="5">
        <f>_xlfn.MAXIFS(Objects!$M$2:$M$947,Objects!$B$2:$B$947,$A105,Objects!$F$2:$F$947,$B105,Objects!$I$2:$I$947,$C105)</f>
        <v/>
      </c>
      <c r="I105" s="5">
        <f>IF(OR(C105="(none)",B105="raft",B105="sump_pit"),"n/a",IF(OR(B105="column",B105="shear_wall",B105="isolated_footing",B105="combined_footing"),IF(AND(F105-E105&lt;=3,H105-G105&lt;=3),"yes","no"),IF(H105-G105&lt;=3,"yes (thickness)","no (thickness)")))</f>
        <v/>
      </c>
      <c r="J105" s="6">
        <f>SUMIFS(Objects!$L$2:$L$947,Objects!$B$2:$B$947,$A105,Objects!$F$2:$F$947,$B105,Objects!$I$2:$I$947,$C105)/100</f>
        <v/>
      </c>
      <c r="K105" s="5">
        <f>COUNTIFS(Objects!$B$2:$B$947,$A105,Objects!$F$2:$F$947,$B105,Objects!$I$2:$I$947,$C105,Objects!$J$2:$J$947,"inferred*")</f>
        <v/>
      </c>
    </row>
    <row r="106">
      <c r="A106" s="5" t="inlineStr">
        <is>
          <t>124</t>
        </is>
      </c>
      <c r="B106" s="5" t="inlineStr">
        <is>
          <t>isolated_footing</t>
        </is>
      </c>
      <c r="C106" s="5" t="inlineStr">
        <is>
          <t>S2</t>
        </is>
      </c>
      <c r="D106" s="5">
        <f>COUNTIFS(Objects!$B$2:$B$947,$A106,Objects!$F$2:$F$947,$B106,Objects!$I$2:$I$947,$C106)</f>
        <v/>
      </c>
      <c r="E106" s="5">
        <f>_xlfn.MINIFS(Objects!$L$2:$L$947,Objects!$B$2:$B$947,$A106,Objects!$F$2:$F$947,$B106,Objects!$I$2:$I$947,$C106)</f>
        <v/>
      </c>
      <c r="F106" s="5">
        <f>_xlfn.MAXIFS(Objects!$L$2:$L$947,Objects!$B$2:$B$947,$A106,Objects!$F$2:$F$947,$B106,Objects!$I$2:$I$947,$C106)</f>
        <v/>
      </c>
      <c r="G106" s="5">
        <f>_xlfn.MINIFS(Objects!$M$2:$M$947,Objects!$B$2:$B$947,$A106,Objects!$F$2:$F$947,$B106,Objects!$I$2:$I$947,$C106)</f>
        <v/>
      </c>
      <c r="H106" s="5">
        <f>_xlfn.MAXIFS(Objects!$M$2:$M$947,Objects!$B$2:$B$947,$A106,Objects!$F$2:$F$947,$B106,Objects!$I$2:$I$947,$C106)</f>
        <v/>
      </c>
      <c r="I106" s="5">
        <f>IF(OR(C106="(none)",B106="raft",B106="sump_pit"),"n/a",IF(OR(B106="column",B106="shear_wall",B106="isolated_footing",B106="combined_footing"),IF(AND(F106-E106&lt;=3,H106-G106&lt;=3),"yes","no"),IF(H106-G106&lt;=3,"yes (thickness)","no (thickness)")))</f>
        <v/>
      </c>
      <c r="J106" s="6">
        <f>SUMIFS(Objects!$L$2:$L$947,Objects!$B$2:$B$947,$A106,Objects!$F$2:$F$947,$B106,Objects!$I$2:$I$947,$C106)/100</f>
        <v/>
      </c>
      <c r="K106" s="5">
        <f>COUNTIFS(Objects!$B$2:$B$947,$A106,Objects!$F$2:$F$947,$B106,Objects!$I$2:$I$947,$C106,Objects!$J$2:$J$947,"inferred*")</f>
        <v/>
      </c>
    </row>
    <row r="107">
      <c r="A107" s="5" t="inlineStr">
        <is>
          <t>124</t>
        </is>
      </c>
      <c r="B107" s="5" t="inlineStr">
        <is>
          <t>isolated_footing</t>
        </is>
      </c>
      <c r="C107" s="5" t="inlineStr">
        <is>
          <t>S3</t>
        </is>
      </c>
      <c r="D107" s="5">
        <f>COUNTIFS(Objects!$B$2:$B$947,$A107,Objects!$F$2:$F$947,$B107,Objects!$I$2:$I$947,$C107)</f>
        <v/>
      </c>
      <c r="E107" s="5">
        <f>_xlfn.MINIFS(Objects!$L$2:$L$947,Objects!$B$2:$B$947,$A107,Objects!$F$2:$F$947,$B107,Objects!$I$2:$I$947,$C107)</f>
        <v/>
      </c>
      <c r="F107" s="5">
        <f>_xlfn.MAXIFS(Objects!$L$2:$L$947,Objects!$B$2:$B$947,$A107,Objects!$F$2:$F$947,$B107,Objects!$I$2:$I$947,$C107)</f>
        <v/>
      </c>
      <c r="G107" s="5">
        <f>_xlfn.MINIFS(Objects!$M$2:$M$947,Objects!$B$2:$B$947,$A107,Objects!$F$2:$F$947,$B107,Objects!$I$2:$I$947,$C107)</f>
        <v/>
      </c>
      <c r="H107" s="5">
        <f>_xlfn.MAXIFS(Objects!$M$2:$M$947,Objects!$B$2:$B$947,$A107,Objects!$F$2:$F$947,$B107,Objects!$I$2:$I$947,$C107)</f>
        <v/>
      </c>
      <c r="I107" s="5">
        <f>IF(OR(C107="(none)",B107="raft",B107="sump_pit"),"n/a",IF(OR(B107="column",B107="shear_wall",B107="isolated_footing",B107="combined_footing"),IF(AND(F107-E107&lt;=3,H107-G107&lt;=3),"yes","no"),IF(H107-G107&lt;=3,"yes (thickness)","no (thickness)")))</f>
        <v/>
      </c>
      <c r="J107" s="6">
        <f>SUMIFS(Objects!$L$2:$L$947,Objects!$B$2:$B$947,$A107,Objects!$F$2:$F$947,$B107,Objects!$I$2:$I$947,$C107)/100</f>
        <v/>
      </c>
      <c r="K107" s="5">
        <f>COUNTIFS(Objects!$B$2:$B$947,$A107,Objects!$F$2:$F$947,$B107,Objects!$I$2:$I$947,$C107,Objects!$J$2:$J$947,"inferred*")</f>
        <v/>
      </c>
    </row>
    <row r="108">
      <c r="A108" s="5" t="inlineStr">
        <is>
          <t>124</t>
        </is>
      </c>
      <c r="B108" s="5" t="inlineStr">
        <is>
          <t>isolated_footing</t>
        </is>
      </c>
      <c r="C108" s="5" t="inlineStr">
        <is>
          <t>S6</t>
        </is>
      </c>
      <c r="D108" s="5">
        <f>COUNTIFS(Objects!$B$2:$B$947,$A108,Objects!$F$2:$F$947,$B108,Objects!$I$2:$I$947,$C108)</f>
        <v/>
      </c>
      <c r="E108" s="5">
        <f>_xlfn.MINIFS(Objects!$L$2:$L$947,Objects!$B$2:$B$947,$A108,Objects!$F$2:$F$947,$B108,Objects!$I$2:$I$947,$C108)</f>
        <v/>
      </c>
      <c r="F108" s="5">
        <f>_xlfn.MAXIFS(Objects!$L$2:$L$947,Objects!$B$2:$B$947,$A108,Objects!$F$2:$F$947,$B108,Objects!$I$2:$I$947,$C108)</f>
        <v/>
      </c>
      <c r="G108" s="5">
        <f>_xlfn.MINIFS(Objects!$M$2:$M$947,Objects!$B$2:$B$947,$A108,Objects!$F$2:$F$947,$B108,Objects!$I$2:$I$947,$C108)</f>
        <v/>
      </c>
      <c r="H108" s="5">
        <f>_xlfn.MAXIFS(Objects!$M$2:$M$947,Objects!$B$2:$B$947,$A108,Objects!$F$2:$F$947,$B108,Objects!$I$2:$I$947,$C108)</f>
        <v/>
      </c>
      <c r="I108" s="5">
        <f>IF(OR(C108="(none)",B108="raft",B108="sump_pit"),"n/a",IF(OR(B108="column",B108="shear_wall",B108="isolated_footing",B108="combined_footing"),IF(AND(F108-E108&lt;=3,H108-G108&lt;=3),"yes","no"),IF(H108-G108&lt;=3,"yes (thickness)","no (thickness)")))</f>
        <v/>
      </c>
      <c r="J108" s="6">
        <f>SUMIFS(Objects!$L$2:$L$947,Objects!$B$2:$B$947,$A108,Objects!$F$2:$F$947,$B108,Objects!$I$2:$I$947,$C108)/100</f>
        <v/>
      </c>
      <c r="K108" s="5">
        <f>COUNTIFS(Objects!$B$2:$B$947,$A108,Objects!$F$2:$F$947,$B108,Objects!$I$2:$I$947,$C108,Objects!$J$2:$J$947,"inferred*")</f>
        <v/>
      </c>
    </row>
    <row r="109">
      <c r="A109" s="5" t="inlineStr">
        <is>
          <t>124</t>
        </is>
      </c>
      <c r="B109" s="5" t="inlineStr">
        <is>
          <t>combined_footing</t>
        </is>
      </c>
      <c r="C109" s="5" t="inlineStr">
        <is>
          <t>SC2</t>
        </is>
      </c>
      <c r="D109" s="5">
        <f>COUNTIFS(Objects!$B$2:$B$947,$A109,Objects!$F$2:$F$947,$B109,Objects!$I$2:$I$947,$C109)</f>
        <v/>
      </c>
      <c r="E109" s="5">
        <f>_xlfn.MINIFS(Objects!$L$2:$L$947,Objects!$B$2:$B$947,$A109,Objects!$F$2:$F$947,$B109,Objects!$I$2:$I$947,$C109)</f>
        <v/>
      </c>
      <c r="F109" s="5">
        <f>_xlfn.MAXIFS(Objects!$L$2:$L$947,Objects!$B$2:$B$947,$A109,Objects!$F$2:$F$947,$B109,Objects!$I$2:$I$947,$C109)</f>
        <v/>
      </c>
      <c r="G109" s="5">
        <f>_xlfn.MINIFS(Objects!$M$2:$M$947,Objects!$B$2:$B$947,$A109,Objects!$F$2:$F$947,$B109,Objects!$I$2:$I$947,$C109)</f>
        <v/>
      </c>
      <c r="H109" s="5">
        <f>_xlfn.MAXIFS(Objects!$M$2:$M$947,Objects!$B$2:$B$947,$A109,Objects!$F$2:$F$947,$B109,Objects!$I$2:$I$947,$C109)</f>
        <v/>
      </c>
      <c r="I109" s="5">
        <f>IF(OR(C109="(none)",B109="raft",B109="sump_pit"),"n/a",IF(OR(B109="column",B109="shear_wall",B109="isolated_footing",B109="combined_footing"),IF(AND(F109-E109&lt;=3,H109-G109&lt;=3),"yes","no"),IF(H109-G109&lt;=3,"yes (thickness)","no (thickness)")))</f>
        <v/>
      </c>
      <c r="J109" s="6">
        <f>SUMIFS(Objects!$L$2:$L$947,Objects!$B$2:$B$947,$A109,Objects!$F$2:$F$947,$B109,Objects!$I$2:$I$947,$C109)/100</f>
        <v/>
      </c>
      <c r="K109" s="5">
        <f>COUNTIFS(Objects!$B$2:$B$947,$A109,Objects!$F$2:$F$947,$B109,Objects!$I$2:$I$947,$C109,Objects!$J$2:$J$947,"inferred*")</f>
        <v/>
      </c>
    </row>
    <row r="110">
      <c r="A110" s="5" t="inlineStr">
        <is>
          <t>124</t>
        </is>
      </c>
      <c r="B110" s="5" t="inlineStr">
        <is>
          <t>combined_footing</t>
        </is>
      </c>
      <c r="C110" s="5" t="inlineStr">
        <is>
          <t>SC3</t>
        </is>
      </c>
      <c r="D110" s="5">
        <f>COUNTIFS(Objects!$B$2:$B$947,$A110,Objects!$F$2:$F$947,$B110,Objects!$I$2:$I$947,$C110)</f>
        <v/>
      </c>
      <c r="E110" s="5">
        <f>_xlfn.MINIFS(Objects!$L$2:$L$947,Objects!$B$2:$B$947,$A110,Objects!$F$2:$F$947,$B110,Objects!$I$2:$I$947,$C110)</f>
        <v/>
      </c>
      <c r="F110" s="5">
        <f>_xlfn.MAXIFS(Objects!$L$2:$L$947,Objects!$B$2:$B$947,$A110,Objects!$F$2:$F$947,$B110,Objects!$I$2:$I$947,$C110)</f>
        <v/>
      </c>
      <c r="G110" s="5">
        <f>_xlfn.MINIFS(Objects!$M$2:$M$947,Objects!$B$2:$B$947,$A110,Objects!$F$2:$F$947,$B110,Objects!$I$2:$I$947,$C110)</f>
        <v/>
      </c>
      <c r="H110" s="5">
        <f>_xlfn.MAXIFS(Objects!$M$2:$M$947,Objects!$B$2:$B$947,$A110,Objects!$F$2:$F$947,$B110,Objects!$I$2:$I$947,$C110)</f>
        <v/>
      </c>
      <c r="I110" s="5">
        <f>IF(OR(C110="(none)",B110="raft",B110="sump_pit"),"n/a",IF(OR(B110="column",B110="shear_wall",B110="isolated_footing",B110="combined_footing"),IF(AND(F110-E110&lt;=3,H110-G110&lt;=3),"yes","no"),IF(H110-G110&lt;=3,"yes (thickness)","no (thickness)")))</f>
        <v/>
      </c>
      <c r="J110" s="6">
        <f>SUMIFS(Objects!$L$2:$L$947,Objects!$B$2:$B$947,$A110,Objects!$F$2:$F$947,$B110,Objects!$I$2:$I$947,$C110)/100</f>
        <v/>
      </c>
      <c r="K110" s="5">
        <f>COUNTIFS(Objects!$B$2:$B$947,$A110,Objects!$F$2:$F$947,$B110,Objects!$I$2:$I$947,$C110,Objects!$J$2:$J$947,"inferred*")</f>
        <v/>
      </c>
    </row>
    <row r="111">
      <c r="A111" s="5" t="inlineStr">
        <is>
          <t>124</t>
        </is>
      </c>
      <c r="B111" s="5" t="inlineStr">
        <is>
          <t>combined_footing</t>
        </is>
      </c>
      <c r="C111" s="5" t="inlineStr">
        <is>
          <t>SC6</t>
        </is>
      </c>
      <c r="D111" s="5">
        <f>COUNTIFS(Objects!$B$2:$B$947,$A111,Objects!$F$2:$F$947,$B111,Objects!$I$2:$I$947,$C111)</f>
        <v/>
      </c>
      <c r="E111" s="5">
        <f>_xlfn.MINIFS(Objects!$L$2:$L$947,Objects!$B$2:$B$947,$A111,Objects!$F$2:$F$947,$B111,Objects!$I$2:$I$947,$C111)</f>
        <v/>
      </c>
      <c r="F111" s="5">
        <f>_xlfn.MAXIFS(Objects!$L$2:$L$947,Objects!$B$2:$B$947,$A111,Objects!$F$2:$F$947,$B111,Objects!$I$2:$I$947,$C111)</f>
        <v/>
      </c>
      <c r="G111" s="5">
        <f>_xlfn.MINIFS(Objects!$M$2:$M$947,Objects!$B$2:$B$947,$A111,Objects!$F$2:$F$947,$B111,Objects!$I$2:$I$947,$C111)</f>
        <v/>
      </c>
      <c r="H111" s="5">
        <f>_xlfn.MAXIFS(Objects!$M$2:$M$947,Objects!$B$2:$B$947,$A111,Objects!$F$2:$F$947,$B111,Objects!$I$2:$I$947,$C111)</f>
        <v/>
      </c>
      <c r="I111" s="5">
        <f>IF(OR(C111="(none)",B111="raft",B111="sump_pit"),"n/a",IF(OR(B111="column",B111="shear_wall",B111="isolated_footing",B111="combined_footing"),IF(AND(F111-E111&lt;=3,H111-G111&lt;=3),"yes","no"),IF(H111-G111&lt;=3,"yes (thickness)","no (thickness)")))</f>
        <v/>
      </c>
      <c r="J111" s="6">
        <f>SUMIFS(Objects!$L$2:$L$947,Objects!$B$2:$B$947,$A111,Objects!$F$2:$F$947,$B111,Objects!$I$2:$I$947,$C111)/100</f>
        <v/>
      </c>
      <c r="K111" s="5">
        <f>COUNTIFS(Objects!$B$2:$B$947,$A111,Objects!$F$2:$F$947,$B111,Objects!$I$2:$I$947,$C111,Objects!$J$2:$J$947,"inferred*")</f>
        <v/>
      </c>
    </row>
    <row r="112">
      <c r="A112" s="5" t="inlineStr">
        <is>
          <t>124</t>
        </is>
      </c>
      <c r="B112" s="5" t="inlineStr">
        <is>
          <t>strip_footing</t>
        </is>
      </c>
      <c r="C112" s="5" t="inlineStr">
        <is>
          <t>SF1</t>
        </is>
      </c>
      <c r="D112" s="5">
        <f>COUNTIFS(Objects!$B$2:$B$947,$A112,Objects!$F$2:$F$947,$B112,Objects!$I$2:$I$947,$C112)</f>
        <v/>
      </c>
      <c r="E112" s="5">
        <f>_xlfn.MINIFS(Objects!$L$2:$L$947,Objects!$B$2:$B$947,$A112,Objects!$F$2:$F$947,$B112,Objects!$I$2:$I$947,$C112)</f>
        <v/>
      </c>
      <c r="F112" s="5">
        <f>_xlfn.MAXIFS(Objects!$L$2:$L$947,Objects!$B$2:$B$947,$A112,Objects!$F$2:$F$947,$B112,Objects!$I$2:$I$947,$C112)</f>
        <v/>
      </c>
      <c r="G112" s="5">
        <f>_xlfn.MINIFS(Objects!$M$2:$M$947,Objects!$B$2:$B$947,$A112,Objects!$F$2:$F$947,$B112,Objects!$I$2:$I$947,$C112)</f>
        <v/>
      </c>
      <c r="H112" s="5">
        <f>_xlfn.MAXIFS(Objects!$M$2:$M$947,Objects!$B$2:$B$947,$A112,Objects!$F$2:$F$947,$B112,Objects!$I$2:$I$947,$C112)</f>
        <v/>
      </c>
      <c r="I112" s="5">
        <f>IF(OR(C112="(none)",B112="raft",B112="sump_pit"),"n/a",IF(OR(B112="column",B112="shear_wall",B112="isolated_footing",B112="combined_footing"),IF(AND(F112-E112&lt;=3,H112-G112&lt;=3),"yes","no"),IF(H112-G112&lt;=3,"yes (thickness)","no (thickness)")))</f>
        <v/>
      </c>
      <c r="J112" s="6">
        <f>SUMIFS(Objects!$L$2:$L$947,Objects!$B$2:$B$947,$A112,Objects!$F$2:$F$947,$B112,Objects!$I$2:$I$947,$C112)/100</f>
        <v/>
      </c>
      <c r="K112" s="5">
        <f>COUNTIFS(Objects!$B$2:$B$947,$A112,Objects!$F$2:$F$947,$B112,Objects!$I$2:$I$947,$C112,Objects!$J$2:$J$947,"inferred*")</f>
        <v/>
      </c>
    </row>
    <row r="113">
      <c r="A113" s="5" t="inlineStr">
        <is>
          <t>124</t>
        </is>
      </c>
      <c r="B113" s="5" t="inlineStr">
        <is>
          <t>grade_beam</t>
        </is>
      </c>
      <c r="C113" s="5" t="inlineStr">
        <is>
          <t>LG40x15</t>
        </is>
      </c>
      <c r="D113" s="5">
        <f>COUNTIFS(Objects!$B$2:$B$947,$A113,Objects!$F$2:$F$947,$B113,Objects!$I$2:$I$947,$C113)</f>
        <v/>
      </c>
      <c r="E113" s="5">
        <f>_xlfn.MINIFS(Objects!$L$2:$L$947,Objects!$B$2:$B$947,$A113,Objects!$F$2:$F$947,$B113,Objects!$I$2:$I$947,$C113)</f>
        <v/>
      </c>
      <c r="F113" s="5">
        <f>_xlfn.MAXIFS(Objects!$L$2:$L$947,Objects!$B$2:$B$947,$A113,Objects!$F$2:$F$947,$B113,Objects!$I$2:$I$947,$C113)</f>
        <v/>
      </c>
      <c r="G113" s="5">
        <f>_xlfn.MINIFS(Objects!$M$2:$M$947,Objects!$B$2:$B$947,$A113,Objects!$F$2:$F$947,$B113,Objects!$I$2:$I$947,$C113)</f>
        <v/>
      </c>
      <c r="H113" s="5">
        <f>_xlfn.MAXIFS(Objects!$M$2:$M$947,Objects!$B$2:$B$947,$A113,Objects!$F$2:$F$947,$B113,Objects!$I$2:$I$947,$C113)</f>
        <v/>
      </c>
      <c r="I113" s="5">
        <f>IF(OR(C113="(none)",B113="raft",B113="sump_pit"),"n/a",IF(OR(B113="column",B113="shear_wall",B113="isolated_footing",B113="combined_footing"),IF(AND(F113-E113&lt;=3,H113-G113&lt;=3),"yes","no"),IF(H113-G113&lt;=3,"yes (thickness)","no (thickness)")))</f>
        <v/>
      </c>
      <c r="J113" s="6">
        <f>SUMIFS(Objects!$L$2:$L$947,Objects!$B$2:$B$947,$A113,Objects!$F$2:$F$947,$B113,Objects!$I$2:$I$947,$C113)/100</f>
        <v/>
      </c>
      <c r="K113" s="5">
        <f>COUNTIFS(Objects!$B$2:$B$947,$A113,Objects!$F$2:$F$947,$B113,Objects!$I$2:$I$947,$C113,Objects!$J$2:$J$947,"inferred*")</f>
        <v/>
      </c>
    </row>
    <row r="114">
      <c r="A114" s="5" t="inlineStr">
        <is>
          <t>124</t>
        </is>
      </c>
      <c r="B114" s="5" t="inlineStr">
        <is>
          <t>raft</t>
        </is>
      </c>
      <c r="C114" s="5" t="inlineStr">
        <is>
          <t>Radier 100</t>
        </is>
      </c>
      <c r="D114" s="5">
        <f>COUNTIFS(Objects!$B$2:$B$947,$A114,Objects!$F$2:$F$947,$B114,Objects!$I$2:$I$947,$C114)</f>
        <v/>
      </c>
      <c r="E114" s="5">
        <f>_xlfn.MINIFS(Objects!$L$2:$L$947,Objects!$B$2:$B$947,$A114,Objects!$F$2:$F$947,$B114,Objects!$I$2:$I$947,$C114)</f>
        <v/>
      </c>
      <c r="F114" s="5">
        <f>_xlfn.MAXIFS(Objects!$L$2:$L$947,Objects!$B$2:$B$947,$A114,Objects!$F$2:$F$947,$B114,Objects!$I$2:$I$947,$C114)</f>
        <v/>
      </c>
      <c r="G114" s="5">
        <f>_xlfn.MINIFS(Objects!$M$2:$M$947,Objects!$B$2:$B$947,$A114,Objects!$F$2:$F$947,$B114,Objects!$I$2:$I$947,$C114)</f>
        <v/>
      </c>
      <c r="H114" s="5">
        <f>_xlfn.MAXIFS(Objects!$M$2:$M$947,Objects!$B$2:$B$947,$A114,Objects!$F$2:$F$947,$B114,Objects!$I$2:$I$947,$C114)</f>
        <v/>
      </c>
      <c r="I114" s="5">
        <f>IF(OR(C114="(none)",B114="raft",B114="sump_pit"),"n/a",IF(OR(B114="column",B114="shear_wall",B114="isolated_footing",B114="combined_footing"),IF(AND(F114-E114&lt;=3,H114-G114&lt;=3),"yes","no"),IF(H114-G114&lt;=3,"yes (thickness)","no (thickness)")))</f>
        <v/>
      </c>
      <c r="J114" s="6">
        <f>SUMIFS(Objects!$L$2:$L$947,Objects!$B$2:$B$947,$A114,Objects!$F$2:$F$947,$B114,Objects!$I$2:$I$947,$C114)/100</f>
        <v/>
      </c>
      <c r="K114" s="5">
        <f>COUNTIFS(Objects!$B$2:$B$947,$A114,Objects!$F$2:$F$947,$B114,Objects!$I$2:$I$947,$C114,Objects!$J$2:$J$947,"inferred*")</f>
        <v/>
      </c>
    </row>
    <row r="115">
      <c r="A115" s="5" t="inlineStr">
        <is>
          <t>125</t>
        </is>
      </c>
      <c r="B115" s="5" t="inlineStr">
        <is>
          <t>column</t>
        </is>
      </c>
      <c r="C115" s="5" t="inlineStr">
        <is>
          <t>P1/125</t>
        </is>
      </c>
      <c r="D115" s="5">
        <f>COUNTIFS(Objects!$B$2:$B$947,$A115,Objects!$F$2:$F$947,$B115,Objects!$I$2:$I$947,$C115)</f>
        <v/>
      </c>
      <c r="E115" s="5">
        <f>_xlfn.MINIFS(Objects!$L$2:$L$947,Objects!$B$2:$B$947,$A115,Objects!$F$2:$F$947,$B115,Objects!$I$2:$I$947,$C115)</f>
        <v/>
      </c>
      <c r="F115" s="5">
        <f>_xlfn.MAXIFS(Objects!$L$2:$L$947,Objects!$B$2:$B$947,$A115,Objects!$F$2:$F$947,$B115,Objects!$I$2:$I$947,$C115)</f>
        <v/>
      </c>
      <c r="G115" s="5">
        <f>_xlfn.MINIFS(Objects!$M$2:$M$947,Objects!$B$2:$B$947,$A115,Objects!$F$2:$F$947,$B115,Objects!$I$2:$I$947,$C115)</f>
        <v/>
      </c>
      <c r="H115" s="5">
        <f>_xlfn.MAXIFS(Objects!$M$2:$M$947,Objects!$B$2:$B$947,$A115,Objects!$F$2:$F$947,$B115,Objects!$I$2:$I$947,$C115)</f>
        <v/>
      </c>
      <c r="I115" s="5">
        <f>IF(OR(C115="(none)",B115="raft",B115="sump_pit"),"n/a",IF(OR(B115="column",B115="shear_wall",B115="isolated_footing",B115="combined_footing"),IF(AND(F115-E115&lt;=3,H115-G115&lt;=3),"yes","no"),IF(H115-G115&lt;=3,"yes (thickness)","no (thickness)")))</f>
        <v/>
      </c>
      <c r="J115" s="6">
        <f>SUMIFS(Objects!$L$2:$L$947,Objects!$B$2:$B$947,$A115,Objects!$F$2:$F$947,$B115,Objects!$I$2:$I$947,$C115)/100</f>
        <v/>
      </c>
      <c r="K115" s="5">
        <f>COUNTIFS(Objects!$B$2:$B$947,$A115,Objects!$F$2:$F$947,$B115,Objects!$I$2:$I$947,$C115,Objects!$J$2:$J$947,"inferred*")</f>
        <v/>
      </c>
    </row>
    <row r="116">
      <c r="A116" s="5" t="inlineStr">
        <is>
          <t>125</t>
        </is>
      </c>
      <c r="B116" s="5" t="inlineStr">
        <is>
          <t>shear_wall</t>
        </is>
      </c>
      <c r="C116" s="5" t="inlineStr">
        <is>
          <t>V1/125</t>
        </is>
      </c>
      <c r="D116" s="5">
        <f>COUNTIFS(Objects!$B$2:$B$947,$A116,Objects!$F$2:$F$947,$B116,Objects!$I$2:$I$947,$C116)</f>
        <v/>
      </c>
      <c r="E116" s="5">
        <f>_xlfn.MINIFS(Objects!$L$2:$L$947,Objects!$B$2:$B$947,$A116,Objects!$F$2:$F$947,$B116,Objects!$I$2:$I$947,$C116)</f>
        <v/>
      </c>
      <c r="F116" s="5">
        <f>_xlfn.MAXIFS(Objects!$L$2:$L$947,Objects!$B$2:$B$947,$A116,Objects!$F$2:$F$947,$B116,Objects!$I$2:$I$947,$C116)</f>
        <v/>
      </c>
      <c r="G116" s="5">
        <f>_xlfn.MINIFS(Objects!$M$2:$M$947,Objects!$B$2:$B$947,$A116,Objects!$F$2:$F$947,$B116,Objects!$I$2:$I$947,$C116)</f>
        <v/>
      </c>
      <c r="H116" s="5">
        <f>_xlfn.MAXIFS(Objects!$M$2:$M$947,Objects!$B$2:$B$947,$A116,Objects!$F$2:$F$947,$B116,Objects!$I$2:$I$947,$C116)</f>
        <v/>
      </c>
      <c r="I116" s="5">
        <f>IF(OR(C116="(none)",B116="raft",B116="sump_pit"),"n/a",IF(OR(B116="column",B116="shear_wall",B116="isolated_footing",B116="combined_footing"),IF(AND(F116-E116&lt;=3,H116-G116&lt;=3),"yes","no"),IF(H116-G116&lt;=3,"yes (thickness)","no (thickness)")))</f>
        <v/>
      </c>
      <c r="J116" s="6">
        <f>SUMIFS(Objects!$L$2:$L$947,Objects!$B$2:$B$947,$A116,Objects!$F$2:$F$947,$B116,Objects!$I$2:$I$947,$C116)/100</f>
        <v/>
      </c>
      <c r="K116" s="5">
        <f>COUNTIFS(Objects!$B$2:$B$947,$A116,Objects!$F$2:$F$947,$B116,Objects!$I$2:$I$947,$C116,Objects!$J$2:$J$947,"inferred*")</f>
        <v/>
      </c>
    </row>
    <row r="117">
      <c r="A117" s="5" t="inlineStr">
        <is>
          <t>125</t>
        </is>
      </c>
      <c r="B117" s="5" t="inlineStr">
        <is>
          <t>shear_wall</t>
        </is>
      </c>
      <c r="C117" s="5" t="inlineStr">
        <is>
          <t>V3/125</t>
        </is>
      </c>
      <c r="D117" s="5">
        <f>COUNTIFS(Objects!$B$2:$B$947,$A117,Objects!$F$2:$F$947,$B117,Objects!$I$2:$I$947,$C117)</f>
        <v/>
      </c>
      <c r="E117" s="5">
        <f>_xlfn.MINIFS(Objects!$L$2:$L$947,Objects!$B$2:$B$947,$A117,Objects!$F$2:$F$947,$B117,Objects!$I$2:$I$947,$C117)</f>
        <v/>
      </c>
      <c r="F117" s="5">
        <f>_xlfn.MAXIFS(Objects!$L$2:$L$947,Objects!$B$2:$B$947,$A117,Objects!$F$2:$F$947,$B117,Objects!$I$2:$I$947,$C117)</f>
        <v/>
      </c>
      <c r="G117" s="5">
        <f>_xlfn.MINIFS(Objects!$M$2:$M$947,Objects!$B$2:$B$947,$A117,Objects!$F$2:$F$947,$B117,Objects!$I$2:$I$947,$C117)</f>
        <v/>
      </c>
      <c r="H117" s="5">
        <f>_xlfn.MAXIFS(Objects!$M$2:$M$947,Objects!$B$2:$B$947,$A117,Objects!$F$2:$F$947,$B117,Objects!$I$2:$I$947,$C117)</f>
        <v/>
      </c>
      <c r="I117" s="5">
        <f>IF(OR(C117="(none)",B117="raft",B117="sump_pit"),"n/a",IF(OR(B117="column",B117="shear_wall",B117="isolated_footing",B117="combined_footing"),IF(AND(F117-E117&lt;=3,H117-G117&lt;=3),"yes","no"),IF(H117-G117&lt;=3,"yes (thickness)","no (thickness)")))</f>
        <v/>
      </c>
      <c r="J117" s="6">
        <f>SUMIFS(Objects!$L$2:$L$947,Objects!$B$2:$B$947,$A117,Objects!$F$2:$F$947,$B117,Objects!$I$2:$I$947,$C117)/100</f>
        <v/>
      </c>
      <c r="K117" s="5">
        <f>COUNTIFS(Objects!$B$2:$B$947,$A117,Objects!$F$2:$F$947,$B117,Objects!$I$2:$I$947,$C117,Objects!$J$2:$J$947,"inferred*")</f>
        <v/>
      </c>
    </row>
    <row r="118">
      <c r="A118" s="5" t="inlineStr">
        <is>
          <t>125</t>
        </is>
      </c>
      <c r="B118" s="5" t="inlineStr">
        <is>
          <t>shear_wall</t>
        </is>
      </c>
      <c r="C118" s="5" t="inlineStr">
        <is>
          <t>V4/125</t>
        </is>
      </c>
      <c r="D118" s="5">
        <f>COUNTIFS(Objects!$B$2:$B$947,$A118,Objects!$F$2:$F$947,$B118,Objects!$I$2:$I$947,$C118)</f>
        <v/>
      </c>
      <c r="E118" s="5">
        <f>_xlfn.MINIFS(Objects!$L$2:$L$947,Objects!$B$2:$B$947,$A118,Objects!$F$2:$F$947,$B118,Objects!$I$2:$I$947,$C118)</f>
        <v/>
      </c>
      <c r="F118" s="5">
        <f>_xlfn.MAXIFS(Objects!$L$2:$L$947,Objects!$B$2:$B$947,$A118,Objects!$F$2:$F$947,$B118,Objects!$I$2:$I$947,$C118)</f>
        <v/>
      </c>
      <c r="G118" s="5">
        <f>_xlfn.MINIFS(Objects!$M$2:$M$947,Objects!$B$2:$B$947,$A118,Objects!$F$2:$F$947,$B118,Objects!$I$2:$I$947,$C118)</f>
        <v/>
      </c>
      <c r="H118" s="5">
        <f>_xlfn.MAXIFS(Objects!$M$2:$M$947,Objects!$B$2:$B$947,$A118,Objects!$F$2:$F$947,$B118,Objects!$I$2:$I$947,$C118)</f>
        <v/>
      </c>
      <c r="I118" s="5">
        <f>IF(OR(C118="(none)",B118="raft",B118="sump_pit"),"n/a",IF(OR(B118="column",B118="shear_wall",B118="isolated_footing",B118="combined_footing"),IF(AND(F118-E118&lt;=3,H118-G118&lt;=3),"yes","no"),IF(H118-G118&lt;=3,"yes (thickness)","no (thickness)")))</f>
        <v/>
      </c>
      <c r="J118" s="6">
        <f>SUMIFS(Objects!$L$2:$L$947,Objects!$B$2:$B$947,$A118,Objects!$F$2:$F$947,$B118,Objects!$I$2:$I$947,$C118)/100</f>
        <v/>
      </c>
      <c r="K118" s="5">
        <f>COUNTIFS(Objects!$B$2:$B$947,$A118,Objects!$F$2:$F$947,$B118,Objects!$I$2:$I$947,$C118,Objects!$J$2:$J$947,"inferred*")</f>
        <v/>
      </c>
    </row>
    <row r="119">
      <c r="A119" s="5" t="inlineStr">
        <is>
          <t>125</t>
        </is>
      </c>
      <c r="B119" s="5" t="inlineStr">
        <is>
          <t>shear_wall</t>
        </is>
      </c>
      <c r="C119" s="5" t="inlineStr">
        <is>
          <t>V5/125</t>
        </is>
      </c>
      <c r="D119" s="5">
        <f>COUNTIFS(Objects!$B$2:$B$947,$A119,Objects!$F$2:$F$947,$B119,Objects!$I$2:$I$947,$C119)</f>
        <v/>
      </c>
      <c r="E119" s="5">
        <f>_xlfn.MINIFS(Objects!$L$2:$L$947,Objects!$B$2:$B$947,$A119,Objects!$F$2:$F$947,$B119,Objects!$I$2:$I$947,$C119)</f>
        <v/>
      </c>
      <c r="F119" s="5">
        <f>_xlfn.MAXIFS(Objects!$L$2:$L$947,Objects!$B$2:$B$947,$A119,Objects!$F$2:$F$947,$B119,Objects!$I$2:$I$947,$C119)</f>
        <v/>
      </c>
      <c r="G119" s="5">
        <f>_xlfn.MINIFS(Objects!$M$2:$M$947,Objects!$B$2:$B$947,$A119,Objects!$F$2:$F$947,$B119,Objects!$I$2:$I$947,$C119)</f>
        <v/>
      </c>
      <c r="H119" s="5">
        <f>_xlfn.MAXIFS(Objects!$M$2:$M$947,Objects!$B$2:$B$947,$A119,Objects!$F$2:$F$947,$B119,Objects!$I$2:$I$947,$C119)</f>
        <v/>
      </c>
      <c r="I119" s="5">
        <f>IF(OR(C119="(none)",B119="raft",B119="sump_pit"),"n/a",IF(OR(B119="column",B119="shear_wall",B119="isolated_footing",B119="combined_footing"),IF(AND(F119-E119&lt;=3,H119-G119&lt;=3),"yes","no"),IF(H119-G119&lt;=3,"yes (thickness)","no (thickness)")))</f>
        <v/>
      </c>
      <c r="J119" s="6">
        <f>SUMIFS(Objects!$L$2:$L$947,Objects!$B$2:$B$947,$A119,Objects!$F$2:$F$947,$B119,Objects!$I$2:$I$947,$C119)/100</f>
        <v/>
      </c>
      <c r="K119" s="5">
        <f>COUNTIFS(Objects!$B$2:$B$947,$A119,Objects!$F$2:$F$947,$B119,Objects!$I$2:$I$947,$C119,Objects!$J$2:$J$947,"inferred*")</f>
        <v/>
      </c>
    </row>
    <row r="120">
      <c r="A120" s="5" t="inlineStr">
        <is>
          <t>125</t>
        </is>
      </c>
      <c r="B120" s="5" t="inlineStr">
        <is>
          <t>shear_wall</t>
        </is>
      </c>
      <c r="C120" s="5" t="inlineStr">
        <is>
          <t>V8/125</t>
        </is>
      </c>
      <c r="D120" s="5">
        <f>COUNTIFS(Objects!$B$2:$B$947,$A120,Objects!$F$2:$F$947,$B120,Objects!$I$2:$I$947,$C120)</f>
        <v/>
      </c>
      <c r="E120" s="5">
        <f>_xlfn.MINIFS(Objects!$L$2:$L$947,Objects!$B$2:$B$947,$A120,Objects!$F$2:$F$947,$B120,Objects!$I$2:$I$947,$C120)</f>
        <v/>
      </c>
      <c r="F120" s="5">
        <f>_xlfn.MAXIFS(Objects!$L$2:$L$947,Objects!$B$2:$B$947,$A120,Objects!$F$2:$F$947,$B120,Objects!$I$2:$I$947,$C120)</f>
        <v/>
      </c>
      <c r="G120" s="5">
        <f>_xlfn.MINIFS(Objects!$M$2:$M$947,Objects!$B$2:$B$947,$A120,Objects!$F$2:$F$947,$B120,Objects!$I$2:$I$947,$C120)</f>
        <v/>
      </c>
      <c r="H120" s="5">
        <f>_xlfn.MAXIFS(Objects!$M$2:$M$947,Objects!$B$2:$B$947,$A120,Objects!$F$2:$F$947,$B120,Objects!$I$2:$I$947,$C120)</f>
        <v/>
      </c>
      <c r="I120" s="5">
        <f>IF(OR(C120="(none)",B120="raft",B120="sump_pit"),"n/a",IF(OR(B120="column",B120="shear_wall",B120="isolated_footing",B120="combined_footing"),IF(AND(F120-E120&lt;=3,H120-G120&lt;=3),"yes","no"),IF(H120-G120&lt;=3,"yes (thickness)","no (thickness)")))</f>
        <v/>
      </c>
      <c r="J120" s="6">
        <f>SUMIFS(Objects!$L$2:$L$947,Objects!$B$2:$B$947,$A120,Objects!$F$2:$F$947,$B120,Objects!$I$2:$I$947,$C120)/100</f>
        <v/>
      </c>
      <c r="K120" s="5">
        <f>COUNTIFS(Objects!$B$2:$B$947,$A120,Objects!$F$2:$F$947,$B120,Objects!$I$2:$I$947,$C120,Objects!$J$2:$J$947,"inferred*")</f>
        <v/>
      </c>
    </row>
    <row r="121">
      <c r="A121" s="5" t="inlineStr">
        <is>
          <t>125</t>
        </is>
      </c>
      <c r="B121" s="5" t="inlineStr">
        <is>
          <t>core_wall</t>
        </is>
      </c>
      <c r="C121" s="5" t="inlineStr">
        <is>
          <t>(none)</t>
        </is>
      </c>
      <c r="D121" s="5">
        <f>COUNTIFS(Objects!$B$2:$B$947,$A121,Objects!$F$2:$F$947,$B121,Objects!$I$2:$I$947,$C121)</f>
        <v/>
      </c>
      <c r="E121" s="5">
        <f>_xlfn.MINIFS(Objects!$L$2:$L$947,Objects!$B$2:$B$947,$A121,Objects!$F$2:$F$947,$B121,Objects!$I$2:$I$947,$C121)</f>
        <v/>
      </c>
      <c r="F121" s="5">
        <f>_xlfn.MAXIFS(Objects!$L$2:$L$947,Objects!$B$2:$B$947,$A121,Objects!$F$2:$F$947,$B121,Objects!$I$2:$I$947,$C121)</f>
        <v/>
      </c>
      <c r="G121" s="5">
        <f>_xlfn.MINIFS(Objects!$M$2:$M$947,Objects!$B$2:$B$947,$A121,Objects!$F$2:$F$947,$B121,Objects!$I$2:$I$947,$C121)</f>
        <v/>
      </c>
      <c r="H121" s="5">
        <f>_xlfn.MAXIFS(Objects!$M$2:$M$947,Objects!$B$2:$B$947,$A121,Objects!$F$2:$F$947,$B121,Objects!$I$2:$I$947,$C121)</f>
        <v/>
      </c>
      <c r="I121" s="5">
        <f>IF(OR(C121="(none)",B121="raft",B121="sump_pit"),"n/a",IF(OR(B121="column",B121="shear_wall",B121="isolated_footing",B121="combined_footing"),IF(AND(F121-E121&lt;=3,H121-G121&lt;=3),"yes","no"),IF(H121-G121&lt;=3,"yes (thickness)","no (thickness)")))</f>
        <v/>
      </c>
      <c r="J121" s="6">
        <f>SUMIFS(Objects!$L$2:$L$947,Objects!$B$2:$B$947,$A121,Objects!$F$2:$F$947,$B121,Objects!$I$2:$I$947,$C121)/100</f>
        <v/>
      </c>
      <c r="K121" s="5">
        <f>COUNTIFS(Objects!$B$2:$B$947,$A121,Objects!$F$2:$F$947,$B121,Objects!$I$2:$I$947,$C121,Objects!$J$2:$J$947,"inferred*")</f>
        <v/>
      </c>
    </row>
    <row r="122">
      <c r="A122" s="5" t="inlineStr">
        <is>
          <t>125</t>
        </is>
      </c>
      <c r="B122" s="5" t="inlineStr">
        <is>
          <t>retaining_wall</t>
        </is>
      </c>
      <c r="C122" s="5" t="inlineStr">
        <is>
          <t>VP20</t>
        </is>
      </c>
      <c r="D122" s="5">
        <f>COUNTIFS(Objects!$B$2:$B$947,$A122,Objects!$F$2:$F$947,$B122,Objects!$I$2:$I$947,$C122)</f>
        <v/>
      </c>
      <c r="E122" s="5">
        <f>_xlfn.MINIFS(Objects!$L$2:$L$947,Objects!$B$2:$B$947,$A122,Objects!$F$2:$F$947,$B122,Objects!$I$2:$I$947,$C122)</f>
        <v/>
      </c>
      <c r="F122" s="5">
        <f>_xlfn.MAXIFS(Objects!$L$2:$L$947,Objects!$B$2:$B$947,$A122,Objects!$F$2:$F$947,$B122,Objects!$I$2:$I$947,$C122)</f>
        <v/>
      </c>
      <c r="G122" s="5">
        <f>_xlfn.MINIFS(Objects!$M$2:$M$947,Objects!$B$2:$B$947,$A122,Objects!$F$2:$F$947,$B122,Objects!$I$2:$I$947,$C122)</f>
        <v/>
      </c>
      <c r="H122" s="5">
        <f>_xlfn.MAXIFS(Objects!$M$2:$M$947,Objects!$B$2:$B$947,$A122,Objects!$F$2:$F$947,$B122,Objects!$I$2:$I$947,$C122)</f>
        <v/>
      </c>
      <c r="I122" s="5">
        <f>IF(OR(C122="(none)",B122="raft",B122="sump_pit"),"n/a",IF(OR(B122="column",B122="shear_wall",B122="isolated_footing",B122="combined_footing"),IF(AND(F122-E122&lt;=3,H122-G122&lt;=3),"yes","no"),IF(H122-G122&lt;=3,"yes (thickness)","no (thickness)")))</f>
        <v/>
      </c>
      <c r="J122" s="6">
        <f>SUMIFS(Objects!$L$2:$L$947,Objects!$B$2:$B$947,$A122,Objects!$F$2:$F$947,$B122,Objects!$I$2:$I$947,$C122)/100</f>
        <v/>
      </c>
      <c r="K122" s="5">
        <f>COUNTIFS(Objects!$B$2:$B$947,$A122,Objects!$F$2:$F$947,$B122,Objects!$I$2:$I$947,$C122,Objects!$J$2:$J$947,"inferred*")</f>
        <v/>
      </c>
    </row>
    <row r="123">
      <c r="A123" s="5" t="inlineStr">
        <is>
          <t>125</t>
        </is>
      </c>
      <c r="B123" s="5" t="inlineStr">
        <is>
          <t>retaining_wall</t>
        </is>
      </c>
      <c r="C123" s="5" t="inlineStr">
        <is>
          <t>VP25</t>
        </is>
      </c>
      <c r="D123" s="5">
        <f>COUNTIFS(Objects!$B$2:$B$947,$A123,Objects!$F$2:$F$947,$B123,Objects!$I$2:$I$947,$C123)</f>
        <v/>
      </c>
      <c r="E123" s="5">
        <f>_xlfn.MINIFS(Objects!$L$2:$L$947,Objects!$B$2:$B$947,$A123,Objects!$F$2:$F$947,$B123,Objects!$I$2:$I$947,$C123)</f>
        <v/>
      </c>
      <c r="F123" s="5">
        <f>_xlfn.MAXIFS(Objects!$L$2:$L$947,Objects!$B$2:$B$947,$A123,Objects!$F$2:$F$947,$B123,Objects!$I$2:$I$947,$C123)</f>
        <v/>
      </c>
      <c r="G123" s="5">
        <f>_xlfn.MINIFS(Objects!$M$2:$M$947,Objects!$B$2:$B$947,$A123,Objects!$F$2:$F$947,$B123,Objects!$I$2:$I$947,$C123)</f>
        <v/>
      </c>
      <c r="H123" s="5">
        <f>_xlfn.MAXIFS(Objects!$M$2:$M$947,Objects!$B$2:$B$947,$A123,Objects!$F$2:$F$947,$B123,Objects!$I$2:$I$947,$C123)</f>
        <v/>
      </c>
      <c r="I123" s="5">
        <f>IF(OR(C123="(none)",B123="raft",B123="sump_pit"),"n/a",IF(OR(B123="column",B123="shear_wall",B123="isolated_footing",B123="combined_footing"),IF(AND(F123-E123&lt;=3,H123-G123&lt;=3),"yes","no"),IF(H123-G123&lt;=3,"yes (thickness)","no (thickness)")))</f>
        <v/>
      </c>
      <c r="J123" s="6">
        <f>SUMIFS(Objects!$L$2:$L$947,Objects!$B$2:$B$947,$A123,Objects!$F$2:$F$947,$B123,Objects!$I$2:$I$947,$C123)/100</f>
        <v/>
      </c>
      <c r="K123" s="5">
        <f>COUNTIFS(Objects!$B$2:$B$947,$A123,Objects!$F$2:$F$947,$B123,Objects!$I$2:$I$947,$C123,Objects!$J$2:$J$947,"inferred*")</f>
        <v/>
      </c>
    </row>
    <row r="124">
      <c r="A124" s="5" t="inlineStr">
        <is>
          <t>125</t>
        </is>
      </c>
      <c r="B124" s="5" t="inlineStr">
        <is>
          <t>isolated_footing</t>
        </is>
      </c>
      <c r="C124" s="5" t="inlineStr">
        <is>
          <t>S10</t>
        </is>
      </c>
      <c r="D124" s="5">
        <f>COUNTIFS(Objects!$B$2:$B$947,$A124,Objects!$F$2:$F$947,$B124,Objects!$I$2:$I$947,$C124)</f>
        <v/>
      </c>
      <c r="E124" s="5">
        <f>_xlfn.MINIFS(Objects!$L$2:$L$947,Objects!$B$2:$B$947,$A124,Objects!$F$2:$F$947,$B124,Objects!$I$2:$I$947,$C124)</f>
        <v/>
      </c>
      <c r="F124" s="5">
        <f>_xlfn.MAXIFS(Objects!$L$2:$L$947,Objects!$B$2:$B$947,$A124,Objects!$F$2:$F$947,$B124,Objects!$I$2:$I$947,$C124)</f>
        <v/>
      </c>
      <c r="G124" s="5">
        <f>_xlfn.MINIFS(Objects!$M$2:$M$947,Objects!$B$2:$B$947,$A124,Objects!$F$2:$F$947,$B124,Objects!$I$2:$I$947,$C124)</f>
        <v/>
      </c>
      <c r="H124" s="5">
        <f>_xlfn.MAXIFS(Objects!$M$2:$M$947,Objects!$B$2:$B$947,$A124,Objects!$F$2:$F$947,$B124,Objects!$I$2:$I$947,$C124)</f>
        <v/>
      </c>
      <c r="I124" s="5">
        <f>IF(OR(C124="(none)",B124="raft",B124="sump_pit"),"n/a",IF(OR(B124="column",B124="shear_wall",B124="isolated_footing",B124="combined_footing"),IF(AND(F124-E124&lt;=3,H124-G124&lt;=3),"yes","no"),IF(H124-G124&lt;=3,"yes (thickness)","no (thickness)")))</f>
        <v/>
      </c>
      <c r="J124" s="6">
        <f>SUMIFS(Objects!$L$2:$L$947,Objects!$B$2:$B$947,$A124,Objects!$F$2:$F$947,$B124,Objects!$I$2:$I$947,$C124)/100</f>
        <v/>
      </c>
      <c r="K124" s="5">
        <f>COUNTIFS(Objects!$B$2:$B$947,$A124,Objects!$F$2:$F$947,$B124,Objects!$I$2:$I$947,$C124,Objects!$J$2:$J$947,"inferred*")</f>
        <v/>
      </c>
    </row>
    <row r="125">
      <c r="A125" s="5" t="inlineStr">
        <is>
          <t>125</t>
        </is>
      </c>
      <c r="B125" s="5" t="inlineStr">
        <is>
          <t>isolated_footing</t>
        </is>
      </c>
      <c r="C125" s="5" t="inlineStr">
        <is>
          <t>S11</t>
        </is>
      </c>
      <c r="D125" s="5">
        <f>COUNTIFS(Objects!$B$2:$B$947,$A125,Objects!$F$2:$F$947,$B125,Objects!$I$2:$I$947,$C125)</f>
        <v/>
      </c>
      <c r="E125" s="5">
        <f>_xlfn.MINIFS(Objects!$L$2:$L$947,Objects!$B$2:$B$947,$A125,Objects!$F$2:$F$947,$B125,Objects!$I$2:$I$947,$C125)</f>
        <v/>
      </c>
      <c r="F125" s="5">
        <f>_xlfn.MAXIFS(Objects!$L$2:$L$947,Objects!$B$2:$B$947,$A125,Objects!$F$2:$F$947,$B125,Objects!$I$2:$I$947,$C125)</f>
        <v/>
      </c>
      <c r="G125" s="5">
        <f>_xlfn.MINIFS(Objects!$M$2:$M$947,Objects!$B$2:$B$947,$A125,Objects!$F$2:$F$947,$B125,Objects!$I$2:$I$947,$C125)</f>
        <v/>
      </c>
      <c r="H125" s="5">
        <f>_xlfn.MAXIFS(Objects!$M$2:$M$947,Objects!$B$2:$B$947,$A125,Objects!$F$2:$F$947,$B125,Objects!$I$2:$I$947,$C125)</f>
        <v/>
      </c>
      <c r="I125" s="5">
        <f>IF(OR(C125="(none)",B125="raft",B125="sump_pit"),"n/a",IF(OR(B125="column",B125="shear_wall",B125="isolated_footing",B125="combined_footing"),IF(AND(F125-E125&lt;=3,H125-G125&lt;=3),"yes","no"),IF(H125-G125&lt;=3,"yes (thickness)","no (thickness)")))</f>
        <v/>
      </c>
      <c r="J125" s="6">
        <f>SUMIFS(Objects!$L$2:$L$947,Objects!$B$2:$B$947,$A125,Objects!$F$2:$F$947,$B125,Objects!$I$2:$I$947,$C125)/100</f>
        <v/>
      </c>
      <c r="K125" s="5">
        <f>COUNTIFS(Objects!$B$2:$B$947,$A125,Objects!$F$2:$F$947,$B125,Objects!$I$2:$I$947,$C125,Objects!$J$2:$J$947,"inferred*")</f>
        <v/>
      </c>
    </row>
    <row r="126">
      <c r="A126" s="5" t="inlineStr">
        <is>
          <t>125</t>
        </is>
      </c>
      <c r="B126" s="5" t="inlineStr">
        <is>
          <t>isolated_footing</t>
        </is>
      </c>
      <c r="C126" s="5" t="inlineStr">
        <is>
          <t>S2</t>
        </is>
      </c>
      <c r="D126" s="5">
        <f>COUNTIFS(Objects!$B$2:$B$947,$A126,Objects!$F$2:$F$947,$B126,Objects!$I$2:$I$947,$C126)</f>
        <v/>
      </c>
      <c r="E126" s="5">
        <f>_xlfn.MINIFS(Objects!$L$2:$L$947,Objects!$B$2:$B$947,$A126,Objects!$F$2:$F$947,$B126,Objects!$I$2:$I$947,$C126)</f>
        <v/>
      </c>
      <c r="F126" s="5">
        <f>_xlfn.MAXIFS(Objects!$L$2:$L$947,Objects!$B$2:$B$947,$A126,Objects!$F$2:$F$947,$B126,Objects!$I$2:$I$947,$C126)</f>
        <v/>
      </c>
      <c r="G126" s="5">
        <f>_xlfn.MINIFS(Objects!$M$2:$M$947,Objects!$B$2:$B$947,$A126,Objects!$F$2:$F$947,$B126,Objects!$I$2:$I$947,$C126)</f>
        <v/>
      </c>
      <c r="H126" s="5">
        <f>_xlfn.MAXIFS(Objects!$M$2:$M$947,Objects!$B$2:$B$947,$A126,Objects!$F$2:$F$947,$B126,Objects!$I$2:$I$947,$C126)</f>
        <v/>
      </c>
      <c r="I126" s="5">
        <f>IF(OR(C126="(none)",B126="raft",B126="sump_pit"),"n/a",IF(OR(B126="column",B126="shear_wall",B126="isolated_footing",B126="combined_footing"),IF(AND(F126-E126&lt;=3,H126-G126&lt;=3),"yes","no"),IF(H126-G126&lt;=3,"yes (thickness)","no (thickness)")))</f>
        <v/>
      </c>
      <c r="J126" s="6">
        <f>SUMIFS(Objects!$L$2:$L$947,Objects!$B$2:$B$947,$A126,Objects!$F$2:$F$947,$B126,Objects!$I$2:$I$947,$C126)/100</f>
        <v/>
      </c>
      <c r="K126" s="5">
        <f>COUNTIFS(Objects!$B$2:$B$947,$A126,Objects!$F$2:$F$947,$B126,Objects!$I$2:$I$947,$C126,Objects!$J$2:$J$947,"inferred*")</f>
        <v/>
      </c>
    </row>
    <row r="127">
      <c r="A127" s="5" t="inlineStr">
        <is>
          <t>125</t>
        </is>
      </c>
      <c r="B127" s="5" t="inlineStr">
        <is>
          <t>isolated_footing</t>
        </is>
      </c>
      <c r="C127" s="5" t="inlineStr">
        <is>
          <t>S7</t>
        </is>
      </c>
      <c r="D127" s="5">
        <f>COUNTIFS(Objects!$B$2:$B$947,$A127,Objects!$F$2:$F$947,$B127,Objects!$I$2:$I$947,$C127)</f>
        <v/>
      </c>
      <c r="E127" s="5">
        <f>_xlfn.MINIFS(Objects!$L$2:$L$947,Objects!$B$2:$B$947,$A127,Objects!$F$2:$F$947,$B127,Objects!$I$2:$I$947,$C127)</f>
        <v/>
      </c>
      <c r="F127" s="5">
        <f>_xlfn.MAXIFS(Objects!$L$2:$L$947,Objects!$B$2:$B$947,$A127,Objects!$F$2:$F$947,$B127,Objects!$I$2:$I$947,$C127)</f>
        <v/>
      </c>
      <c r="G127" s="5">
        <f>_xlfn.MINIFS(Objects!$M$2:$M$947,Objects!$B$2:$B$947,$A127,Objects!$F$2:$F$947,$B127,Objects!$I$2:$I$947,$C127)</f>
        <v/>
      </c>
      <c r="H127" s="5">
        <f>_xlfn.MAXIFS(Objects!$M$2:$M$947,Objects!$B$2:$B$947,$A127,Objects!$F$2:$F$947,$B127,Objects!$I$2:$I$947,$C127)</f>
        <v/>
      </c>
      <c r="I127" s="5">
        <f>IF(OR(C127="(none)",B127="raft",B127="sump_pit"),"n/a",IF(OR(B127="column",B127="shear_wall",B127="isolated_footing",B127="combined_footing"),IF(AND(F127-E127&lt;=3,H127-G127&lt;=3),"yes","no"),IF(H127-G127&lt;=3,"yes (thickness)","no (thickness)")))</f>
        <v/>
      </c>
      <c r="J127" s="6">
        <f>SUMIFS(Objects!$L$2:$L$947,Objects!$B$2:$B$947,$A127,Objects!$F$2:$F$947,$B127,Objects!$I$2:$I$947,$C127)/100</f>
        <v/>
      </c>
      <c r="K127" s="5">
        <f>COUNTIFS(Objects!$B$2:$B$947,$A127,Objects!$F$2:$F$947,$B127,Objects!$I$2:$I$947,$C127,Objects!$J$2:$J$947,"inferred*")</f>
        <v/>
      </c>
    </row>
    <row r="128">
      <c r="A128" s="5" t="inlineStr">
        <is>
          <t>125</t>
        </is>
      </c>
      <c r="B128" s="5" t="inlineStr">
        <is>
          <t>combined_footing</t>
        </is>
      </c>
      <c r="C128" s="5" t="inlineStr">
        <is>
          <t>SC1</t>
        </is>
      </c>
      <c r="D128" s="5">
        <f>COUNTIFS(Objects!$B$2:$B$947,$A128,Objects!$F$2:$F$947,$B128,Objects!$I$2:$I$947,$C128)</f>
        <v/>
      </c>
      <c r="E128" s="5">
        <f>_xlfn.MINIFS(Objects!$L$2:$L$947,Objects!$B$2:$B$947,$A128,Objects!$F$2:$F$947,$B128,Objects!$I$2:$I$947,$C128)</f>
        <v/>
      </c>
      <c r="F128" s="5">
        <f>_xlfn.MAXIFS(Objects!$L$2:$L$947,Objects!$B$2:$B$947,$A128,Objects!$F$2:$F$947,$B128,Objects!$I$2:$I$947,$C128)</f>
        <v/>
      </c>
      <c r="G128" s="5">
        <f>_xlfn.MINIFS(Objects!$M$2:$M$947,Objects!$B$2:$B$947,$A128,Objects!$F$2:$F$947,$B128,Objects!$I$2:$I$947,$C128)</f>
        <v/>
      </c>
      <c r="H128" s="5">
        <f>_xlfn.MAXIFS(Objects!$M$2:$M$947,Objects!$B$2:$B$947,$A128,Objects!$F$2:$F$947,$B128,Objects!$I$2:$I$947,$C128)</f>
        <v/>
      </c>
      <c r="I128" s="5">
        <f>IF(OR(C128="(none)",B128="raft",B128="sump_pit"),"n/a",IF(OR(B128="column",B128="shear_wall",B128="isolated_footing",B128="combined_footing"),IF(AND(F128-E128&lt;=3,H128-G128&lt;=3),"yes","no"),IF(H128-G128&lt;=3,"yes (thickness)","no (thickness)")))</f>
        <v/>
      </c>
      <c r="J128" s="6">
        <f>SUMIFS(Objects!$L$2:$L$947,Objects!$B$2:$B$947,$A128,Objects!$F$2:$F$947,$B128,Objects!$I$2:$I$947,$C128)/100</f>
        <v/>
      </c>
      <c r="K128" s="5">
        <f>COUNTIFS(Objects!$B$2:$B$947,$A128,Objects!$F$2:$F$947,$B128,Objects!$I$2:$I$947,$C128,Objects!$J$2:$J$947,"inferred*")</f>
        <v/>
      </c>
    </row>
    <row r="129">
      <c r="A129" s="5" t="inlineStr">
        <is>
          <t>125</t>
        </is>
      </c>
      <c r="B129" s="5" t="inlineStr">
        <is>
          <t>combined_footing</t>
        </is>
      </c>
      <c r="C129" s="5" t="inlineStr">
        <is>
          <t>SC5</t>
        </is>
      </c>
      <c r="D129" s="5">
        <f>COUNTIFS(Objects!$B$2:$B$947,$A129,Objects!$F$2:$F$947,$B129,Objects!$I$2:$I$947,$C129)</f>
        <v/>
      </c>
      <c r="E129" s="5">
        <f>_xlfn.MINIFS(Objects!$L$2:$L$947,Objects!$B$2:$B$947,$A129,Objects!$F$2:$F$947,$B129,Objects!$I$2:$I$947,$C129)</f>
        <v/>
      </c>
      <c r="F129" s="5">
        <f>_xlfn.MAXIFS(Objects!$L$2:$L$947,Objects!$B$2:$B$947,$A129,Objects!$F$2:$F$947,$B129,Objects!$I$2:$I$947,$C129)</f>
        <v/>
      </c>
      <c r="G129" s="5">
        <f>_xlfn.MINIFS(Objects!$M$2:$M$947,Objects!$B$2:$B$947,$A129,Objects!$F$2:$F$947,$B129,Objects!$I$2:$I$947,$C129)</f>
        <v/>
      </c>
      <c r="H129" s="5">
        <f>_xlfn.MAXIFS(Objects!$M$2:$M$947,Objects!$B$2:$B$947,$A129,Objects!$F$2:$F$947,$B129,Objects!$I$2:$I$947,$C129)</f>
        <v/>
      </c>
      <c r="I129" s="5">
        <f>IF(OR(C129="(none)",B129="raft",B129="sump_pit"),"n/a",IF(OR(B129="column",B129="shear_wall",B129="isolated_footing",B129="combined_footing"),IF(AND(F129-E129&lt;=3,H129-G129&lt;=3),"yes","no"),IF(H129-G129&lt;=3,"yes (thickness)","no (thickness)")))</f>
        <v/>
      </c>
      <c r="J129" s="6">
        <f>SUMIFS(Objects!$L$2:$L$947,Objects!$B$2:$B$947,$A129,Objects!$F$2:$F$947,$B129,Objects!$I$2:$I$947,$C129)/100</f>
        <v/>
      </c>
      <c r="K129" s="5">
        <f>COUNTIFS(Objects!$B$2:$B$947,$A129,Objects!$F$2:$F$947,$B129,Objects!$I$2:$I$947,$C129,Objects!$J$2:$J$947,"inferred*")</f>
        <v/>
      </c>
    </row>
    <row r="130">
      <c r="A130" s="5" t="inlineStr">
        <is>
          <t>125</t>
        </is>
      </c>
      <c r="B130" s="5" t="inlineStr">
        <is>
          <t>strip_footing</t>
        </is>
      </c>
      <c r="C130" s="5" t="inlineStr">
        <is>
          <t>(none)</t>
        </is>
      </c>
      <c r="D130" s="5">
        <f>COUNTIFS(Objects!$B$2:$B$947,$A130,Objects!$F$2:$F$947,$B130,Objects!$I$2:$I$947,$C130)</f>
        <v/>
      </c>
      <c r="E130" s="5">
        <f>_xlfn.MINIFS(Objects!$L$2:$L$947,Objects!$B$2:$B$947,$A130,Objects!$F$2:$F$947,$B130,Objects!$I$2:$I$947,$C130)</f>
        <v/>
      </c>
      <c r="F130" s="5">
        <f>_xlfn.MAXIFS(Objects!$L$2:$L$947,Objects!$B$2:$B$947,$A130,Objects!$F$2:$F$947,$B130,Objects!$I$2:$I$947,$C130)</f>
        <v/>
      </c>
      <c r="G130" s="5">
        <f>_xlfn.MINIFS(Objects!$M$2:$M$947,Objects!$B$2:$B$947,$A130,Objects!$F$2:$F$947,$B130,Objects!$I$2:$I$947,$C130)</f>
        <v/>
      </c>
      <c r="H130" s="5">
        <f>_xlfn.MAXIFS(Objects!$M$2:$M$947,Objects!$B$2:$B$947,$A130,Objects!$F$2:$F$947,$B130,Objects!$I$2:$I$947,$C130)</f>
        <v/>
      </c>
      <c r="I130" s="5">
        <f>IF(OR(C130="(none)",B130="raft",B130="sump_pit"),"n/a",IF(OR(B130="column",B130="shear_wall",B130="isolated_footing",B130="combined_footing"),IF(AND(F130-E130&lt;=3,H130-G130&lt;=3),"yes","no"),IF(H130-G130&lt;=3,"yes (thickness)","no (thickness)")))</f>
        <v/>
      </c>
      <c r="J130" s="6">
        <f>SUMIFS(Objects!$L$2:$L$947,Objects!$B$2:$B$947,$A130,Objects!$F$2:$F$947,$B130,Objects!$I$2:$I$947,$C130)/100</f>
        <v/>
      </c>
      <c r="K130" s="5">
        <f>COUNTIFS(Objects!$B$2:$B$947,$A130,Objects!$F$2:$F$947,$B130,Objects!$I$2:$I$947,$C130,Objects!$J$2:$J$947,"inferred*")</f>
        <v/>
      </c>
    </row>
    <row r="131">
      <c r="A131" s="5" t="inlineStr">
        <is>
          <t>125</t>
        </is>
      </c>
      <c r="B131" s="5" t="inlineStr">
        <is>
          <t>strip_footing</t>
        </is>
      </c>
      <c r="C131" s="5" t="inlineStr">
        <is>
          <t>SF1</t>
        </is>
      </c>
      <c r="D131" s="5">
        <f>COUNTIFS(Objects!$B$2:$B$947,$A131,Objects!$F$2:$F$947,$B131,Objects!$I$2:$I$947,$C131)</f>
        <v/>
      </c>
      <c r="E131" s="5">
        <f>_xlfn.MINIFS(Objects!$L$2:$L$947,Objects!$B$2:$B$947,$A131,Objects!$F$2:$F$947,$B131,Objects!$I$2:$I$947,$C131)</f>
        <v/>
      </c>
      <c r="F131" s="5">
        <f>_xlfn.MAXIFS(Objects!$L$2:$L$947,Objects!$B$2:$B$947,$A131,Objects!$F$2:$F$947,$B131,Objects!$I$2:$I$947,$C131)</f>
        <v/>
      </c>
      <c r="G131" s="5">
        <f>_xlfn.MINIFS(Objects!$M$2:$M$947,Objects!$B$2:$B$947,$A131,Objects!$F$2:$F$947,$B131,Objects!$I$2:$I$947,$C131)</f>
        <v/>
      </c>
      <c r="H131" s="5">
        <f>_xlfn.MAXIFS(Objects!$M$2:$M$947,Objects!$B$2:$B$947,$A131,Objects!$F$2:$F$947,$B131,Objects!$I$2:$I$947,$C131)</f>
        <v/>
      </c>
      <c r="I131" s="5">
        <f>IF(OR(C131="(none)",B131="raft",B131="sump_pit"),"n/a",IF(OR(B131="column",B131="shear_wall",B131="isolated_footing",B131="combined_footing"),IF(AND(F131-E131&lt;=3,H131-G131&lt;=3),"yes","no"),IF(H131-G131&lt;=3,"yes (thickness)","no (thickness)")))</f>
        <v/>
      </c>
      <c r="J131" s="6">
        <f>SUMIFS(Objects!$L$2:$L$947,Objects!$B$2:$B$947,$A131,Objects!$F$2:$F$947,$B131,Objects!$I$2:$I$947,$C131)/100</f>
        <v/>
      </c>
      <c r="K131" s="5">
        <f>COUNTIFS(Objects!$B$2:$B$947,$A131,Objects!$F$2:$F$947,$B131,Objects!$I$2:$I$947,$C131,Objects!$J$2:$J$947,"inferred*")</f>
        <v/>
      </c>
    </row>
    <row r="132">
      <c r="A132" s="5" t="inlineStr">
        <is>
          <t>125</t>
        </is>
      </c>
      <c r="B132" s="5" t="inlineStr">
        <is>
          <t>grade_beam</t>
        </is>
      </c>
      <c r="C132" s="5" t="inlineStr">
        <is>
          <t>LG40x15</t>
        </is>
      </c>
      <c r="D132" s="5">
        <f>COUNTIFS(Objects!$B$2:$B$947,$A132,Objects!$F$2:$F$947,$B132,Objects!$I$2:$I$947,$C132)</f>
        <v/>
      </c>
      <c r="E132" s="5">
        <f>_xlfn.MINIFS(Objects!$L$2:$L$947,Objects!$B$2:$B$947,$A132,Objects!$F$2:$F$947,$B132,Objects!$I$2:$I$947,$C132)</f>
        <v/>
      </c>
      <c r="F132" s="5">
        <f>_xlfn.MAXIFS(Objects!$L$2:$L$947,Objects!$B$2:$B$947,$A132,Objects!$F$2:$F$947,$B132,Objects!$I$2:$I$947,$C132)</f>
        <v/>
      </c>
      <c r="G132" s="5">
        <f>_xlfn.MINIFS(Objects!$M$2:$M$947,Objects!$B$2:$B$947,$A132,Objects!$F$2:$F$947,$B132,Objects!$I$2:$I$947,$C132)</f>
        <v/>
      </c>
      <c r="H132" s="5">
        <f>_xlfn.MAXIFS(Objects!$M$2:$M$947,Objects!$B$2:$B$947,$A132,Objects!$F$2:$F$947,$B132,Objects!$I$2:$I$947,$C132)</f>
        <v/>
      </c>
      <c r="I132" s="5">
        <f>IF(OR(C132="(none)",B132="raft",B132="sump_pit"),"n/a",IF(OR(B132="column",B132="shear_wall",B132="isolated_footing",B132="combined_footing"),IF(AND(F132-E132&lt;=3,H132-G132&lt;=3),"yes","no"),IF(H132-G132&lt;=3,"yes (thickness)","no (thickness)")))</f>
        <v/>
      </c>
      <c r="J132" s="6">
        <f>SUMIFS(Objects!$L$2:$L$947,Objects!$B$2:$B$947,$A132,Objects!$F$2:$F$947,$B132,Objects!$I$2:$I$947,$C132)/100</f>
        <v/>
      </c>
      <c r="K132" s="5">
        <f>COUNTIFS(Objects!$B$2:$B$947,$A132,Objects!$F$2:$F$947,$B132,Objects!$I$2:$I$947,$C132,Objects!$J$2:$J$947,"inferred*")</f>
        <v/>
      </c>
    </row>
    <row r="133">
      <c r="A133" s="5" t="inlineStr">
        <is>
          <t>125</t>
        </is>
      </c>
      <c r="B133" s="5" t="inlineStr">
        <is>
          <t>raft</t>
        </is>
      </c>
      <c r="C133" s="5" t="inlineStr">
        <is>
          <t>Radier 90</t>
        </is>
      </c>
      <c r="D133" s="5">
        <f>COUNTIFS(Objects!$B$2:$B$947,$A133,Objects!$F$2:$F$947,$B133,Objects!$I$2:$I$947,$C133)</f>
        <v/>
      </c>
      <c r="E133" s="5">
        <f>_xlfn.MINIFS(Objects!$L$2:$L$947,Objects!$B$2:$B$947,$A133,Objects!$F$2:$F$947,$B133,Objects!$I$2:$I$947,$C133)</f>
        <v/>
      </c>
      <c r="F133" s="5">
        <f>_xlfn.MAXIFS(Objects!$L$2:$L$947,Objects!$B$2:$B$947,$A133,Objects!$F$2:$F$947,$B133,Objects!$I$2:$I$947,$C133)</f>
        <v/>
      </c>
      <c r="G133" s="5">
        <f>_xlfn.MINIFS(Objects!$M$2:$M$947,Objects!$B$2:$B$947,$A133,Objects!$F$2:$F$947,$B133,Objects!$I$2:$I$947,$C133)</f>
        <v/>
      </c>
      <c r="H133" s="5">
        <f>_xlfn.MAXIFS(Objects!$M$2:$M$947,Objects!$B$2:$B$947,$A133,Objects!$F$2:$F$947,$B133,Objects!$I$2:$I$947,$C133)</f>
        <v/>
      </c>
      <c r="I133" s="5">
        <f>IF(OR(C133="(none)",B133="raft",B133="sump_pit"),"n/a",IF(OR(B133="column",B133="shear_wall",B133="isolated_footing",B133="combined_footing"),IF(AND(F133-E133&lt;=3,H133-G133&lt;=3),"yes","no"),IF(H133-G133&lt;=3,"yes (thickness)","no (thickness)")))</f>
        <v/>
      </c>
      <c r="J133" s="6">
        <f>SUMIFS(Objects!$L$2:$L$947,Objects!$B$2:$B$947,$A133,Objects!$F$2:$F$947,$B133,Objects!$I$2:$I$947,$C133)/100</f>
        <v/>
      </c>
      <c r="K133" s="5">
        <f>COUNTIFS(Objects!$B$2:$B$947,$A133,Objects!$F$2:$F$947,$B133,Objects!$I$2:$I$947,$C133,Objects!$J$2:$J$947,"inferred*")</f>
        <v/>
      </c>
    </row>
    <row r="134">
      <c r="A134" s="5" t="inlineStr">
        <is>
          <t>126</t>
        </is>
      </c>
      <c r="B134" s="5" t="inlineStr">
        <is>
          <t>column</t>
        </is>
      </c>
      <c r="C134" s="5" t="inlineStr">
        <is>
          <t>P1/126</t>
        </is>
      </c>
      <c r="D134" s="5">
        <f>COUNTIFS(Objects!$B$2:$B$947,$A134,Objects!$F$2:$F$947,$B134,Objects!$I$2:$I$947,$C134)</f>
        <v/>
      </c>
      <c r="E134" s="5">
        <f>_xlfn.MINIFS(Objects!$L$2:$L$947,Objects!$B$2:$B$947,$A134,Objects!$F$2:$F$947,$B134,Objects!$I$2:$I$947,$C134)</f>
        <v/>
      </c>
      <c r="F134" s="5">
        <f>_xlfn.MAXIFS(Objects!$L$2:$L$947,Objects!$B$2:$B$947,$A134,Objects!$F$2:$F$947,$B134,Objects!$I$2:$I$947,$C134)</f>
        <v/>
      </c>
      <c r="G134" s="5">
        <f>_xlfn.MINIFS(Objects!$M$2:$M$947,Objects!$B$2:$B$947,$A134,Objects!$F$2:$F$947,$B134,Objects!$I$2:$I$947,$C134)</f>
        <v/>
      </c>
      <c r="H134" s="5">
        <f>_xlfn.MAXIFS(Objects!$M$2:$M$947,Objects!$B$2:$B$947,$A134,Objects!$F$2:$F$947,$B134,Objects!$I$2:$I$947,$C134)</f>
        <v/>
      </c>
      <c r="I134" s="5">
        <f>IF(OR(C134="(none)",B134="raft",B134="sump_pit"),"n/a",IF(OR(B134="column",B134="shear_wall",B134="isolated_footing",B134="combined_footing"),IF(AND(F134-E134&lt;=3,H134-G134&lt;=3),"yes","no"),IF(H134-G134&lt;=3,"yes (thickness)","no (thickness)")))</f>
        <v/>
      </c>
      <c r="J134" s="6">
        <f>SUMIFS(Objects!$L$2:$L$947,Objects!$B$2:$B$947,$A134,Objects!$F$2:$F$947,$B134,Objects!$I$2:$I$947,$C134)/100</f>
        <v/>
      </c>
      <c r="K134" s="5">
        <f>COUNTIFS(Objects!$B$2:$B$947,$A134,Objects!$F$2:$F$947,$B134,Objects!$I$2:$I$947,$C134,Objects!$J$2:$J$947,"inferred*")</f>
        <v/>
      </c>
    </row>
    <row r="135">
      <c r="A135" s="5" t="inlineStr">
        <is>
          <t>126</t>
        </is>
      </c>
      <c r="B135" s="5" t="inlineStr">
        <is>
          <t>shear_wall</t>
        </is>
      </c>
      <c r="C135" s="5" t="inlineStr">
        <is>
          <t>V1/126</t>
        </is>
      </c>
      <c r="D135" s="5">
        <f>COUNTIFS(Objects!$B$2:$B$947,$A135,Objects!$F$2:$F$947,$B135,Objects!$I$2:$I$947,$C135)</f>
        <v/>
      </c>
      <c r="E135" s="5">
        <f>_xlfn.MINIFS(Objects!$L$2:$L$947,Objects!$B$2:$B$947,$A135,Objects!$F$2:$F$947,$B135,Objects!$I$2:$I$947,$C135)</f>
        <v/>
      </c>
      <c r="F135" s="5">
        <f>_xlfn.MAXIFS(Objects!$L$2:$L$947,Objects!$B$2:$B$947,$A135,Objects!$F$2:$F$947,$B135,Objects!$I$2:$I$947,$C135)</f>
        <v/>
      </c>
      <c r="G135" s="5">
        <f>_xlfn.MINIFS(Objects!$M$2:$M$947,Objects!$B$2:$B$947,$A135,Objects!$F$2:$F$947,$B135,Objects!$I$2:$I$947,$C135)</f>
        <v/>
      </c>
      <c r="H135" s="5">
        <f>_xlfn.MAXIFS(Objects!$M$2:$M$947,Objects!$B$2:$B$947,$A135,Objects!$F$2:$F$947,$B135,Objects!$I$2:$I$947,$C135)</f>
        <v/>
      </c>
      <c r="I135" s="5">
        <f>IF(OR(C135="(none)",B135="raft",B135="sump_pit"),"n/a",IF(OR(B135="column",B135="shear_wall",B135="isolated_footing",B135="combined_footing"),IF(AND(F135-E135&lt;=3,H135-G135&lt;=3),"yes","no"),IF(H135-G135&lt;=3,"yes (thickness)","no (thickness)")))</f>
        <v/>
      </c>
      <c r="J135" s="6">
        <f>SUMIFS(Objects!$L$2:$L$947,Objects!$B$2:$B$947,$A135,Objects!$F$2:$F$947,$B135,Objects!$I$2:$I$947,$C135)/100</f>
        <v/>
      </c>
      <c r="K135" s="5">
        <f>COUNTIFS(Objects!$B$2:$B$947,$A135,Objects!$F$2:$F$947,$B135,Objects!$I$2:$I$947,$C135,Objects!$J$2:$J$947,"inferred*")</f>
        <v/>
      </c>
    </row>
    <row r="136">
      <c r="A136" s="5" t="inlineStr">
        <is>
          <t>126</t>
        </is>
      </c>
      <c r="B136" s="5" t="inlineStr">
        <is>
          <t>shear_wall</t>
        </is>
      </c>
      <c r="C136" s="5" t="inlineStr">
        <is>
          <t>V3/126</t>
        </is>
      </c>
      <c r="D136" s="5">
        <f>COUNTIFS(Objects!$B$2:$B$947,$A136,Objects!$F$2:$F$947,$B136,Objects!$I$2:$I$947,$C136)</f>
        <v/>
      </c>
      <c r="E136" s="5">
        <f>_xlfn.MINIFS(Objects!$L$2:$L$947,Objects!$B$2:$B$947,$A136,Objects!$F$2:$F$947,$B136,Objects!$I$2:$I$947,$C136)</f>
        <v/>
      </c>
      <c r="F136" s="5">
        <f>_xlfn.MAXIFS(Objects!$L$2:$L$947,Objects!$B$2:$B$947,$A136,Objects!$F$2:$F$947,$B136,Objects!$I$2:$I$947,$C136)</f>
        <v/>
      </c>
      <c r="G136" s="5">
        <f>_xlfn.MINIFS(Objects!$M$2:$M$947,Objects!$B$2:$B$947,$A136,Objects!$F$2:$F$947,$B136,Objects!$I$2:$I$947,$C136)</f>
        <v/>
      </c>
      <c r="H136" s="5">
        <f>_xlfn.MAXIFS(Objects!$M$2:$M$947,Objects!$B$2:$B$947,$A136,Objects!$F$2:$F$947,$B136,Objects!$I$2:$I$947,$C136)</f>
        <v/>
      </c>
      <c r="I136" s="5">
        <f>IF(OR(C136="(none)",B136="raft",B136="sump_pit"),"n/a",IF(OR(B136="column",B136="shear_wall",B136="isolated_footing",B136="combined_footing"),IF(AND(F136-E136&lt;=3,H136-G136&lt;=3),"yes","no"),IF(H136-G136&lt;=3,"yes (thickness)","no (thickness)")))</f>
        <v/>
      </c>
      <c r="J136" s="6">
        <f>SUMIFS(Objects!$L$2:$L$947,Objects!$B$2:$B$947,$A136,Objects!$F$2:$F$947,$B136,Objects!$I$2:$I$947,$C136)/100</f>
        <v/>
      </c>
      <c r="K136" s="5">
        <f>COUNTIFS(Objects!$B$2:$B$947,$A136,Objects!$F$2:$F$947,$B136,Objects!$I$2:$I$947,$C136,Objects!$J$2:$J$947,"inferred*")</f>
        <v/>
      </c>
    </row>
    <row r="137">
      <c r="A137" s="5" t="inlineStr">
        <is>
          <t>126</t>
        </is>
      </c>
      <c r="B137" s="5" t="inlineStr">
        <is>
          <t>shear_wall</t>
        </is>
      </c>
      <c r="C137" s="5" t="inlineStr">
        <is>
          <t>V4/126</t>
        </is>
      </c>
      <c r="D137" s="5">
        <f>COUNTIFS(Objects!$B$2:$B$947,$A137,Objects!$F$2:$F$947,$B137,Objects!$I$2:$I$947,$C137)</f>
        <v/>
      </c>
      <c r="E137" s="5">
        <f>_xlfn.MINIFS(Objects!$L$2:$L$947,Objects!$B$2:$B$947,$A137,Objects!$F$2:$F$947,$B137,Objects!$I$2:$I$947,$C137)</f>
        <v/>
      </c>
      <c r="F137" s="5">
        <f>_xlfn.MAXIFS(Objects!$L$2:$L$947,Objects!$B$2:$B$947,$A137,Objects!$F$2:$F$947,$B137,Objects!$I$2:$I$947,$C137)</f>
        <v/>
      </c>
      <c r="G137" s="5">
        <f>_xlfn.MINIFS(Objects!$M$2:$M$947,Objects!$B$2:$B$947,$A137,Objects!$F$2:$F$947,$B137,Objects!$I$2:$I$947,$C137)</f>
        <v/>
      </c>
      <c r="H137" s="5">
        <f>_xlfn.MAXIFS(Objects!$M$2:$M$947,Objects!$B$2:$B$947,$A137,Objects!$F$2:$F$947,$B137,Objects!$I$2:$I$947,$C137)</f>
        <v/>
      </c>
      <c r="I137" s="5">
        <f>IF(OR(C137="(none)",B137="raft",B137="sump_pit"),"n/a",IF(OR(B137="column",B137="shear_wall",B137="isolated_footing",B137="combined_footing"),IF(AND(F137-E137&lt;=3,H137-G137&lt;=3),"yes","no"),IF(H137-G137&lt;=3,"yes (thickness)","no (thickness)")))</f>
        <v/>
      </c>
      <c r="J137" s="6">
        <f>SUMIFS(Objects!$L$2:$L$947,Objects!$B$2:$B$947,$A137,Objects!$F$2:$F$947,$B137,Objects!$I$2:$I$947,$C137)/100</f>
        <v/>
      </c>
      <c r="K137" s="5">
        <f>COUNTIFS(Objects!$B$2:$B$947,$A137,Objects!$F$2:$F$947,$B137,Objects!$I$2:$I$947,$C137,Objects!$J$2:$J$947,"inferred*")</f>
        <v/>
      </c>
    </row>
    <row r="138">
      <c r="A138" s="5" t="inlineStr">
        <is>
          <t>126</t>
        </is>
      </c>
      <c r="B138" s="5" t="inlineStr">
        <is>
          <t>shear_wall</t>
        </is>
      </c>
      <c r="C138" s="5" t="inlineStr">
        <is>
          <t>V5/126</t>
        </is>
      </c>
      <c r="D138" s="5">
        <f>COUNTIFS(Objects!$B$2:$B$947,$A138,Objects!$F$2:$F$947,$B138,Objects!$I$2:$I$947,$C138)</f>
        <v/>
      </c>
      <c r="E138" s="5">
        <f>_xlfn.MINIFS(Objects!$L$2:$L$947,Objects!$B$2:$B$947,$A138,Objects!$F$2:$F$947,$B138,Objects!$I$2:$I$947,$C138)</f>
        <v/>
      </c>
      <c r="F138" s="5">
        <f>_xlfn.MAXIFS(Objects!$L$2:$L$947,Objects!$B$2:$B$947,$A138,Objects!$F$2:$F$947,$B138,Objects!$I$2:$I$947,$C138)</f>
        <v/>
      </c>
      <c r="G138" s="5">
        <f>_xlfn.MINIFS(Objects!$M$2:$M$947,Objects!$B$2:$B$947,$A138,Objects!$F$2:$F$947,$B138,Objects!$I$2:$I$947,$C138)</f>
        <v/>
      </c>
      <c r="H138" s="5">
        <f>_xlfn.MAXIFS(Objects!$M$2:$M$947,Objects!$B$2:$B$947,$A138,Objects!$F$2:$F$947,$B138,Objects!$I$2:$I$947,$C138)</f>
        <v/>
      </c>
      <c r="I138" s="5">
        <f>IF(OR(C138="(none)",B138="raft",B138="sump_pit"),"n/a",IF(OR(B138="column",B138="shear_wall",B138="isolated_footing",B138="combined_footing"),IF(AND(F138-E138&lt;=3,H138-G138&lt;=3),"yes","no"),IF(H138-G138&lt;=3,"yes (thickness)","no (thickness)")))</f>
        <v/>
      </c>
      <c r="J138" s="6">
        <f>SUMIFS(Objects!$L$2:$L$947,Objects!$B$2:$B$947,$A138,Objects!$F$2:$F$947,$B138,Objects!$I$2:$I$947,$C138)/100</f>
        <v/>
      </c>
      <c r="K138" s="5">
        <f>COUNTIFS(Objects!$B$2:$B$947,$A138,Objects!$F$2:$F$947,$B138,Objects!$I$2:$I$947,$C138,Objects!$J$2:$J$947,"inferred*")</f>
        <v/>
      </c>
    </row>
    <row r="139">
      <c r="A139" s="5" t="inlineStr">
        <is>
          <t>126</t>
        </is>
      </c>
      <c r="B139" s="5" t="inlineStr">
        <is>
          <t>shear_wall</t>
        </is>
      </c>
      <c r="C139" s="5" t="inlineStr">
        <is>
          <t>V8/126</t>
        </is>
      </c>
      <c r="D139" s="5">
        <f>COUNTIFS(Objects!$B$2:$B$947,$A139,Objects!$F$2:$F$947,$B139,Objects!$I$2:$I$947,$C139)</f>
        <v/>
      </c>
      <c r="E139" s="5">
        <f>_xlfn.MINIFS(Objects!$L$2:$L$947,Objects!$B$2:$B$947,$A139,Objects!$F$2:$F$947,$B139,Objects!$I$2:$I$947,$C139)</f>
        <v/>
      </c>
      <c r="F139" s="5">
        <f>_xlfn.MAXIFS(Objects!$L$2:$L$947,Objects!$B$2:$B$947,$A139,Objects!$F$2:$F$947,$B139,Objects!$I$2:$I$947,$C139)</f>
        <v/>
      </c>
      <c r="G139" s="5">
        <f>_xlfn.MINIFS(Objects!$M$2:$M$947,Objects!$B$2:$B$947,$A139,Objects!$F$2:$F$947,$B139,Objects!$I$2:$I$947,$C139)</f>
        <v/>
      </c>
      <c r="H139" s="5">
        <f>_xlfn.MAXIFS(Objects!$M$2:$M$947,Objects!$B$2:$B$947,$A139,Objects!$F$2:$F$947,$B139,Objects!$I$2:$I$947,$C139)</f>
        <v/>
      </c>
      <c r="I139" s="5">
        <f>IF(OR(C139="(none)",B139="raft",B139="sump_pit"),"n/a",IF(OR(B139="column",B139="shear_wall",B139="isolated_footing",B139="combined_footing"),IF(AND(F139-E139&lt;=3,H139-G139&lt;=3),"yes","no"),IF(H139-G139&lt;=3,"yes (thickness)","no (thickness)")))</f>
        <v/>
      </c>
      <c r="J139" s="6">
        <f>SUMIFS(Objects!$L$2:$L$947,Objects!$B$2:$B$947,$A139,Objects!$F$2:$F$947,$B139,Objects!$I$2:$I$947,$C139)/100</f>
        <v/>
      </c>
      <c r="K139" s="5">
        <f>COUNTIFS(Objects!$B$2:$B$947,$A139,Objects!$F$2:$F$947,$B139,Objects!$I$2:$I$947,$C139,Objects!$J$2:$J$947,"inferred*")</f>
        <v/>
      </c>
    </row>
    <row r="140">
      <c r="A140" s="5" t="inlineStr">
        <is>
          <t>126</t>
        </is>
      </c>
      <c r="B140" s="5" t="inlineStr">
        <is>
          <t>retaining_wall</t>
        </is>
      </c>
      <c r="C140" s="5" t="inlineStr">
        <is>
          <t>VP20</t>
        </is>
      </c>
      <c r="D140" s="5">
        <f>COUNTIFS(Objects!$B$2:$B$947,$A140,Objects!$F$2:$F$947,$B140,Objects!$I$2:$I$947,$C140)</f>
        <v/>
      </c>
      <c r="E140" s="5">
        <f>_xlfn.MINIFS(Objects!$L$2:$L$947,Objects!$B$2:$B$947,$A140,Objects!$F$2:$F$947,$B140,Objects!$I$2:$I$947,$C140)</f>
        <v/>
      </c>
      <c r="F140" s="5">
        <f>_xlfn.MAXIFS(Objects!$L$2:$L$947,Objects!$B$2:$B$947,$A140,Objects!$F$2:$F$947,$B140,Objects!$I$2:$I$947,$C140)</f>
        <v/>
      </c>
      <c r="G140" s="5">
        <f>_xlfn.MINIFS(Objects!$M$2:$M$947,Objects!$B$2:$B$947,$A140,Objects!$F$2:$F$947,$B140,Objects!$I$2:$I$947,$C140)</f>
        <v/>
      </c>
      <c r="H140" s="5">
        <f>_xlfn.MAXIFS(Objects!$M$2:$M$947,Objects!$B$2:$B$947,$A140,Objects!$F$2:$F$947,$B140,Objects!$I$2:$I$947,$C140)</f>
        <v/>
      </c>
      <c r="I140" s="5">
        <f>IF(OR(C140="(none)",B140="raft",B140="sump_pit"),"n/a",IF(OR(B140="column",B140="shear_wall",B140="isolated_footing",B140="combined_footing"),IF(AND(F140-E140&lt;=3,H140-G140&lt;=3),"yes","no"),IF(H140-G140&lt;=3,"yes (thickness)","no (thickness)")))</f>
        <v/>
      </c>
      <c r="J140" s="6">
        <f>SUMIFS(Objects!$L$2:$L$947,Objects!$B$2:$B$947,$A140,Objects!$F$2:$F$947,$B140,Objects!$I$2:$I$947,$C140)/100</f>
        <v/>
      </c>
      <c r="K140" s="5">
        <f>COUNTIFS(Objects!$B$2:$B$947,$A140,Objects!$F$2:$F$947,$B140,Objects!$I$2:$I$947,$C140,Objects!$J$2:$J$947,"inferred*")</f>
        <v/>
      </c>
    </row>
    <row r="141">
      <c r="A141" s="5" t="inlineStr">
        <is>
          <t>126</t>
        </is>
      </c>
      <c r="B141" s="5" t="inlineStr">
        <is>
          <t>isolated_footing</t>
        </is>
      </c>
      <c r="C141" s="5" t="inlineStr">
        <is>
          <t>S10</t>
        </is>
      </c>
      <c r="D141" s="5">
        <f>COUNTIFS(Objects!$B$2:$B$947,$A141,Objects!$F$2:$F$947,$B141,Objects!$I$2:$I$947,$C141)</f>
        <v/>
      </c>
      <c r="E141" s="5">
        <f>_xlfn.MINIFS(Objects!$L$2:$L$947,Objects!$B$2:$B$947,$A141,Objects!$F$2:$F$947,$B141,Objects!$I$2:$I$947,$C141)</f>
        <v/>
      </c>
      <c r="F141" s="5">
        <f>_xlfn.MAXIFS(Objects!$L$2:$L$947,Objects!$B$2:$B$947,$A141,Objects!$F$2:$F$947,$B141,Objects!$I$2:$I$947,$C141)</f>
        <v/>
      </c>
      <c r="G141" s="5">
        <f>_xlfn.MINIFS(Objects!$M$2:$M$947,Objects!$B$2:$B$947,$A141,Objects!$F$2:$F$947,$B141,Objects!$I$2:$I$947,$C141)</f>
        <v/>
      </c>
      <c r="H141" s="5">
        <f>_xlfn.MAXIFS(Objects!$M$2:$M$947,Objects!$B$2:$B$947,$A141,Objects!$F$2:$F$947,$B141,Objects!$I$2:$I$947,$C141)</f>
        <v/>
      </c>
      <c r="I141" s="5">
        <f>IF(OR(C141="(none)",B141="raft",B141="sump_pit"),"n/a",IF(OR(B141="column",B141="shear_wall",B141="isolated_footing",B141="combined_footing"),IF(AND(F141-E141&lt;=3,H141-G141&lt;=3),"yes","no"),IF(H141-G141&lt;=3,"yes (thickness)","no (thickness)")))</f>
        <v/>
      </c>
      <c r="J141" s="6">
        <f>SUMIFS(Objects!$L$2:$L$947,Objects!$B$2:$B$947,$A141,Objects!$F$2:$F$947,$B141,Objects!$I$2:$I$947,$C141)/100</f>
        <v/>
      </c>
      <c r="K141" s="5">
        <f>COUNTIFS(Objects!$B$2:$B$947,$A141,Objects!$F$2:$F$947,$B141,Objects!$I$2:$I$947,$C141,Objects!$J$2:$J$947,"inferred*")</f>
        <v/>
      </c>
    </row>
    <row r="142">
      <c r="A142" s="5" t="inlineStr">
        <is>
          <t>126</t>
        </is>
      </c>
      <c r="B142" s="5" t="inlineStr">
        <is>
          <t>isolated_footing</t>
        </is>
      </c>
      <c r="C142" s="5" t="inlineStr">
        <is>
          <t>S11</t>
        </is>
      </c>
      <c r="D142" s="5">
        <f>COUNTIFS(Objects!$B$2:$B$947,$A142,Objects!$F$2:$F$947,$B142,Objects!$I$2:$I$947,$C142)</f>
        <v/>
      </c>
      <c r="E142" s="5">
        <f>_xlfn.MINIFS(Objects!$L$2:$L$947,Objects!$B$2:$B$947,$A142,Objects!$F$2:$F$947,$B142,Objects!$I$2:$I$947,$C142)</f>
        <v/>
      </c>
      <c r="F142" s="5">
        <f>_xlfn.MAXIFS(Objects!$L$2:$L$947,Objects!$B$2:$B$947,$A142,Objects!$F$2:$F$947,$B142,Objects!$I$2:$I$947,$C142)</f>
        <v/>
      </c>
      <c r="G142" s="5">
        <f>_xlfn.MINIFS(Objects!$M$2:$M$947,Objects!$B$2:$B$947,$A142,Objects!$F$2:$F$947,$B142,Objects!$I$2:$I$947,$C142)</f>
        <v/>
      </c>
      <c r="H142" s="5">
        <f>_xlfn.MAXIFS(Objects!$M$2:$M$947,Objects!$B$2:$B$947,$A142,Objects!$F$2:$F$947,$B142,Objects!$I$2:$I$947,$C142)</f>
        <v/>
      </c>
      <c r="I142" s="5">
        <f>IF(OR(C142="(none)",B142="raft",B142="sump_pit"),"n/a",IF(OR(B142="column",B142="shear_wall",B142="isolated_footing",B142="combined_footing"),IF(AND(F142-E142&lt;=3,H142-G142&lt;=3),"yes","no"),IF(H142-G142&lt;=3,"yes (thickness)","no (thickness)")))</f>
        <v/>
      </c>
      <c r="J142" s="6">
        <f>SUMIFS(Objects!$L$2:$L$947,Objects!$B$2:$B$947,$A142,Objects!$F$2:$F$947,$B142,Objects!$I$2:$I$947,$C142)/100</f>
        <v/>
      </c>
      <c r="K142" s="5">
        <f>COUNTIFS(Objects!$B$2:$B$947,$A142,Objects!$F$2:$F$947,$B142,Objects!$I$2:$I$947,$C142,Objects!$J$2:$J$947,"inferred*")</f>
        <v/>
      </c>
    </row>
    <row r="143">
      <c r="A143" s="5" t="inlineStr">
        <is>
          <t>126</t>
        </is>
      </c>
      <c r="B143" s="5" t="inlineStr">
        <is>
          <t>isolated_footing</t>
        </is>
      </c>
      <c r="C143" s="5" t="inlineStr">
        <is>
          <t>S2</t>
        </is>
      </c>
      <c r="D143" s="5">
        <f>COUNTIFS(Objects!$B$2:$B$947,$A143,Objects!$F$2:$F$947,$B143,Objects!$I$2:$I$947,$C143)</f>
        <v/>
      </c>
      <c r="E143" s="5">
        <f>_xlfn.MINIFS(Objects!$L$2:$L$947,Objects!$B$2:$B$947,$A143,Objects!$F$2:$F$947,$B143,Objects!$I$2:$I$947,$C143)</f>
        <v/>
      </c>
      <c r="F143" s="5">
        <f>_xlfn.MAXIFS(Objects!$L$2:$L$947,Objects!$B$2:$B$947,$A143,Objects!$F$2:$F$947,$B143,Objects!$I$2:$I$947,$C143)</f>
        <v/>
      </c>
      <c r="G143" s="5">
        <f>_xlfn.MINIFS(Objects!$M$2:$M$947,Objects!$B$2:$B$947,$A143,Objects!$F$2:$F$947,$B143,Objects!$I$2:$I$947,$C143)</f>
        <v/>
      </c>
      <c r="H143" s="5">
        <f>_xlfn.MAXIFS(Objects!$M$2:$M$947,Objects!$B$2:$B$947,$A143,Objects!$F$2:$F$947,$B143,Objects!$I$2:$I$947,$C143)</f>
        <v/>
      </c>
      <c r="I143" s="5">
        <f>IF(OR(C143="(none)",B143="raft",B143="sump_pit"),"n/a",IF(OR(B143="column",B143="shear_wall",B143="isolated_footing",B143="combined_footing"),IF(AND(F143-E143&lt;=3,H143-G143&lt;=3),"yes","no"),IF(H143-G143&lt;=3,"yes (thickness)","no (thickness)")))</f>
        <v/>
      </c>
      <c r="J143" s="6">
        <f>SUMIFS(Objects!$L$2:$L$947,Objects!$B$2:$B$947,$A143,Objects!$F$2:$F$947,$B143,Objects!$I$2:$I$947,$C143)/100</f>
        <v/>
      </c>
      <c r="K143" s="5">
        <f>COUNTIFS(Objects!$B$2:$B$947,$A143,Objects!$F$2:$F$947,$B143,Objects!$I$2:$I$947,$C143,Objects!$J$2:$J$947,"inferred*")</f>
        <v/>
      </c>
    </row>
    <row r="144">
      <c r="A144" s="5" t="inlineStr">
        <is>
          <t>126</t>
        </is>
      </c>
      <c r="B144" s="5" t="inlineStr">
        <is>
          <t>isolated_footing</t>
        </is>
      </c>
      <c r="C144" s="5" t="inlineStr">
        <is>
          <t>S7</t>
        </is>
      </c>
      <c r="D144" s="5">
        <f>COUNTIFS(Objects!$B$2:$B$947,$A144,Objects!$F$2:$F$947,$B144,Objects!$I$2:$I$947,$C144)</f>
        <v/>
      </c>
      <c r="E144" s="5">
        <f>_xlfn.MINIFS(Objects!$L$2:$L$947,Objects!$B$2:$B$947,$A144,Objects!$F$2:$F$947,$B144,Objects!$I$2:$I$947,$C144)</f>
        <v/>
      </c>
      <c r="F144" s="5">
        <f>_xlfn.MAXIFS(Objects!$L$2:$L$947,Objects!$B$2:$B$947,$A144,Objects!$F$2:$F$947,$B144,Objects!$I$2:$I$947,$C144)</f>
        <v/>
      </c>
      <c r="G144" s="5">
        <f>_xlfn.MINIFS(Objects!$M$2:$M$947,Objects!$B$2:$B$947,$A144,Objects!$F$2:$F$947,$B144,Objects!$I$2:$I$947,$C144)</f>
        <v/>
      </c>
      <c r="H144" s="5">
        <f>_xlfn.MAXIFS(Objects!$M$2:$M$947,Objects!$B$2:$B$947,$A144,Objects!$F$2:$F$947,$B144,Objects!$I$2:$I$947,$C144)</f>
        <v/>
      </c>
      <c r="I144" s="5">
        <f>IF(OR(C144="(none)",B144="raft",B144="sump_pit"),"n/a",IF(OR(B144="column",B144="shear_wall",B144="isolated_footing",B144="combined_footing"),IF(AND(F144-E144&lt;=3,H144-G144&lt;=3),"yes","no"),IF(H144-G144&lt;=3,"yes (thickness)","no (thickness)")))</f>
        <v/>
      </c>
      <c r="J144" s="6">
        <f>SUMIFS(Objects!$L$2:$L$947,Objects!$B$2:$B$947,$A144,Objects!$F$2:$F$947,$B144,Objects!$I$2:$I$947,$C144)/100</f>
        <v/>
      </c>
      <c r="K144" s="5">
        <f>COUNTIFS(Objects!$B$2:$B$947,$A144,Objects!$F$2:$F$947,$B144,Objects!$I$2:$I$947,$C144,Objects!$J$2:$J$947,"inferred*")</f>
        <v/>
      </c>
    </row>
    <row r="145">
      <c r="A145" s="5" t="inlineStr">
        <is>
          <t>126</t>
        </is>
      </c>
      <c r="B145" s="5" t="inlineStr">
        <is>
          <t>combined_footing</t>
        </is>
      </c>
      <c r="C145" s="5" t="inlineStr">
        <is>
          <t>SC1</t>
        </is>
      </c>
      <c r="D145" s="5">
        <f>COUNTIFS(Objects!$B$2:$B$947,$A145,Objects!$F$2:$F$947,$B145,Objects!$I$2:$I$947,$C145)</f>
        <v/>
      </c>
      <c r="E145" s="5">
        <f>_xlfn.MINIFS(Objects!$L$2:$L$947,Objects!$B$2:$B$947,$A145,Objects!$F$2:$F$947,$B145,Objects!$I$2:$I$947,$C145)</f>
        <v/>
      </c>
      <c r="F145" s="5">
        <f>_xlfn.MAXIFS(Objects!$L$2:$L$947,Objects!$B$2:$B$947,$A145,Objects!$F$2:$F$947,$B145,Objects!$I$2:$I$947,$C145)</f>
        <v/>
      </c>
      <c r="G145" s="5">
        <f>_xlfn.MINIFS(Objects!$M$2:$M$947,Objects!$B$2:$B$947,$A145,Objects!$F$2:$F$947,$B145,Objects!$I$2:$I$947,$C145)</f>
        <v/>
      </c>
      <c r="H145" s="5">
        <f>_xlfn.MAXIFS(Objects!$M$2:$M$947,Objects!$B$2:$B$947,$A145,Objects!$F$2:$F$947,$B145,Objects!$I$2:$I$947,$C145)</f>
        <v/>
      </c>
      <c r="I145" s="5">
        <f>IF(OR(C145="(none)",B145="raft",B145="sump_pit"),"n/a",IF(OR(B145="column",B145="shear_wall",B145="isolated_footing",B145="combined_footing"),IF(AND(F145-E145&lt;=3,H145-G145&lt;=3),"yes","no"),IF(H145-G145&lt;=3,"yes (thickness)","no (thickness)")))</f>
        <v/>
      </c>
      <c r="J145" s="6">
        <f>SUMIFS(Objects!$L$2:$L$947,Objects!$B$2:$B$947,$A145,Objects!$F$2:$F$947,$B145,Objects!$I$2:$I$947,$C145)/100</f>
        <v/>
      </c>
      <c r="K145" s="5">
        <f>COUNTIFS(Objects!$B$2:$B$947,$A145,Objects!$F$2:$F$947,$B145,Objects!$I$2:$I$947,$C145,Objects!$J$2:$J$947,"inferred*")</f>
        <v/>
      </c>
    </row>
    <row r="146">
      <c r="A146" s="5" t="inlineStr">
        <is>
          <t>126</t>
        </is>
      </c>
      <c r="B146" s="5" t="inlineStr">
        <is>
          <t>combined_footing</t>
        </is>
      </c>
      <c r="C146" s="5" t="inlineStr">
        <is>
          <t>SC2</t>
        </is>
      </c>
      <c r="D146" s="5">
        <f>COUNTIFS(Objects!$B$2:$B$947,$A146,Objects!$F$2:$F$947,$B146,Objects!$I$2:$I$947,$C146)</f>
        <v/>
      </c>
      <c r="E146" s="5">
        <f>_xlfn.MINIFS(Objects!$L$2:$L$947,Objects!$B$2:$B$947,$A146,Objects!$F$2:$F$947,$B146,Objects!$I$2:$I$947,$C146)</f>
        <v/>
      </c>
      <c r="F146" s="5">
        <f>_xlfn.MAXIFS(Objects!$L$2:$L$947,Objects!$B$2:$B$947,$A146,Objects!$F$2:$F$947,$B146,Objects!$I$2:$I$947,$C146)</f>
        <v/>
      </c>
      <c r="G146" s="5">
        <f>_xlfn.MINIFS(Objects!$M$2:$M$947,Objects!$B$2:$B$947,$A146,Objects!$F$2:$F$947,$B146,Objects!$I$2:$I$947,$C146)</f>
        <v/>
      </c>
      <c r="H146" s="5">
        <f>_xlfn.MAXIFS(Objects!$M$2:$M$947,Objects!$B$2:$B$947,$A146,Objects!$F$2:$F$947,$B146,Objects!$I$2:$I$947,$C146)</f>
        <v/>
      </c>
      <c r="I146" s="5">
        <f>IF(OR(C146="(none)",B146="raft",B146="sump_pit"),"n/a",IF(OR(B146="column",B146="shear_wall",B146="isolated_footing",B146="combined_footing"),IF(AND(F146-E146&lt;=3,H146-G146&lt;=3),"yes","no"),IF(H146-G146&lt;=3,"yes (thickness)","no (thickness)")))</f>
        <v/>
      </c>
      <c r="J146" s="6">
        <f>SUMIFS(Objects!$L$2:$L$947,Objects!$B$2:$B$947,$A146,Objects!$F$2:$F$947,$B146,Objects!$I$2:$I$947,$C146)/100</f>
        <v/>
      </c>
      <c r="K146" s="5">
        <f>COUNTIFS(Objects!$B$2:$B$947,$A146,Objects!$F$2:$F$947,$B146,Objects!$I$2:$I$947,$C146,Objects!$J$2:$J$947,"inferred*")</f>
        <v/>
      </c>
    </row>
    <row r="147">
      <c r="A147" s="5" t="inlineStr">
        <is>
          <t>126</t>
        </is>
      </c>
      <c r="B147" s="5" t="inlineStr">
        <is>
          <t>strip_footing</t>
        </is>
      </c>
      <c r="C147" s="5" t="inlineStr">
        <is>
          <t>SF1</t>
        </is>
      </c>
      <c r="D147" s="5">
        <f>COUNTIFS(Objects!$B$2:$B$947,$A147,Objects!$F$2:$F$947,$B147,Objects!$I$2:$I$947,$C147)</f>
        <v/>
      </c>
      <c r="E147" s="5">
        <f>_xlfn.MINIFS(Objects!$L$2:$L$947,Objects!$B$2:$B$947,$A147,Objects!$F$2:$F$947,$B147,Objects!$I$2:$I$947,$C147)</f>
        <v/>
      </c>
      <c r="F147" s="5">
        <f>_xlfn.MAXIFS(Objects!$L$2:$L$947,Objects!$B$2:$B$947,$A147,Objects!$F$2:$F$947,$B147,Objects!$I$2:$I$947,$C147)</f>
        <v/>
      </c>
      <c r="G147" s="5">
        <f>_xlfn.MINIFS(Objects!$M$2:$M$947,Objects!$B$2:$B$947,$A147,Objects!$F$2:$F$947,$B147,Objects!$I$2:$I$947,$C147)</f>
        <v/>
      </c>
      <c r="H147" s="5">
        <f>_xlfn.MAXIFS(Objects!$M$2:$M$947,Objects!$B$2:$B$947,$A147,Objects!$F$2:$F$947,$B147,Objects!$I$2:$I$947,$C147)</f>
        <v/>
      </c>
      <c r="I147" s="5">
        <f>IF(OR(C147="(none)",B147="raft",B147="sump_pit"),"n/a",IF(OR(B147="column",B147="shear_wall",B147="isolated_footing",B147="combined_footing"),IF(AND(F147-E147&lt;=3,H147-G147&lt;=3),"yes","no"),IF(H147-G147&lt;=3,"yes (thickness)","no (thickness)")))</f>
        <v/>
      </c>
      <c r="J147" s="6">
        <f>SUMIFS(Objects!$L$2:$L$947,Objects!$B$2:$B$947,$A147,Objects!$F$2:$F$947,$B147,Objects!$I$2:$I$947,$C147)/100</f>
        <v/>
      </c>
      <c r="K147" s="5">
        <f>COUNTIFS(Objects!$B$2:$B$947,$A147,Objects!$F$2:$F$947,$B147,Objects!$I$2:$I$947,$C147,Objects!$J$2:$J$947,"inferred*")</f>
        <v/>
      </c>
    </row>
    <row r="148">
      <c r="A148" s="5" t="inlineStr">
        <is>
          <t>126</t>
        </is>
      </c>
      <c r="B148" s="5" t="inlineStr">
        <is>
          <t>grade_beam</t>
        </is>
      </c>
      <c r="C148" s="5" t="inlineStr">
        <is>
          <t>LG40x15</t>
        </is>
      </c>
      <c r="D148" s="5">
        <f>COUNTIFS(Objects!$B$2:$B$947,$A148,Objects!$F$2:$F$947,$B148,Objects!$I$2:$I$947,$C148)</f>
        <v/>
      </c>
      <c r="E148" s="5">
        <f>_xlfn.MINIFS(Objects!$L$2:$L$947,Objects!$B$2:$B$947,$A148,Objects!$F$2:$F$947,$B148,Objects!$I$2:$I$947,$C148)</f>
        <v/>
      </c>
      <c r="F148" s="5">
        <f>_xlfn.MAXIFS(Objects!$L$2:$L$947,Objects!$B$2:$B$947,$A148,Objects!$F$2:$F$947,$B148,Objects!$I$2:$I$947,$C148)</f>
        <v/>
      </c>
      <c r="G148" s="5">
        <f>_xlfn.MINIFS(Objects!$M$2:$M$947,Objects!$B$2:$B$947,$A148,Objects!$F$2:$F$947,$B148,Objects!$I$2:$I$947,$C148)</f>
        <v/>
      </c>
      <c r="H148" s="5">
        <f>_xlfn.MAXIFS(Objects!$M$2:$M$947,Objects!$B$2:$B$947,$A148,Objects!$F$2:$F$947,$B148,Objects!$I$2:$I$947,$C148)</f>
        <v/>
      </c>
      <c r="I148" s="5">
        <f>IF(OR(C148="(none)",B148="raft",B148="sump_pit"),"n/a",IF(OR(B148="column",B148="shear_wall",B148="isolated_footing",B148="combined_footing"),IF(AND(F148-E148&lt;=3,H148-G148&lt;=3),"yes","no"),IF(H148-G148&lt;=3,"yes (thickness)","no (thickness)")))</f>
        <v/>
      </c>
      <c r="J148" s="6">
        <f>SUMIFS(Objects!$L$2:$L$947,Objects!$B$2:$B$947,$A148,Objects!$F$2:$F$947,$B148,Objects!$I$2:$I$947,$C148)/100</f>
        <v/>
      </c>
      <c r="K148" s="5">
        <f>COUNTIFS(Objects!$B$2:$B$947,$A148,Objects!$F$2:$F$947,$B148,Objects!$I$2:$I$947,$C148,Objects!$J$2:$J$947,"inferred*")</f>
        <v/>
      </c>
    </row>
    <row r="149">
      <c r="A149" s="5" t="inlineStr">
        <is>
          <t>126</t>
        </is>
      </c>
      <c r="B149" s="5" t="inlineStr">
        <is>
          <t>sump_pit</t>
        </is>
      </c>
      <c r="C149" s="5" t="inlineStr">
        <is>
          <t>Fosse</t>
        </is>
      </c>
      <c r="D149" s="5">
        <f>COUNTIFS(Objects!$B$2:$B$947,$A149,Objects!$F$2:$F$947,$B149,Objects!$I$2:$I$947,$C149)</f>
        <v/>
      </c>
      <c r="E149" s="5">
        <f>_xlfn.MINIFS(Objects!$L$2:$L$947,Objects!$B$2:$B$947,$A149,Objects!$F$2:$F$947,$B149,Objects!$I$2:$I$947,$C149)</f>
        <v/>
      </c>
      <c r="F149" s="5">
        <f>_xlfn.MAXIFS(Objects!$L$2:$L$947,Objects!$B$2:$B$947,$A149,Objects!$F$2:$F$947,$B149,Objects!$I$2:$I$947,$C149)</f>
        <v/>
      </c>
      <c r="G149" s="5">
        <f>_xlfn.MINIFS(Objects!$M$2:$M$947,Objects!$B$2:$B$947,$A149,Objects!$F$2:$F$947,$B149,Objects!$I$2:$I$947,$C149)</f>
        <v/>
      </c>
      <c r="H149" s="5">
        <f>_xlfn.MAXIFS(Objects!$M$2:$M$947,Objects!$B$2:$B$947,$A149,Objects!$F$2:$F$947,$B149,Objects!$I$2:$I$947,$C149)</f>
        <v/>
      </c>
      <c r="I149" s="5">
        <f>IF(OR(C149="(none)",B149="raft",B149="sump_pit"),"n/a",IF(OR(B149="column",B149="shear_wall",B149="isolated_footing",B149="combined_footing"),IF(AND(F149-E149&lt;=3,H149-G149&lt;=3),"yes","no"),IF(H149-G149&lt;=3,"yes (thickness)","no (thickness)")))</f>
        <v/>
      </c>
      <c r="J149" s="6">
        <f>SUMIFS(Objects!$L$2:$L$947,Objects!$B$2:$B$947,$A149,Objects!$F$2:$F$947,$B149,Objects!$I$2:$I$947,$C149)/100</f>
        <v/>
      </c>
      <c r="K149" s="5">
        <f>COUNTIFS(Objects!$B$2:$B$947,$A149,Objects!$F$2:$F$947,$B149,Objects!$I$2:$I$947,$C149,Objects!$J$2:$J$947,"inferred*")</f>
        <v/>
      </c>
    </row>
    <row r="150">
      <c r="A150" s="5" t="inlineStr">
        <is>
          <t>127</t>
        </is>
      </c>
      <c r="B150" s="5" t="inlineStr">
        <is>
          <t>column</t>
        </is>
      </c>
      <c r="C150" s="5" t="inlineStr">
        <is>
          <t>P1/127</t>
        </is>
      </c>
      <c r="D150" s="5">
        <f>COUNTIFS(Objects!$B$2:$B$947,$A150,Objects!$F$2:$F$947,$B150,Objects!$I$2:$I$947,$C150)</f>
        <v/>
      </c>
      <c r="E150" s="5">
        <f>_xlfn.MINIFS(Objects!$L$2:$L$947,Objects!$B$2:$B$947,$A150,Objects!$F$2:$F$947,$B150,Objects!$I$2:$I$947,$C150)</f>
        <v/>
      </c>
      <c r="F150" s="5">
        <f>_xlfn.MAXIFS(Objects!$L$2:$L$947,Objects!$B$2:$B$947,$A150,Objects!$F$2:$F$947,$B150,Objects!$I$2:$I$947,$C150)</f>
        <v/>
      </c>
      <c r="G150" s="5">
        <f>_xlfn.MINIFS(Objects!$M$2:$M$947,Objects!$B$2:$B$947,$A150,Objects!$F$2:$F$947,$B150,Objects!$I$2:$I$947,$C150)</f>
        <v/>
      </c>
      <c r="H150" s="5">
        <f>_xlfn.MAXIFS(Objects!$M$2:$M$947,Objects!$B$2:$B$947,$A150,Objects!$F$2:$F$947,$B150,Objects!$I$2:$I$947,$C150)</f>
        <v/>
      </c>
      <c r="I150" s="5">
        <f>IF(OR(C150="(none)",B150="raft",B150="sump_pit"),"n/a",IF(OR(B150="column",B150="shear_wall",B150="isolated_footing",B150="combined_footing"),IF(AND(F150-E150&lt;=3,H150-G150&lt;=3),"yes","no"),IF(H150-G150&lt;=3,"yes (thickness)","no (thickness)")))</f>
        <v/>
      </c>
      <c r="J150" s="6">
        <f>SUMIFS(Objects!$L$2:$L$947,Objects!$B$2:$B$947,$A150,Objects!$F$2:$F$947,$B150,Objects!$I$2:$I$947,$C150)/100</f>
        <v/>
      </c>
      <c r="K150" s="5">
        <f>COUNTIFS(Objects!$B$2:$B$947,$A150,Objects!$F$2:$F$947,$B150,Objects!$I$2:$I$947,$C150,Objects!$J$2:$J$947,"inferred*")</f>
        <v/>
      </c>
    </row>
    <row r="151">
      <c r="A151" s="5" t="inlineStr">
        <is>
          <t>127</t>
        </is>
      </c>
      <c r="B151" s="5" t="inlineStr">
        <is>
          <t>shear_wall</t>
        </is>
      </c>
      <c r="C151" s="5" t="inlineStr">
        <is>
          <t>V1/127</t>
        </is>
      </c>
      <c r="D151" s="5">
        <f>COUNTIFS(Objects!$B$2:$B$947,$A151,Objects!$F$2:$F$947,$B151,Objects!$I$2:$I$947,$C151)</f>
        <v/>
      </c>
      <c r="E151" s="5">
        <f>_xlfn.MINIFS(Objects!$L$2:$L$947,Objects!$B$2:$B$947,$A151,Objects!$F$2:$F$947,$B151,Objects!$I$2:$I$947,$C151)</f>
        <v/>
      </c>
      <c r="F151" s="5">
        <f>_xlfn.MAXIFS(Objects!$L$2:$L$947,Objects!$B$2:$B$947,$A151,Objects!$F$2:$F$947,$B151,Objects!$I$2:$I$947,$C151)</f>
        <v/>
      </c>
      <c r="G151" s="5">
        <f>_xlfn.MINIFS(Objects!$M$2:$M$947,Objects!$B$2:$B$947,$A151,Objects!$F$2:$F$947,$B151,Objects!$I$2:$I$947,$C151)</f>
        <v/>
      </c>
      <c r="H151" s="5">
        <f>_xlfn.MAXIFS(Objects!$M$2:$M$947,Objects!$B$2:$B$947,$A151,Objects!$F$2:$F$947,$B151,Objects!$I$2:$I$947,$C151)</f>
        <v/>
      </c>
      <c r="I151" s="5">
        <f>IF(OR(C151="(none)",B151="raft",B151="sump_pit"),"n/a",IF(OR(B151="column",B151="shear_wall",B151="isolated_footing",B151="combined_footing"),IF(AND(F151-E151&lt;=3,H151-G151&lt;=3),"yes","no"),IF(H151-G151&lt;=3,"yes (thickness)","no (thickness)")))</f>
        <v/>
      </c>
      <c r="J151" s="6">
        <f>SUMIFS(Objects!$L$2:$L$947,Objects!$B$2:$B$947,$A151,Objects!$F$2:$F$947,$B151,Objects!$I$2:$I$947,$C151)/100</f>
        <v/>
      </c>
      <c r="K151" s="5">
        <f>COUNTIFS(Objects!$B$2:$B$947,$A151,Objects!$F$2:$F$947,$B151,Objects!$I$2:$I$947,$C151,Objects!$J$2:$J$947,"inferred*")</f>
        <v/>
      </c>
    </row>
    <row r="152">
      <c r="A152" s="5" t="inlineStr">
        <is>
          <t>127</t>
        </is>
      </c>
      <c r="B152" s="5" t="inlineStr">
        <is>
          <t>shear_wall</t>
        </is>
      </c>
      <c r="C152" s="5" t="inlineStr">
        <is>
          <t>V3/127</t>
        </is>
      </c>
      <c r="D152" s="5">
        <f>COUNTIFS(Objects!$B$2:$B$947,$A152,Objects!$F$2:$F$947,$B152,Objects!$I$2:$I$947,$C152)</f>
        <v/>
      </c>
      <c r="E152" s="5">
        <f>_xlfn.MINIFS(Objects!$L$2:$L$947,Objects!$B$2:$B$947,$A152,Objects!$F$2:$F$947,$B152,Objects!$I$2:$I$947,$C152)</f>
        <v/>
      </c>
      <c r="F152" s="5">
        <f>_xlfn.MAXIFS(Objects!$L$2:$L$947,Objects!$B$2:$B$947,$A152,Objects!$F$2:$F$947,$B152,Objects!$I$2:$I$947,$C152)</f>
        <v/>
      </c>
      <c r="G152" s="5">
        <f>_xlfn.MINIFS(Objects!$M$2:$M$947,Objects!$B$2:$B$947,$A152,Objects!$F$2:$F$947,$B152,Objects!$I$2:$I$947,$C152)</f>
        <v/>
      </c>
      <c r="H152" s="5">
        <f>_xlfn.MAXIFS(Objects!$M$2:$M$947,Objects!$B$2:$B$947,$A152,Objects!$F$2:$F$947,$B152,Objects!$I$2:$I$947,$C152)</f>
        <v/>
      </c>
      <c r="I152" s="5">
        <f>IF(OR(C152="(none)",B152="raft",B152="sump_pit"),"n/a",IF(OR(B152="column",B152="shear_wall",B152="isolated_footing",B152="combined_footing"),IF(AND(F152-E152&lt;=3,H152-G152&lt;=3),"yes","no"),IF(H152-G152&lt;=3,"yes (thickness)","no (thickness)")))</f>
        <v/>
      </c>
      <c r="J152" s="6">
        <f>SUMIFS(Objects!$L$2:$L$947,Objects!$B$2:$B$947,$A152,Objects!$F$2:$F$947,$B152,Objects!$I$2:$I$947,$C152)/100</f>
        <v/>
      </c>
      <c r="K152" s="5">
        <f>COUNTIFS(Objects!$B$2:$B$947,$A152,Objects!$F$2:$F$947,$B152,Objects!$I$2:$I$947,$C152,Objects!$J$2:$J$947,"inferred*")</f>
        <v/>
      </c>
    </row>
    <row r="153">
      <c r="A153" s="5" t="inlineStr">
        <is>
          <t>127</t>
        </is>
      </c>
      <c r="B153" s="5" t="inlineStr">
        <is>
          <t>shear_wall</t>
        </is>
      </c>
      <c r="C153" s="5" t="inlineStr">
        <is>
          <t>V4/127</t>
        </is>
      </c>
      <c r="D153" s="5">
        <f>COUNTIFS(Objects!$B$2:$B$947,$A153,Objects!$F$2:$F$947,$B153,Objects!$I$2:$I$947,$C153)</f>
        <v/>
      </c>
      <c r="E153" s="5">
        <f>_xlfn.MINIFS(Objects!$L$2:$L$947,Objects!$B$2:$B$947,$A153,Objects!$F$2:$F$947,$B153,Objects!$I$2:$I$947,$C153)</f>
        <v/>
      </c>
      <c r="F153" s="5">
        <f>_xlfn.MAXIFS(Objects!$L$2:$L$947,Objects!$B$2:$B$947,$A153,Objects!$F$2:$F$947,$B153,Objects!$I$2:$I$947,$C153)</f>
        <v/>
      </c>
      <c r="G153" s="5">
        <f>_xlfn.MINIFS(Objects!$M$2:$M$947,Objects!$B$2:$B$947,$A153,Objects!$F$2:$F$947,$B153,Objects!$I$2:$I$947,$C153)</f>
        <v/>
      </c>
      <c r="H153" s="5">
        <f>_xlfn.MAXIFS(Objects!$M$2:$M$947,Objects!$B$2:$B$947,$A153,Objects!$F$2:$F$947,$B153,Objects!$I$2:$I$947,$C153)</f>
        <v/>
      </c>
      <c r="I153" s="5">
        <f>IF(OR(C153="(none)",B153="raft",B153="sump_pit"),"n/a",IF(OR(B153="column",B153="shear_wall",B153="isolated_footing",B153="combined_footing"),IF(AND(F153-E153&lt;=3,H153-G153&lt;=3),"yes","no"),IF(H153-G153&lt;=3,"yes (thickness)","no (thickness)")))</f>
        <v/>
      </c>
      <c r="J153" s="6">
        <f>SUMIFS(Objects!$L$2:$L$947,Objects!$B$2:$B$947,$A153,Objects!$F$2:$F$947,$B153,Objects!$I$2:$I$947,$C153)/100</f>
        <v/>
      </c>
      <c r="K153" s="5">
        <f>COUNTIFS(Objects!$B$2:$B$947,$A153,Objects!$F$2:$F$947,$B153,Objects!$I$2:$I$947,$C153,Objects!$J$2:$J$947,"inferred*")</f>
        <v/>
      </c>
    </row>
    <row r="154">
      <c r="A154" s="5" t="inlineStr">
        <is>
          <t>127</t>
        </is>
      </c>
      <c r="B154" s="5" t="inlineStr">
        <is>
          <t>shear_wall</t>
        </is>
      </c>
      <c r="C154" s="5" t="inlineStr">
        <is>
          <t>V5/127</t>
        </is>
      </c>
      <c r="D154" s="5">
        <f>COUNTIFS(Objects!$B$2:$B$947,$A154,Objects!$F$2:$F$947,$B154,Objects!$I$2:$I$947,$C154)</f>
        <v/>
      </c>
      <c r="E154" s="5">
        <f>_xlfn.MINIFS(Objects!$L$2:$L$947,Objects!$B$2:$B$947,$A154,Objects!$F$2:$F$947,$B154,Objects!$I$2:$I$947,$C154)</f>
        <v/>
      </c>
      <c r="F154" s="5">
        <f>_xlfn.MAXIFS(Objects!$L$2:$L$947,Objects!$B$2:$B$947,$A154,Objects!$F$2:$F$947,$B154,Objects!$I$2:$I$947,$C154)</f>
        <v/>
      </c>
      <c r="G154" s="5">
        <f>_xlfn.MINIFS(Objects!$M$2:$M$947,Objects!$B$2:$B$947,$A154,Objects!$F$2:$F$947,$B154,Objects!$I$2:$I$947,$C154)</f>
        <v/>
      </c>
      <c r="H154" s="5">
        <f>_xlfn.MAXIFS(Objects!$M$2:$M$947,Objects!$B$2:$B$947,$A154,Objects!$F$2:$F$947,$B154,Objects!$I$2:$I$947,$C154)</f>
        <v/>
      </c>
      <c r="I154" s="5">
        <f>IF(OR(C154="(none)",B154="raft",B154="sump_pit"),"n/a",IF(OR(B154="column",B154="shear_wall",B154="isolated_footing",B154="combined_footing"),IF(AND(F154-E154&lt;=3,H154-G154&lt;=3),"yes","no"),IF(H154-G154&lt;=3,"yes (thickness)","no (thickness)")))</f>
        <v/>
      </c>
      <c r="J154" s="6">
        <f>SUMIFS(Objects!$L$2:$L$947,Objects!$B$2:$B$947,$A154,Objects!$F$2:$F$947,$B154,Objects!$I$2:$I$947,$C154)/100</f>
        <v/>
      </c>
      <c r="K154" s="5">
        <f>COUNTIFS(Objects!$B$2:$B$947,$A154,Objects!$F$2:$F$947,$B154,Objects!$I$2:$I$947,$C154,Objects!$J$2:$J$947,"inferred*")</f>
        <v/>
      </c>
    </row>
    <row r="155">
      <c r="A155" s="5" t="inlineStr">
        <is>
          <t>127</t>
        </is>
      </c>
      <c r="B155" s="5" t="inlineStr">
        <is>
          <t>shear_wall</t>
        </is>
      </c>
      <c r="C155" s="5" t="inlineStr">
        <is>
          <t>V6/127</t>
        </is>
      </c>
      <c r="D155" s="5">
        <f>COUNTIFS(Objects!$B$2:$B$947,$A155,Objects!$F$2:$F$947,$B155,Objects!$I$2:$I$947,$C155)</f>
        <v/>
      </c>
      <c r="E155" s="5">
        <f>_xlfn.MINIFS(Objects!$L$2:$L$947,Objects!$B$2:$B$947,$A155,Objects!$F$2:$F$947,$B155,Objects!$I$2:$I$947,$C155)</f>
        <v/>
      </c>
      <c r="F155" s="5">
        <f>_xlfn.MAXIFS(Objects!$L$2:$L$947,Objects!$B$2:$B$947,$A155,Objects!$F$2:$F$947,$B155,Objects!$I$2:$I$947,$C155)</f>
        <v/>
      </c>
      <c r="G155" s="5">
        <f>_xlfn.MINIFS(Objects!$M$2:$M$947,Objects!$B$2:$B$947,$A155,Objects!$F$2:$F$947,$B155,Objects!$I$2:$I$947,$C155)</f>
        <v/>
      </c>
      <c r="H155" s="5">
        <f>_xlfn.MAXIFS(Objects!$M$2:$M$947,Objects!$B$2:$B$947,$A155,Objects!$F$2:$F$947,$B155,Objects!$I$2:$I$947,$C155)</f>
        <v/>
      </c>
      <c r="I155" s="5">
        <f>IF(OR(C155="(none)",B155="raft",B155="sump_pit"),"n/a",IF(OR(B155="column",B155="shear_wall",B155="isolated_footing",B155="combined_footing"),IF(AND(F155-E155&lt;=3,H155-G155&lt;=3),"yes","no"),IF(H155-G155&lt;=3,"yes (thickness)","no (thickness)")))</f>
        <v/>
      </c>
      <c r="J155" s="6">
        <f>SUMIFS(Objects!$L$2:$L$947,Objects!$B$2:$B$947,$A155,Objects!$F$2:$F$947,$B155,Objects!$I$2:$I$947,$C155)/100</f>
        <v/>
      </c>
      <c r="K155" s="5">
        <f>COUNTIFS(Objects!$B$2:$B$947,$A155,Objects!$F$2:$F$947,$B155,Objects!$I$2:$I$947,$C155,Objects!$J$2:$J$947,"inferred*")</f>
        <v/>
      </c>
    </row>
    <row r="156">
      <c r="A156" s="5" t="inlineStr">
        <is>
          <t>127</t>
        </is>
      </c>
      <c r="B156" s="5" t="inlineStr">
        <is>
          <t>core_wall</t>
        </is>
      </c>
      <c r="C156" s="5" t="inlineStr">
        <is>
          <t>(none)</t>
        </is>
      </c>
      <c r="D156" s="5">
        <f>COUNTIFS(Objects!$B$2:$B$947,$A156,Objects!$F$2:$F$947,$B156,Objects!$I$2:$I$947,$C156)</f>
        <v/>
      </c>
      <c r="E156" s="5">
        <f>_xlfn.MINIFS(Objects!$L$2:$L$947,Objects!$B$2:$B$947,$A156,Objects!$F$2:$F$947,$B156,Objects!$I$2:$I$947,$C156)</f>
        <v/>
      </c>
      <c r="F156" s="5">
        <f>_xlfn.MAXIFS(Objects!$L$2:$L$947,Objects!$B$2:$B$947,$A156,Objects!$F$2:$F$947,$B156,Objects!$I$2:$I$947,$C156)</f>
        <v/>
      </c>
      <c r="G156" s="5">
        <f>_xlfn.MINIFS(Objects!$M$2:$M$947,Objects!$B$2:$B$947,$A156,Objects!$F$2:$F$947,$B156,Objects!$I$2:$I$947,$C156)</f>
        <v/>
      </c>
      <c r="H156" s="5">
        <f>_xlfn.MAXIFS(Objects!$M$2:$M$947,Objects!$B$2:$B$947,$A156,Objects!$F$2:$F$947,$B156,Objects!$I$2:$I$947,$C156)</f>
        <v/>
      </c>
      <c r="I156" s="5">
        <f>IF(OR(C156="(none)",B156="raft",B156="sump_pit"),"n/a",IF(OR(B156="column",B156="shear_wall",B156="isolated_footing",B156="combined_footing"),IF(AND(F156-E156&lt;=3,H156-G156&lt;=3),"yes","no"),IF(H156-G156&lt;=3,"yes (thickness)","no (thickness)")))</f>
        <v/>
      </c>
      <c r="J156" s="6">
        <f>SUMIFS(Objects!$L$2:$L$947,Objects!$B$2:$B$947,$A156,Objects!$F$2:$F$947,$B156,Objects!$I$2:$I$947,$C156)/100</f>
        <v/>
      </c>
      <c r="K156" s="5">
        <f>COUNTIFS(Objects!$B$2:$B$947,$A156,Objects!$F$2:$F$947,$B156,Objects!$I$2:$I$947,$C156,Objects!$J$2:$J$947,"inferred*")</f>
        <v/>
      </c>
    </row>
    <row r="157">
      <c r="A157" s="5" t="inlineStr">
        <is>
          <t>127</t>
        </is>
      </c>
      <c r="B157" s="5" t="inlineStr">
        <is>
          <t>retaining_wall</t>
        </is>
      </c>
      <c r="C157" s="5" t="inlineStr">
        <is>
          <t>VP20</t>
        </is>
      </c>
      <c r="D157" s="5">
        <f>COUNTIFS(Objects!$B$2:$B$947,$A157,Objects!$F$2:$F$947,$B157,Objects!$I$2:$I$947,$C157)</f>
        <v/>
      </c>
      <c r="E157" s="5">
        <f>_xlfn.MINIFS(Objects!$L$2:$L$947,Objects!$B$2:$B$947,$A157,Objects!$F$2:$F$947,$B157,Objects!$I$2:$I$947,$C157)</f>
        <v/>
      </c>
      <c r="F157" s="5">
        <f>_xlfn.MAXIFS(Objects!$L$2:$L$947,Objects!$B$2:$B$947,$A157,Objects!$F$2:$F$947,$B157,Objects!$I$2:$I$947,$C157)</f>
        <v/>
      </c>
      <c r="G157" s="5">
        <f>_xlfn.MINIFS(Objects!$M$2:$M$947,Objects!$B$2:$B$947,$A157,Objects!$F$2:$F$947,$B157,Objects!$I$2:$I$947,$C157)</f>
        <v/>
      </c>
      <c r="H157" s="5">
        <f>_xlfn.MAXIFS(Objects!$M$2:$M$947,Objects!$B$2:$B$947,$A157,Objects!$F$2:$F$947,$B157,Objects!$I$2:$I$947,$C157)</f>
        <v/>
      </c>
      <c r="I157" s="5">
        <f>IF(OR(C157="(none)",B157="raft",B157="sump_pit"),"n/a",IF(OR(B157="column",B157="shear_wall",B157="isolated_footing",B157="combined_footing"),IF(AND(F157-E157&lt;=3,H157-G157&lt;=3),"yes","no"),IF(H157-G157&lt;=3,"yes (thickness)","no (thickness)")))</f>
        <v/>
      </c>
      <c r="J157" s="6">
        <f>SUMIFS(Objects!$L$2:$L$947,Objects!$B$2:$B$947,$A157,Objects!$F$2:$F$947,$B157,Objects!$I$2:$I$947,$C157)/100</f>
        <v/>
      </c>
      <c r="K157" s="5">
        <f>COUNTIFS(Objects!$B$2:$B$947,$A157,Objects!$F$2:$F$947,$B157,Objects!$I$2:$I$947,$C157,Objects!$J$2:$J$947,"inferred*")</f>
        <v/>
      </c>
    </row>
    <row r="158">
      <c r="A158" s="5" t="inlineStr">
        <is>
          <t>127</t>
        </is>
      </c>
      <c r="B158" s="5" t="inlineStr">
        <is>
          <t>retaining_wall</t>
        </is>
      </c>
      <c r="C158" s="5" t="inlineStr">
        <is>
          <t>VP25</t>
        </is>
      </c>
      <c r="D158" s="5">
        <f>COUNTIFS(Objects!$B$2:$B$947,$A158,Objects!$F$2:$F$947,$B158,Objects!$I$2:$I$947,$C158)</f>
        <v/>
      </c>
      <c r="E158" s="5">
        <f>_xlfn.MINIFS(Objects!$L$2:$L$947,Objects!$B$2:$B$947,$A158,Objects!$F$2:$F$947,$B158,Objects!$I$2:$I$947,$C158)</f>
        <v/>
      </c>
      <c r="F158" s="5">
        <f>_xlfn.MAXIFS(Objects!$L$2:$L$947,Objects!$B$2:$B$947,$A158,Objects!$F$2:$F$947,$B158,Objects!$I$2:$I$947,$C158)</f>
        <v/>
      </c>
      <c r="G158" s="5">
        <f>_xlfn.MINIFS(Objects!$M$2:$M$947,Objects!$B$2:$B$947,$A158,Objects!$F$2:$F$947,$B158,Objects!$I$2:$I$947,$C158)</f>
        <v/>
      </c>
      <c r="H158" s="5">
        <f>_xlfn.MAXIFS(Objects!$M$2:$M$947,Objects!$B$2:$B$947,$A158,Objects!$F$2:$F$947,$B158,Objects!$I$2:$I$947,$C158)</f>
        <v/>
      </c>
      <c r="I158" s="5">
        <f>IF(OR(C158="(none)",B158="raft",B158="sump_pit"),"n/a",IF(OR(B158="column",B158="shear_wall",B158="isolated_footing",B158="combined_footing"),IF(AND(F158-E158&lt;=3,H158-G158&lt;=3),"yes","no"),IF(H158-G158&lt;=3,"yes (thickness)","no (thickness)")))</f>
        <v/>
      </c>
      <c r="J158" s="6">
        <f>SUMIFS(Objects!$L$2:$L$947,Objects!$B$2:$B$947,$A158,Objects!$F$2:$F$947,$B158,Objects!$I$2:$I$947,$C158)/100</f>
        <v/>
      </c>
      <c r="K158" s="5">
        <f>COUNTIFS(Objects!$B$2:$B$947,$A158,Objects!$F$2:$F$947,$B158,Objects!$I$2:$I$947,$C158,Objects!$J$2:$J$947,"inferred*")</f>
        <v/>
      </c>
    </row>
    <row r="159">
      <c r="A159" s="5" t="inlineStr">
        <is>
          <t>127</t>
        </is>
      </c>
      <c r="B159" s="5" t="inlineStr">
        <is>
          <t>isolated_footing</t>
        </is>
      </c>
      <c r="C159" s="5" t="inlineStr">
        <is>
          <t>S0(240x240x60)</t>
        </is>
      </c>
      <c r="D159" s="5">
        <f>COUNTIFS(Objects!$B$2:$B$947,$A159,Objects!$F$2:$F$947,$B159,Objects!$I$2:$I$947,$C159)</f>
        <v/>
      </c>
      <c r="E159" s="5">
        <f>_xlfn.MINIFS(Objects!$L$2:$L$947,Objects!$B$2:$B$947,$A159,Objects!$F$2:$F$947,$B159,Objects!$I$2:$I$947,$C159)</f>
        <v/>
      </c>
      <c r="F159" s="5">
        <f>_xlfn.MAXIFS(Objects!$L$2:$L$947,Objects!$B$2:$B$947,$A159,Objects!$F$2:$F$947,$B159,Objects!$I$2:$I$947,$C159)</f>
        <v/>
      </c>
      <c r="G159" s="5">
        <f>_xlfn.MINIFS(Objects!$M$2:$M$947,Objects!$B$2:$B$947,$A159,Objects!$F$2:$F$947,$B159,Objects!$I$2:$I$947,$C159)</f>
        <v/>
      </c>
      <c r="H159" s="5">
        <f>_xlfn.MAXIFS(Objects!$M$2:$M$947,Objects!$B$2:$B$947,$A159,Objects!$F$2:$F$947,$B159,Objects!$I$2:$I$947,$C159)</f>
        <v/>
      </c>
      <c r="I159" s="5">
        <f>IF(OR(C159="(none)",B159="raft",B159="sump_pit"),"n/a",IF(OR(B159="column",B159="shear_wall",B159="isolated_footing",B159="combined_footing"),IF(AND(F159-E159&lt;=3,H159-G159&lt;=3),"yes","no"),IF(H159-G159&lt;=3,"yes (thickness)","no (thickness)")))</f>
        <v/>
      </c>
      <c r="J159" s="6">
        <f>SUMIFS(Objects!$L$2:$L$947,Objects!$B$2:$B$947,$A159,Objects!$F$2:$F$947,$B159,Objects!$I$2:$I$947,$C159)/100</f>
        <v/>
      </c>
      <c r="K159" s="5">
        <f>COUNTIFS(Objects!$B$2:$B$947,$A159,Objects!$F$2:$F$947,$B159,Objects!$I$2:$I$947,$C159,Objects!$J$2:$J$947,"inferred*")</f>
        <v/>
      </c>
    </row>
    <row r="160">
      <c r="A160" s="5" t="inlineStr">
        <is>
          <t>127</t>
        </is>
      </c>
      <c r="B160" s="5" t="inlineStr">
        <is>
          <t>isolated_footing</t>
        </is>
      </c>
      <c r="C160" s="5" t="inlineStr">
        <is>
          <t>S11</t>
        </is>
      </c>
      <c r="D160" s="5">
        <f>COUNTIFS(Objects!$B$2:$B$947,$A160,Objects!$F$2:$F$947,$B160,Objects!$I$2:$I$947,$C160)</f>
        <v/>
      </c>
      <c r="E160" s="5">
        <f>_xlfn.MINIFS(Objects!$L$2:$L$947,Objects!$B$2:$B$947,$A160,Objects!$F$2:$F$947,$B160,Objects!$I$2:$I$947,$C160)</f>
        <v/>
      </c>
      <c r="F160" s="5">
        <f>_xlfn.MAXIFS(Objects!$L$2:$L$947,Objects!$B$2:$B$947,$A160,Objects!$F$2:$F$947,$B160,Objects!$I$2:$I$947,$C160)</f>
        <v/>
      </c>
      <c r="G160" s="5">
        <f>_xlfn.MINIFS(Objects!$M$2:$M$947,Objects!$B$2:$B$947,$A160,Objects!$F$2:$F$947,$B160,Objects!$I$2:$I$947,$C160)</f>
        <v/>
      </c>
      <c r="H160" s="5">
        <f>_xlfn.MAXIFS(Objects!$M$2:$M$947,Objects!$B$2:$B$947,$A160,Objects!$F$2:$F$947,$B160,Objects!$I$2:$I$947,$C160)</f>
        <v/>
      </c>
      <c r="I160" s="5">
        <f>IF(OR(C160="(none)",B160="raft",B160="sump_pit"),"n/a",IF(OR(B160="column",B160="shear_wall",B160="isolated_footing",B160="combined_footing"),IF(AND(F160-E160&lt;=3,H160-G160&lt;=3),"yes","no"),IF(H160-G160&lt;=3,"yes (thickness)","no (thickness)")))</f>
        <v/>
      </c>
      <c r="J160" s="6">
        <f>SUMIFS(Objects!$L$2:$L$947,Objects!$B$2:$B$947,$A160,Objects!$F$2:$F$947,$B160,Objects!$I$2:$I$947,$C160)/100</f>
        <v/>
      </c>
      <c r="K160" s="5">
        <f>COUNTIFS(Objects!$B$2:$B$947,$A160,Objects!$F$2:$F$947,$B160,Objects!$I$2:$I$947,$C160,Objects!$J$2:$J$947,"inferred*")</f>
        <v/>
      </c>
    </row>
    <row r="161">
      <c r="A161" s="5" t="inlineStr">
        <is>
          <t>127</t>
        </is>
      </c>
      <c r="B161" s="5" t="inlineStr">
        <is>
          <t>isolated_footing</t>
        </is>
      </c>
      <c r="C161" s="5" t="inlineStr">
        <is>
          <t>S16</t>
        </is>
      </c>
      <c r="D161" s="5">
        <f>COUNTIFS(Objects!$B$2:$B$947,$A161,Objects!$F$2:$F$947,$B161,Objects!$I$2:$I$947,$C161)</f>
        <v/>
      </c>
      <c r="E161" s="5">
        <f>_xlfn.MINIFS(Objects!$L$2:$L$947,Objects!$B$2:$B$947,$A161,Objects!$F$2:$F$947,$B161,Objects!$I$2:$I$947,$C161)</f>
        <v/>
      </c>
      <c r="F161" s="5">
        <f>_xlfn.MAXIFS(Objects!$L$2:$L$947,Objects!$B$2:$B$947,$A161,Objects!$F$2:$F$947,$B161,Objects!$I$2:$I$947,$C161)</f>
        <v/>
      </c>
      <c r="G161" s="5">
        <f>_xlfn.MINIFS(Objects!$M$2:$M$947,Objects!$B$2:$B$947,$A161,Objects!$F$2:$F$947,$B161,Objects!$I$2:$I$947,$C161)</f>
        <v/>
      </c>
      <c r="H161" s="5">
        <f>_xlfn.MAXIFS(Objects!$M$2:$M$947,Objects!$B$2:$B$947,$A161,Objects!$F$2:$F$947,$B161,Objects!$I$2:$I$947,$C161)</f>
        <v/>
      </c>
      <c r="I161" s="5">
        <f>IF(OR(C161="(none)",B161="raft",B161="sump_pit"),"n/a",IF(OR(B161="column",B161="shear_wall",B161="isolated_footing",B161="combined_footing"),IF(AND(F161-E161&lt;=3,H161-G161&lt;=3),"yes","no"),IF(H161-G161&lt;=3,"yes (thickness)","no (thickness)")))</f>
        <v/>
      </c>
      <c r="J161" s="6">
        <f>SUMIFS(Objects!$L$2:$L$947,Objects!$B$2:$B$947,$A161,Objects!$F$2:$F$947,$B161,Objects!$I$2:$I$947,$C161)/100</f>
        <v/>
      </c>
      <c r="K161" s="5">
        <f>COUNTIFS(Objects!$B$2:$B$947,$A161,Objects!$F$2:$F$947,$B161,Objects!$I$2:$I$947,$C161,Objects!$J$2:$J$947,"inferred*")</f>
        <v/>
      </c>
    </row>
    <row r="162">
      <c r="A162" s="5" t="inlineStr">
        <is>
          <t>127</t>
        </is>
      </c>
      <c r="B162" s="5" t="inlineStr">
        <is>
          <t>isolated_footing</t>
        </is>
      </c>
      <c r="C162" s="5" t="inlineStr">
        <is>
          <t>S2</t>
        </is>
      </c>
      <c r="D162" s="5">
        <f>COUNTIFS(Objects!$B$2:$B$947,$A162,Objects!$F$2:$F$947,$B162,Objects!$I$2:$I$947,$C162)</f>
        <v/>
      </c>
      <c r="E162" s="5">
        <f>_xlfn.MINIFS(Objects!$L$2:$L$947,Objects!$B$2:$B$947,$A162,Objects!$F$2:$F$947,$B162,Objects!$I$2:$I$947,$C162)</f>
        <v/>
      </c>
      <c r="F162" s="5">
        <f>_xlfn.MAXIFS(Objects!$L$2:$L$947,Objects!$B$2:$B$947,$A162,Objects!$F$2:$F$947,$B162,Objects!$I$2:$I$947,$C162)</f>
        <v/>
      </c>
      <c r="G162" s="5">
        <f>_xlfn.MINIFS(Objects!$M$2:$M$947,Objects!$B$2:$B$947,$A162,Objects!$F$2:$F$947,$B162,Objects!$I$2:$I$947,$C162)</f>
        <v/>
      </c>
      <c r="H162" s="5">
        <f>_xlfn.MAXIFS(Objects!$M$2:$M$947,Objects!$B$2:$B$947,$A162,Objects!$F$2:$F$947,$B162,Objects!$I$2:$I$947,$C162)</f>
        <v/>
      </c>
      <c r="I162" s="5">
        <f>IF(OR(C162="(none)",B162="raft",B162="sump_pit"),"n/a",IF(OR(B162="column",B162="shear_wall",B162="isolated_footing",B162="combined_footing"),IF(AND(F162-E162&lt;=3,H162-G162&lt;=3),"yes","no"),IF(H162-G162&lt;=3,"yes (thickness)","no (thickness)")))</f>
        <v/>
      </c>
      <c r="J162" s="6">
        <f>SUMIFS(Objects!$L$2:$L$947,Objects!$B$2:$B$947,$A162,Objects!$F$2:$F$947,$B162,Objects!$I$2:$I$947,$C162)/100</f>
        <v/>
      </c>
      <c r="K162" s="5">
        <f>COUNTIFS(Objects!$B$2:$B$947,$A162,Objects!$F$2:$F$947,$B162,Objects!$I$2:$I$947,$C162,Objects!$J$2:$J$947,"inferred*")</f>
        <v/>
      </c>
    </row>
    <row r="163">
      <c r="A163" s="5" t="inlineStr">
        <is>
          <t>127</t>
        </is>
      </c>
      <c r="B163" s="5" t="inlineStr">
        <is>
          <t>combined_footing</t>
        </is>
      </c>
      <c r="C163" s="5" t="inlineStr">
        <is>
          <t>SC2</t>
        </is>
      </c>
      <c r="D163" s="5">
        <f>COUNTIFS(Objects!$B$2:$B$947,$A163,Objects!$F$2:$F$947,$B163,Objects!$I$2:$I$947,$C163)</f>
        <v/>
      </c>
      <c r="E163" s="5">
        <f>_xlfn.MINIFS(Objects!$L$2:$L$947,Objects!$B$2:$B$947,$A163,Objects!$F$2:$F$947,$B163,Objects!$I$2:$I$947,$C163)</f>
        <v/>
      </c>
      <c r="F163" s="5">
        <f>_xlfn.MAXIFS(Objects!$L$2:$L$947,Objects!$B$2:$B$947,$A163,Objects!$F$2:$F$947,$B163,Objects!$I$2:$I$947,$C163)</f>
        <v/>
      </c>
      <c r="G163" s="5">
        <f>_xlfn.MINIFS(Objects!$M$2:$M$947,Objects!$B$2:$B$947,$A163,Objects!$F$2:$F$947,$B163,Objects!$I$2:$I$947,$C163)</f>
        <v/>
      </c>
      <c r="H163" s="5">
        <f>_xlfn.MAXIFS(Objects!$M$2:$M$947,Objects!$B$2:$B$947,$A163,Objects!$F$2:$F$947,$B163,Objects!$I$2:$I$947,$C163)</f>
        <v/>
      </c>
      <c r="I163" s="5">
        <f>IF(OR(C163="(none)",B163="raft",B163="sump_pit"),"n/a",IF(OR(B163="column",B163="shear_wall",B163="isolated_footing",B163="combined_footing"),IF(AND(F163-E163&lt;=3,H163-G163&lt;=3),"yes","no"),IF(H163-G163&lt;=3,"yes (thickness)","no (thickness)")))</f>
        <v/>
      </c>
      <c r="J163" s="6">
        <f>SUMIFS(Objects!$L$2:$L$947,Objects!$B$2:$B$947,$A163,Objects!$F$2:$F$947,$B163,Objects!$I$2:$I$947,$C163)/100</f>
        <v/>
      </c>
      <c r="K163" s="5">
        <f>COUNTIFS(Objects!$B$2:$B$947,$A163,Objects!$F$2:$F$947,$B163,Objects!$I$2:$I$947,$C163,Objects!$J$2:$J$947,"inferred*")</f>
        <v/>
      </c>
    </row>
    <row r="164">
      <c r="A164" s="5" t="inlineStr">
        <is>
          <t>127</t>
        </is>
      </c>
      <c r="B164" s="5" t="inlineStr">
        <is>
          <t>combined_footing</t>
        </is>
      </c>
      <c r="C164" s="5" t="inlineStr">
        <is>
          <t>SC3</t>
        </is>
      </c>
      <c r="D164" s="5">
        <f>COUNTIFS(Objects!$B$2:$B$947,$A164,Objects!$F$2:$F$947,$B164,Objects!$I$2:$I$947,$C164)</f>
        <v/>
      </c>
      <c r="E164" s="5">
        <f>_xlfn.MINIFS(Objects!$L$2:$L$947,Objects!$B$2:$B$947,$A164,Objects!$F$2:$F$947,$B164,Objects!$I$2:$I$947,$C164)</f>
        <v/>
      </c>
      <c r="F164" s="5">
        <f>_xlfn.MAXIFS(Objects!$L$2:$L$947,Objects!$B$2:$B$947,$A164,Objects!$F$2:$F$947,$B164,Objects!$I$2:$I$947,$C164)</f>
        <v/>
      </c>
      <c r="G164" s="5">
        <f>_xlfn.MINIFS(Objects!$M$2:$M$947,Objects!$B$2:$B$947,$A164,Objects!$F$2:$F$947,$B164,Objects!$I$2:$I$947,$C164)</f>
        <v/>
      </c>
      <c r="H164" s="5">
        <f>_xlfn.MAXIFS(Objects!$M$2:$M$947,Objects!$B$2:$B$947,$A164,Objects!$F$2:$F$947,$B164,Objects!$I$2:$I$947,$C164)</f>
        <v/>
      </c>
      <c r="I164" s="5">
        <f>IF(OR(C164="(none)",B164="raft",B164="sump_pit"),"n/a",IF(OR(B164="column",B164="shear_wall",B164="isolated_footing",B164="combined_footing"),IF(AND(F164-E164&lt;=3,H164-G164&lt;=3),"yes","no"),IF(H164-G164&lt;=3,"yes (thickness)","no (thickness)")))</f>
        <v/>
      </c>
      <c r="J164" s="6">
        <f>SUMIFS(Objects!$L$2:$L$947,Objects!$B$2:$B$947,$A164,Objects!$F$2:$F$947,$B164,Objects!$I$2:$I$947,$C164)/100</f>
        <v/>
      </c>
      <c r="K164" s="5">
        <f>COUNTIFS(Objects!$B$2:$B$947,$A164,Objects!$F$2:$F$947,$B164,Objects!$I$2:$I$947,$C164,Objects!$J$2:$J$947,"inferred*")</f>
        <v/>
      </c>
    </row>
    <row r="165">
      <c r="A165" s="5" t="inlineStr">
        <is>
          <t>127</t>
        </is>
      </c>
      <c r="B165" s="5" t="inlineStr">
        <is>
          <t>strip_footing</t>
        </is>
      </c>
      <c r="C165" s="5" t="inlineStr">
        <is>
          <t>SF1</t>
        </is>
      </c>
      <c r="D165" s="5">
        <f>COUNTIFS(Objects!$B$2:$B$947,$A165,Objects!$F$2:$F$947,$B165,Objects!$I$2:$I$947,$C165)</f>
        <v/>
      </c>
      <c r="E165" s="5">
        <f>_xlfn.MINIFS(Objects!$L$2:$L$947,Objects!$B$2:$B$947,$A165,Objects!$F$2:$F$947,$B165,Objects!$I$2:$I$947,$C165)</f>
        <v/>
      </c>
      <c r="F165" s="5">
        <f>_xlfn.MAXIFS(Objects!$L$2:$L$947,Objects!$B$2:$B$947,$A165,Objects!$F$2:$F$947,$B165,Objects!$I$2:$I$947,$C165)</f>
        <v/>
      </c>
      <c r="G165" s="5">
        <f>_xlfn.MINIFS(Objects!$M$2:$M$947,Objects!$B$2:$B$947,$A165,Objects!$F$2:$F$947,$B165,Objects!$I$2:$I$947,$C165)</f>
        <v/>
      </c>
      <c r="H165" s="5">
        <f>_xlfn.MAXIFS(Objects!$M$2:$M$947,Objects!$B$2:$B$947,$A165,Objects!$F$2:$F$947,$B165,Objects!$I$2:$I$947,$C165)</f>
        <v/>
      </c>
      <c r="I165" s="5">
        <f>IF(OR(C165="(none)",B165="raft",B165="sump_pit"),"n/a",IF(OR(B165="column",B165="shear_wall",B165="isolated_footing",B165="combined_footing"),IF(AND(F165-E165&lt;=3,H165-G165&lt;=3),"yes","no"),IF(H165-G165&lt;=3,"yes (thickness)","no (thickness)")))</f>
        <v/>
      </c>
      <c r="J165" s="6">
        <f>SUMIFS(Objects!$L$2:$L$947,Objects!$B$2:$B$947,$A165,Objects!$F$2:$F$947,$B165,Objects!$I$2:$I$947,$C165)/100</f>
        <v/>
      </c>
      <c r="K165" s="5">
        <f>COUNTIFS(Objects!$B$2:$B$947,$A165,Objects!$F$2:$F$947,$B165,Objects!$I$2:$I$947,$C165,Objects!$J$2:$J$947,"inferred*")</f>
        <v/>
      </c>
    </row>
    <row r="166">
      <c r="A166" s="5" t="inlineStr">
        <is>
          <t>127</t>
        </is>
      </c>
      <c r="B166" s="5" t="inlineStr">
        <is>
          <t>grade_beam</t>
        </is>
      </c>
      <c r="C166" s="5" t="inlineStr">
        <is>
          <t>LG40x15</t>
        </is>
      </c>
      <c r="D166" s="5">
        <f>COUNTIFS(Objects!$B$2:$B$947,$A166,Objects!$F$2:$F$947,$B166,Objects!$I$2:$I$947,$C166)</f>
        <v/>
      </c>
      <c r="E166" s="5">
        <f>_xlfn.MINIFS(Objects!$L$2:$L$947,Objects!$B$2:$B$947,$A166,Objects!$F$2:$F$947,$B166,Objects!$I$2:$I$947,$C166)</f>
        <v/>
      </c>
      <c r="F166" s="5">
        <f>_xlfn.MAXIFS(Objects!$L$2:$L$947,Objects!$B$2:$B$947,$A166,Objects!$F$2:$F$947,$B166,Objects!$I$2:$I$947,$C166)</f>
        <v/>
      </c>
      <c r="G166" s="5">
        <f>_xlfn.MINIFS(Objects!$M$2:$M$947,Objects!$B$2:$B$947,$A166,Objects!$F$2:$F$947,$B166,Objects!$I$2:$I$947,$C166)</f>
        <v/>
      </c>
      <c r="H166" s="5">
        <f>_xlfn.MAXIFS(Objects!$M$2:$M$947,Objects!$B$2:$B$947,$A166,Objects!$F$2:$F$947,$B166,Objects!$I$2:$I$947,$C166)</f>
        <v/>
      </c>
      <c r="I166" s="5">
        <f>IF(OR(C166="(none)",B166="raft",B166="sump_pit"),"n/a",IF(OR(B166="column",B166="shear_wall",B166="isolated_footing",B166="combined_footing"),IF(AND(F166-E166&lt;=3,H166-G166&lt;=3),"yes","no"),IF(H166-G166&lt;=3,"yes (thickness)","no (thickness)")))</f>
        <v/>
      </c>
      <c r="J166" s="6">
        <f>SUMIFS(Objects!$L$2:$L$947,Objects!$B$2:$B$947,$A166,Objects!$F$2:$F$947,$B166,Objects!$I$2:$I$947,$C166)/100</f>
        <v/>
      </c>
      <c r="K166" s="5">
        <f>COUNTIFS(Objects!$B$2:$B$947,$A166,Objects!$F$2:$F$947,$B166,Objects!$I$2:$I$947,$C166,Objects!$J$2:$J$947,"inferred*")</f>
        <v/>
      </c>
    </row>
    <row r="167">
      <c r="A167" s="5" t="inlineStr">
        <is>
          <t>127</t>
        </is>
      </c>
      <c r="B167" s="5" t="inlineStr">
        <is>
          <t>raft</t>
        </is>
      </c>
      <c r="C167" s="5" t="inlineStr">
        <is>
          <t>Radier 100</t>
        </is>
      </c>
      <c r="D167" s="5">
        <f>COUNTIFS(Objects!$B$2:$B$947,$A167,Objects!$F$2:$F$947,$B167,Objects!$I$2:$I$947,$C167)</f>
        <v/>
      </c>
      <c r="E167" s="5">
        <f>_xlfn.MINIFS(Objects!$L$2:$L$947,Objects!$B$2:$B$947,$A167,Objects!$F$2:$F$947,$B167,Objects!$I$2:$I$947,$C167)</f>
        <v/>
      </c>
      <c r="F167" s="5">
        <f>_xlfn.MAXIFS(Objects!$L$2:$L$947,Objects!$B$2:$B$947,$A167,Objects!$F$2:$F$947,$B167,Objects!$I$2:$I$947,$C167)</f>
        <v/>
      </c>
      <c r="G167" s="5">
        <f>_xlfn.MINIFS(Objects!$M$2:$M$947,Objects!$B$2:$B$947,$A167,Objects!$F$2:$F$947,$B167,Objects!$I$2:$I$947,$C167)</f>
        <v/>
      </c>
      <c r="H167" s="5">
        <f>_xlfn.MAXIFS(Objects!$M$2:$M$947,Objects!$B$2:$B$947,$A167,Objects!$F$2:$F$947,$B167,Objects!$I$2:$I$947,$C167)</f>
        <v/>
      </c>
      <c r="I167" s="5">
        <f>IF(OR(C167="(none)",B167="raft",B167="sump_pit"),"n/a",IF(OR(B167="column",B167="shear_wall",B167="isolated_footing",B167="combined_footing"),IF(AND(F167-E167&lt;=3,H167-G167&lt;=3),"yes","no"),IF(H167-G167&lt;=3,"yes (thickness)","no (thickness)")))</f>
        <v/>
      </c>
      <c r="J167" s="6">
        <f>SUMIFS(Objects!$L$2:$L$947,Objects!$B$2:$B$947,$A167,Objects!$F$2:$F$947,$B167,Objects!$I$2:$I$947,$C167)/100</f>
        <v/>
      </c>
      <c r="K167" s="5">
        <f>COUNTIFS(Objects!$B$2:$B$947,$A167,Objects!$F$2:$F$947,$B167,Objects!$I$2:$I$947,$C167,Objects!$J$2:$J$947,"inferred*")</f>
        <v/>
      </c>
    </row>
    <row r="168">
      <c r="A168" s="5" t="inlineStr">
        <is>
          <t>128</t>
        </is>
      </c>
      <c r="B168" s="5" t="inlineStr">
        <is>
          <t>column</t>
        </is>
      </c>
      <c r="C168" s="5" t="inlineStr">
        <is>
          <t>P1/128</t>
        </is>
      </c>
      <c r="D168" s="5">
        <f>COUNTIFS(Objects!$B$2:$B$947,$A168,Objects!$F$2:$F$947,$B168,Objects!$I$2:$I$947,$C168)</f>
        <v/>
      </c>
      <c r="E168" s="5">
        <f>_xlfn.MINIFS(Objects!$L$2:$L$947,Objects!$B$2:$B$947,$A168,Objects!$F$2:$F$947,$B168,Objects!$I$2:$I$947,$C168)</f>
        <v/>
      </c>
      <c r="F168" s="5">
        <f>_xlfn.MAXIFS(Objects!$L$2:$L$947,Objects!$B$2:$B$947,$A168,Objects!$F$2:$F$947,$B168,Objects!$I$2:$I$947,$C168)</f>
        <v/>
      </c>
      <c r="G168" s="5">
        <f>_xlfn.MINIFS(Objects!$M$2:$M$947,Objects!$B$2:$B$947,$A168,Objects!$F$2:$F$947,$B168,Objects!$I$2:$I$947,$C168)</f>
        <v/>
      </c>
      <c r="H168" s="5">
        <f>_xlfn.MAXIFS(Objects!$M$2:$M$947,Objects!$B$2:$B$947,$A168,Objects!$F$2:$F$947,$B168,Objects!$I$2:$I$947,$C168)</f>
        <v/>
      </c>
      <c r="I168" s="5">
        <f>IF(OR(C168="(none)",B168="raft",B168="sump_pit"),"n/a",IF(OR(B168="column",B168="shear_wall",B168="isolated_footing",B168="combined_footing"),IF(AND(F168-E168&lt;=3,H168-G168&lt;=3),"yes","no"),IF(H168-G168&lt;=3,"yes (thickness)","no (thickness)")))</f>
        <v/>
      </c>
      <c r="J168" s="6">
        <f>SUMIFS(Objects!$L$2:$L$947,Objects!$B$2:$B$947,$A168,Objects!$F$2:$F$947,$B168,Objects!$I$2:$I$947,$C168)/100</f>
        <v/>
      </c>
      <c r="K168" s="5">
        <f>COUNTIFS(Objects!$B$2:$B$947,$A168,Objects!$F$2:$F$947,$B168,Objects!$I$2:$I$947,$C168,Objects!$J$2:$J$947,"inferred*")</f>
        <v/>
      </c>
    </row>
    <row r="169">
      <c r="A169" s="5" t="inlineStr">
        <is>
          <t>128</t>
        </is>
      </c>
      <c r="B169" s="5" t="inlineStr">
        <is>
          <t>column</t>
        </is>
      </c>
      <c r="C169" s="5" t="inlineStr">
        <is>
          <t>P2/128</t>
        </is>
      </c>
      <c r="D169" s="5">
        <f>COUNTIFS(Objects!$B$2:$B$947,$A169,Objects!$F$2:$F$947,$B169,Objects!$I$2:$I$947,$C169)</f>
        <v/>
      </c>
      <c r="E169" s="5">
        <f>_xlfn.MINIFS(Objects!$L$2:$L$947,Objects!$B$2:$B$947,$A169,Objects!$F$2:$F$947,$B169,Objects!$I$2:$I$947,$C169)</f>
        <v/>
      </c>
      <c r="F169" s="5">
        <f>_xlfn.MAXIFS(Objects!$L$2:$L$947,Objects!$B$2:$B$947,$A169,Objects!$F$2:$F$947,$B169,Objects!$I$2:$I$947,$C169)</f>
        <v/>
      </c>
      <c r="G169" s="5">
        <f>_xlfn.MINIFS(Objects!$M$2:$M$947,Objects!$B$2:$B$947,$A169,Objects!$F$2:$F$947,$B169,Objects!$I$2:$I$947,$C169)</f>
        <v/>
      </c>
      <c r="H169" s="5">
        <f>_xlfn.MAXIFS(Objects!$M$2:$M$947,Objects!$B$2:$B$947,$A169,Objects!$F$2:$F$947,$B169,Objects!$I$2:$I$947,$C169)</f>
        <v/>
      </c>
      <c r="I169" s="5">
        <f>IF(OR(C169="(none)",B169="raft",B169="sump_pit"),"n/a",IF(OR(B169="column",B169="shear_wall",B169="isolated_footing",B169="combined_footing"),IF(AND(F169-E169&lt;=3,H169-G169&lt;=3),"yes","no"),IF(H169-G169&lt;=3,"yes (thickness)","no (thickness)")))</f>
        <v/>
      </c>
      <c r="J169" s="6">
        <f>SUMIFS(Objects!$L$2:$L$947,Objects!$B$2:$B$947,$A169,Objects!$F$2:$F$947,$B169,Objects!$I$2:$I$947,$C169)/100</f>
        <v/>
      </c>
      <c r="K169" s="5">
        <f>COUNTIFS(Objects!$B$2:$B$947,$A169,Objects!$F$2:$F$947,$B169,Objects!$I$2:$I$947,$C169,Objects!$J$2:$J$947,"inferred*")</f>
        <v/>
      </c>
    </row>
    <row r="170">
      <c r="A170" s="5" t="inlineStr">
        <is>
          <t>128</t>
        </is>
      </c>
      <c r="B170" s="5" t="inlineStr">
        <is>
          <t>shear_wall</t>
        </is>
      </c>
      <c r="C170" s="5" t="inlineStr">
        <is>
          <t>V1/128</t>
        </is>
      </c>
      <c r="D170" s="5">
        <f>COUNTIFS(Objects!$B$2:$B$947,$A170,Objects!$F$2:$F$947,$B170,Objects!$I$2:$I$947,$C170)</f>
        <v/>
      </c>
      <c r="E170" s="5">
        <f>_xlfn.MINIFS(Objects!$L$2:$L$947,Objects!$B$2:$B$947,$A170,Objects!$F$2:$F$947,$B170,Objects!$I$2:$I$947,$C170)</f>
        <v/>
      </c>
      <c r="F170" s="5">
        <f>_xlfn.MAXIFS(Objects!$L$2:$L$947,Objects!$B$2:$B$947,$A170,Objects!$F$2:$F$947,$B170,Objects!$I$2:$I$947,$C170)</f>
        <v/>
      </c>
      <c r="G170" s="5">
        <f>_xlfn.MINIFS(Objects!$M$2:$M$947,Objects!$B$2:$B$947,$A170,Objects!$F$2:$F$947,$B170,Objects!$I$2:$I$947,$C170)</f>
        <v/>
      </c>
      <c r="H170" s="5">
        <f>_xlfn.MAXIFS(Objects!$M$2:$M$947,Objects!$B$2:$B$947,$A170,Objects!$F$2:$F$947,$B170,Objects!$I$2:$I$947,$C170)</f>
        <v/>
      </c>
      <c r="I170" s="5">
        <f>IF(OR(C170="(none)",B170="raft",B170="sump_pit"),"n/a",IF(OR(B170="column",B170="shear_wall",B170="isolated_footing",B170="combined_footing"),IF(AND(F170-E170&lt;=3,H170-G170&lt;=3),"yes","no"),IF(H170-G170&lt;=3,"yes (thickness)","no (thickness)")))</f>
        <v/>
      </c>
      <c r="J170" s="6">
        <f>SUMIFS(Objects!$L$2:$L$947,Objects!$B$2:$B$947,$A170,Objects!$F$2:$F$947,$B170,Objects!$I$2:$I$947,$C170)/100</f>
        <v/>
      </c>
      <c r="K170" s="5">
        <f>COUNTIFS(Objects!$B$2:$B$947,$A170,Objects!$F$2:$F$947,$B170,Objects!$I$2:$I$947,$C170,Objects!$J$2:$J$947,"inferred*")</f>
        <v/>
      </c>
    </row>
    <row r="171">
      <c r="A171" s="5" t="inlineStr">
        <is>
          <t>128</t>
        </is>
      </c>
      <c r="B171" s="5" t="inlineStr">
        <is>
          <t>shear_wall</t>
        </is>
      </c>
      <c r="C171" s="5" t="inlineStr">
        <is>
          <t>V3/128</t>
        </is>
      </c>
      <c r="D171" s="5">
        <f>COUNTIFS(Objects!$B$2:$B$947,$A171,Objects!$F$2:$F$947,$B171,Objects!$I$2:$I$947,$C171)</f>
        <v/>
      </c>
      <c r="E171" s="5">
        <f>_xlfn.MINIFS(Objects!$L$2:$L$947,Objects!$B$2:$B$947,$A171,Objects!$F$2:$F$947,$B171,Objects!$I$2:$I$947,$C171)</f>
        <v/>
      </c>
      <c r="F171" s="5">
        <f>_xlfn.MAXIFS(Objects!$L$2:$L$947,Objects!$B$2:$B$947,$A171,Objects!$F$2:$F$947,$B171,Objects!$I$2:$I$947,$C171)</f>
        <v/>
      </c>
      <c r="G171" s="5">
        <f>_xlfn.MINIFS(Objects!$M$2:$M$947,Objects!$B$2:$B$947,$A171,Objects!$F$2:$F$947,$B171,Objects!$I$2:$I$947,$C171)</f>
        <v/>
      </c>
      <c r="H171" s="5">
        <f>_xlfn.MAXIFS(Objects!$M$2:$M$947,Objects!$B$2:$B$947,$A171,Objects!$F$2:$F$947,$B171,Objects!$I$2:$I$947,$C171)</f>
        <v/>
      </c>
      <c r="I171" s="5">
        <f>IF(OR(C171="(none)",B171="raft",B171="sump_pit"),"n/a",IF(OR(B171="column",B171="shear_wall",B171="isolated_footing",B171="combined_footing"),IF(AND(F171-E171&lt;=3,H171-G171&lt;=3),"yes","no"),IF(H171-G171&lt;=3,"yes (thickness)","no (thickness)")))</f>
        <v/>
      </c>
      <c r="J171" s="6">
        <f>SUMIFS(Objects!$L$2:$L$947,Objects!$B$2:$B$947,$A171,Objects!$F$2:$F$947,$B171,Objects!$I$2:$I$947,$C171)/100</f>
        <v/>
      </c>
      <c r="K171" s="5">
        <f>COUNTIFS(Objects!$B$2:$B$947,$A171,Objects!$F$2:$F$947,$B171,Objects!$I$2:$I$947,$C171,Objects!$J$2:$J$947,"inferred*")</f>
        <v/>
      </c>
    </row>
    <row r="172">
      <c r="A172" s="5" t="inlineStr">
        <is>
          <t>128</t>
        </is>
      </c>
      <c r="B172" s="5" t="inlineStr">
        <is>
          <t>shear_wall</t>
        </is>
      </c>
      <c r="C172" s="5" t="inlineStr">
        <is>
          <t>V4/128</t>
        </is>
      </c>
      <c r="D172" s="5">
        <f>COUNTIFS(Objects!$B$2:$B$947,$A172,Objects!$F$2:$F$947,$B172,Objects!$I$2:$I$947,$C172)</f>
        <v/>
      </c>
      <c r="E172" s="5">
        <f>_xlfn.MINIFS(Objects!$L$2:$L$947,Objects!$B$2:$B$947,$A172,Objects!$F$2:$F$947,$B172,Objects!$I$2:$I$947,$C172)</f>
        <v/>
      </c>
      <c r="F172" s="5">
        <f>_xlfn.MAXIFS(Objects!$L$2:$L$947,Objects!$B$2:$B$947,$A172,Objects!$F$2:$F$947,$B172,Objects!$I$2:$I$947,$C172)</f>
        <v/>
      </c>
      <c r="G172" s="5">
        <f>_xlfn.MINIFS(Objects!$M$2:$M$947,Objects!$B$2:$B$947,$A172,Objects!$F$2:$F$947,$B172,Objects!$I$2:$I$947,$C172)</f>
        <v/>
      </c>
      <c r="H172" s="5">
        <f>_xlfn.MAXIFS(Objects!$M$2:$M$947,Objects!$B$2:$B$947,$A172,Objects!$F$2:$F$947,$B172,Objects!$I$2:$I$947,$C172)</f>
        <v/>
      </c>
      <c r="I172" s="5">
        <f>IF(OR(C172="(none)",B172="raft",B172="sump_pit"),"n/a",IF(OR(B172="column",B172="shear_wall",B172="isolated_footing",B172="combined_footing"),IF(AND(F172-E172&lt;=3,H172-G172&lt;=3),"yes","no"),IF(H172-G172&lt;=3,"yes (thickness)","no (thickness)")))</f>
        <v/>
      </c>
      <c r="J172" s="6">
        <f>SUMIFS(Objects!$L$2:$L$947,Objects!$B$2:$B$947,$A172,Objects!$F$2:$F$947,$B172,Objects!$I$2:$I$947,$C172)/100</f>
        <v/>
      </c>
      <c r="K172" s="5">
        <f>COUNTIFS(Objects!$B$2:$B$947,$A172,Objects!$F$2:$F$947,$B172,Objects!$I$2:$I$947,$C172,Objects!$J$2:$J$947,"inferred*")</f>
        <v/>
      </c>
    </row>
    <row r="173">
      <c r="A173" s="5" t="inlineStr">
        <is>
          <t>128</t>
        </is>
      </c>
      <c r="B173" s="5" t="inlineStr">
        <is>
          <t>shear_wall</t>
        </is>
      </c>
      <c r="C173" s="5" t="inlineStr">
        <is>
          <t>V5/128</t>
        </is>
      </c>
      <c r="D173" s="5">
        <f>COUNTIFS(Objects!$B$2:$B$947,$A173,Objects!$F$2:$F$947,$B173,Objects!$I$2:$I$947,$C173)</f>
        <v/>
      </c>
      <c r="E173" s="5">
        <f>_xlfn.MINIFS(Objects!$L$2:$L$947,Objects!$B$2:$B$947,$A173,Objects!$F$2:$F$947,$B173,Objects!$I$2:$I$947,$C173)</f>
        <v/>
      </c>
      <c r="F173" s="5">
        <f>_xlfn.MAXIFS(Objects!$L$2:$L$947,Objects!$B$2:$B$947,$A173,Objects!$F$2:$F$947,$B173,Objects!$I$2:$I$947,$C173)</f>
        <v/>
      </c>
      <c r="G173" s="5">
        <f>_xlfn.MINIFS(Objects!$M$2:$M$947,Objects!$B$2:$B$947,$A173,Objects!$F$2:$F$947,$B173,Objects!$I$2:$I$947,$C173)</f>
        <v/>
      </c>
      <c r="H173" s="5">
        <f>_xlfn.MAXIFS(Objects!$M$2:$M$947,Objects!$B$2:$B$947,$A173,Objects!$F$2:$F$947,$B173,Objects!$I$2:$I$947,$C173)</f>
        <v/>
      </c>
      <c r="I173" s="5">
        <f>IF(OR(C173="(none)",B173="raft",B173="sump_pit"),"n/a",IF(OR(B173="column",B173="shear_wall",B173="isolated_footing",B173="combined_footing"),IF(AND(F173-E173&lt;=3,H173-G173&lt;=3),"yes","no"),IF(H173-G173&lt;=3,"yes (thickness)","no (thickness)")))</f>
        <v/>
      </c>
      <c r="J173" s="6">
        <f>SUMIFS(Objects!$L$2:$L$947,Objects!$B$2:$B$947,$A173,Objects!$F$2:$F$947,$B173,Objects!$I$2:$I$947,$C173)/100</f>
        <v/>
      </c>
      <c r="K173" s="5">
        <f>COUNTIFS(Objects!$B$2:$B$947,$A173,Objects!$F$2:$F$947,$B173,Objects!$I$2:$I$947,$C173,Objects!$J$2:$J$947,"inferred*")</f>
        <v/>
      </c>
    </row>
    <row r="174">
      <c r="A174" s="5" t="inlineStr">
        <is>
          <t>128</t>
        </is>
      </c>
      <c r="B174" s="5" t="inlineStr">
        <is>
          <t>shear_wall</t>
        </is>
      </c>
      <c r="C174" s="5" t="inlineStr">
        <is>
          <t>V6/128</t>
        </is>
      </c>
      <c r="D174" s="5">
        <f>COUNTIFS(Objects!$B$2:$B$947,$A174,Objects!$F$2:$F$947,$B174,Objects!$I$2:$I$947,$C174)</f>
        <v/>
      </c>
      <c r="E174" s="5">
        <f>_xlfn.MINIFS(Objects!$L$2:$L$947,Objects!$B$2:$B$947,$A174,Objects!$F$2:$F$947,$B174,Objects!$I$2:$I$947,$C174)</f>
        <v/>
      </c>
      <c r="F174" s="5">
        <f>_xlfn.MAXIFS(Objects!$L$2:$L$947,Objects!$B$2:$B$947,$A174,Objects!$F$2:$F$947,$B174,Objects!$I$2:$I$947,$C174)</f>
        <v/>
      </c>
      <c r="G174" s="5">
        <f>_xlfn.MINIFS(Objects!$M$2:$M$947,Objects!$B$2:$B$947,$A174,Objects!$F$2:$F$947,$B174,Objects!$I$2:$I$947,$C174)</f>
        <v/>
      </c>
      <c r="H174" s="5">
        <f>_xlfn.MAXIFS(Objects!$M$2:$M$947,Objects!$B$2:$B$947,$A174,Objects!$F$2:$F$947,$B174,Objects!$I$2:$I$947,$C174)</f>
        <v/>
      </c>
      <c r="I174" s="5">
        <f>IF(OR(C174="(none)",B174="raft",B174="sump_pit"),"n/a",IF(OR(B174="column",B174="shear_wall",B174="isolated_footing",B174="combined_footing"),IF(AND(F174-E174&lt;=3,H174-G174&lt;=3),"yes","no"),IF(H174-G174&lt;=3,"yes (thickness)","no (thickness)")))</f>
        <v/>
      </c>
      <c r="J174" s="6">
        <f>SUMIFS(Objects!$L$2:$L$947,Objects!$B$2:$B$947,$A174,Objects!$F$2:$F$947,$B174,Objects!$I$2:$I$947,$C174)/100</f>
        <v/>
      </c>
      <c r="K174" s="5">
        <f>COUNTIFS(Objects!$B$2:$B$947,$A174,Objects!$F$2:$F$947,$B174,Objects!$I$2:$I$947,$C174,Objects!$J$2:$J$947,"inferred*")</f>
        <v/>
      </c>
    </row>
    <row r="175">
      <c r="A175" s="5" t="inlineStr">
        <is>
          <t>128</t>
        </is>
      </c>
      <c r="B175" s="5" t="inlineStr">
        <is>
          <t>shear_wall</t>
        </is>
      </c>
      <c r="C175" s="5" t="inlineStr">
        <is>
          <t>V7/128</t>
        </is>
      </c>
      <c r="D175" s="5">
        <f>COUNTIFS(Objects!$B$2:$B$947,$A175,Objects!$F$2:$F$947,$B175,Objects!$I$2:$I$947,$C175)</f>
        <v/>
      </c>
      <c r="E175" s="5">
        <f>_xlfn.MINIFS(Objects!$L$2:$L$947,Objects!$B$2:$B$947,$A175,Objects!$F$2:$F$947,$B175,Objects!$I$2:$I$947,$C175)</f>
        <v/>
      </c>
      <c r="F175" s="5">
        <f>_xlfn.MAXIFS(Objects!$L$2:$L$947,Objects!$B$2:$B$947,$A175,Objects!$F$2:$F$947,$B175,Objects!$I$2:$I$947,$C175)</f>
        <v/>
      </c>
      <c r="G175" s="5">
        <f>_xlfn.MINIFS(Objects!$M$2:$M$947,Objects!$B$2:$B$947,$A175,Objects!$F$2:$F$947,$B175,Objects!$I$2:$I$947,$C175)</f>
        <v/>
      </c>
      <c r="H175" s="5">
        <f>_xlfn.MAXIFS(Objects!$M$2:$M$947,Objects!$B$2:$B$947,$A175,Objects!$F$2:$F$947,$B175,Objects!$I$2:$I$947,$C175)</f>
        <v/>
      </c>
      <c r="I175" s="5">
        <f>IF(OR(C175="(none)",B175="raft",B175="sump_pit"),"n/a",IF(OR(B175="column",B175="shear_wall",B175="isolated_footing",B175="combined_footing"),IF(AND(F175-E175&lt;=3,H175-G175&lt;=3),"yes","no"),IF(H175-G175&lt;=3,"yes (thickness)","no (thickness)")))</f>
        <v/>
      </c>
      <c r="J175" s="6">
        <f>SUMIFS(Objects!$L$2:$L$947,Objects!$B$2:$B$947,$A175,Objects!$F$2:$F$947,$B175,Objects!$I$2:$I$947,$C175)/100</f>
        <v/>
      </c>
      <c r="K175" s="5">
        <f>COUNTIFS(Objects!$B$2:$B$947,$A175,Objects!$F$2:$F$947,$B175,Objects!$I$2:$I$947,$C175,Objects!$J$2:$J$947,"inferred*")</f>
        <v/>
      </c>
    </row>
    <row r="176">
      <c r="A176" s="5" t="inlineStr">
        <is>
          <t>128</t>
        </is>
      </c>
      <c r="B176" s="5" t="inlineStr">
        <is>
          <t>shear_wall</t>
        </is>
      </c>
      <c r="C176" s="5" t="inlineStr">
        <is>
          <t>V9/128</t>
        </is>
      </c>
      <c r="D176" s="5">
        <f>COUNTIFS(Objects!$B$2:$B$947,$A176,Objects!$F$2:$F$947,$B176,Objects!$I$2:$I$947,$C176)</f>
        <v/>
      </c>
      <c r="E176" s="5">
        <f>_xlfn.MINIFS(Objects!$L$2:$L$947,Objects!$B$2:$B$947,$A176,Objects!$F$2:$F$947,$B176,Objects!$I$2:$I$947,$C176)</f>
        <v/>
      </c>
      <c r="F176" s="5">
        <f>_xlfn.MAXIFS(Objects!$L$2:$L$947,Objects!$B$2:$B$947,$A176,Objects!$F$2:$F$947,$B176,Objects!$I$2:$I$947,$C176)</f>
        <v/>
      </c>
      <c r="G176" s="5">
        <f>_xlfn.MINIFS(Objects!$M$2:$M$947,Objects!$B$2:$B$947,$A176,Objects!$F$2:$F$947,$B176,Objects!$I$2:$I$947,$C176)</f>
        <v/>
      </c>
      <c r="H176" s="5">
        <f>_xlfn.MAXIFS(Objects!$M$2:$M$947,Objects!$B$2:$B$947,$A176,Objects!$F$2:$F$947,$B176,Objects!$I$2:$I$947,$C176)</f>
        <v/>
      </c>
      <c r="I176" s="5">
        <f>IF(OR(C176="(none)",B176="raft",B176="sump_pit"),"n/a",IF(OR(B176="column",B176="shear_wall",B176="isolated_footing",B176="combined_footing"),IF(AND(F176-E176&lt;=3,H176-G176&lt;=3),"yes","no"),IF(H176-G176&lt;=3,"yes (thickness)","no (thickness)")))</f>
        <v/>
      </c>
      <c r="J176" s="6">
        <f>SUMIFS(Objects!$L$2:$L$947,Objects!$B$2:$B$947,$A176,Objects!$F$2:$F$947,$B176,Objects!$I$2:$I$947,$C176)/100</f>
        <v/>
      </c>
      <c r="K176" s="5">
        <f>COUNTIFS(Objects!$B$2:$B$947,$A176,Objects!$F$2:$F$947,$B176,Objects!$I$2:$I$947,$C176,Objects!$J$2:$J$947,"inferred*")</f>
        <v/>
      </c>
    </row>
    <row r="177">
      <c r="A177" s="5" t="inlineStr">
        <is>
          <t>128</t>
        </is>
      </c>
      <c r="B177" s="5" t="inlineStr">
        <is>
          <t>core_wall</t>
        </is>
      </c>
      <c r="C177" s="5" t="inlineStr">
        <is>
          <t>(none)</t>
        </is>
      </c>
      <c r="D177" s="5">
        <f>COUNTIFS(Objects!$B$2:$B$947,$A177,Objects!$F$2:$F$947,$B177,Objects!$I$2:$I$947,$C177)</f>
        <v/>
      </c>
      <c r="E177" s="5">
        <f>_xlfn.MINIFS(Objects!$L$2:$L$947,Objects!$B$2:$B$947,$A177,Objects!$F$2:$F$947,$B177,Objects!$I$2:$I$947,$C177)</f>
        <v/>
      </c>
      <c r="F177" s="5">
        <f>_xlfn.MAXIFS(Objects!$L$2:$L$947,Objects!$B$2:$B$947,$A177,Objects!$F$2:$F$947,$B177,Objects!$I$2:$I$947,$C177)</f>
        <v/>
      </c>
      <c r="G177" s="5">
        <f>_xlfn.MINIFS(Objects!$M$2:$M$947,Objects!$B$2:$B$947,$A177,Objects!$F$2:$F$947,$B177,Objects!$I$2:$I$947,$C177)</f>
        <v/>
      </c>
      <c r="H177" s="5">
        <f>_xlfn.MAXIFS(Objects!$M$2:$M$947,Objects!$B$2:$B$947,$A177,Objects!$F$2:$F$947,$B177,Objects!$I$2:$I$947,$C177)</f>
        <v/>
      </c>
      <c r="I177" s="5">
        <f>IF(OR(C177="(none)",B177="raft",B177="sump_pit"),"n/a",IF(OR(B177="column",B177="shear_wall",B177="isolated_footing",B177="combined_footing"),IF(AND(F177-E177&lt;=3,H177-G177&lt;=3),"yes","no"),IF(H177-G177&lt;=3,"yes (thickness)","no (thickness)")))</f>
        <v/>
      </c>
      <c r="J177" s="6">
        <f>SUMIFS(Objects!$L$2:$L$947,Objects!$B$2:$B$947,$A177,Objects!$F$2:$F$947,$B177,Objects!$I$2:$I$947,$C177)/100</f>
        <v/>
      </c>
      <c r="K177" s="5">
        <f>COUNTIFS(Objects!$B$2:$B$947,$A177,Objects!$F$2:$F$947,$B177,Objects!$I$2:$I$947,$C177,Objects!$J$2:$J$947,"inferred*")</f>
        <v/>
      </c>
    </row>
    <row r="178">
      <c r="A178" s="5" t="inlineStr">
        <is>
          <t>128</t>
        </is>
      </c>
      <c r="B178" s="5" t="inlineStr">
        <is>
          <t>retaining_wall</t>
        </is>
      </c>
      <c r="C178" s="5" t="inlineStr">
        <is>
          <t>(none)</t>
        </is>
      </c>
      <c r="D178" s="5">
        <f>COUNTIFS(Objects!$B$2:$B$947,$A178,Objects!$F$2:$F$947,$B178,Objects!$I$2:$I$947,$C178)</f>
        <v/>
      </c>
      <c r="E178" s="5">
        <f>_xlfn.MINIFS(Objects!$L$2:$L$947,Objects!$B$2:$B$947,$A178,Objects!$F$2:$F$947,$B178,Objects!$I$2:$I$947,$C178)</f>
        <v/>
      </c>
      <c r="F178" s="5">
        <f>_xlfn.MAXIFS(Objects!$L$2:$L$947,Objects!$B$2:$B$947,$A178,Objects!$F$2:$F$947,$B178,Objects!$I$2:$I$947,$C178)</f>
        <v/>
      </c>
      <c r="G178" s="5">
        <f>_xlfn.MINIFS(Objects!$M$2:$M$947,Objects!$B$2:$B$947,$A178,Objects!$F$2:$F$947,$B178,Objects!$I$2:$I$947,$C178)</f>
        <v/>
      </c>
      <c r="H178" s="5">
        <f>_xlfn.MAXIFS(Objects!$M$2:$M$947,Objects!$B$2:$B$947,$A178,Objects!$F$2:$F$947,$B178,Objects!$I$2:$I$947,$C178)</f>
        <v/>
      </c>
      <c r="I178" s="5">
        <f>IF(OR(C178="(none)",B178="raft",B178="sump_pit"),"n/a",IF(OR(B178="column",B178="shear_wall",B178="isolated_footing",B178="combined_footing"),IF(AND(F178-E178&lt;=3,H178-G178&lt;=3),"yes","no"),IF(H178-G178&lt;=3,"yes (thickness)","no (thickness)")))</f>
        <v/>
      </c>
      <c r="J178" s="6">
        <f>SUMIFS(Objects!$L$2:$L$947,Objects!$B$2:$B$947,$A178,Objects!$F$2:$F$947,$B178,Objects!$I$2:$I$947,$C178)/100</f>
        <v/>
      </c>
      <c r="K178" s="5">
        <f>COUNTIFS(Objects!$B$2:$B$947,$A178,Objects!$F$2:$F$947,$B178,Objects!$I$2:$I$947,$C178,Objects!$J$2:$J$947,"inferred*")</f>
        <v/>
      </c>
    </row>
    <row r="179">
      <c r="A179" s="5" t="inlineStr">
        <is>
          <t>128</t>
        </is>
      </c>
      <c r="B179" s="5" t="inlineStr">
        <is>
          <t>retaining_wall</t>
        </is>
      </c>
      <c r="C179" s="5" t="inlineStr">
        <is>
          <t>VP20</t>
        </is>
      </c>
      <c r="D179" s="5">
        <f>COUNTIFS(Objects!$B$2:$B$947,$A179,Objects!$F$2:$F$947,$B179,Objects!$I$2:$I$947,$C179)</f>
        <v/>
      </c>
      <c r="E179" s="5">
        <f>_xlfn.MINIFS(Objects!$L$2:$L$947,Objects!$B$2:$B$947,$A179,Objects!$F$2:$F$947,$B179,Objects!$I$2:$I$947,$C179)</f>
        <v/>
      </c>
      <c r="F179" s="5">
        <f>_xlfn.MAXIFS(Objects!$L$2:$L$947,Objects!$B$2:$B$947,$A179,Objects!$F$2:$F$947,$B179,Objects!$I$2:$I$947,$C179)</f>
        <v/>
      </c>
      <c r="G179" s="5">
        <f>_xlfn.MINIFS(Objects!$M$2:$M$947,Objects!$B$2:$B$947,$A179,Objects!$F$2:$F$947,$B179,Objects!$I$2:$I$947,$C179)</f>
        <v/>
      </c>
      <c r="H179" s="5">
        <f>_xlfn.MAXIFS(Objects!$M$2:$M$947,Objects!$B$2:$B$947,$A179,Objects!$F$2:$F$947,$B179,Objects!$I$2:$I$947,$C179)</f>
        <v/>
      </c>
      <c r="I179" s="5">
        <f>IF(OR(C179="(none)",B179="raft",B179="sump_pit"),"n/a",IF(OR(B179="column",B179="shear_wall",B179="isolated_footing",B179="combined_footing"),IF(AND(F179-E179&lt;=3,H179-G179&lt;=3),"yes","no"),IF(H179-G179&lt;=3,"yes (thickness)","no (thickness)")))</f>
        <v/>
      </c>
      <c r="J179" s="6">
        <f>SUMIFS(Objects!$L$2:$L$947,Objects!$B$2:$B$947,$A179,Objects!$F$2:$F$947,$B179,Objects!$I$2:$I$947,$C179)/100</f>
        <v/>
      </c>
      <c r="K179" s="5">
        <f>COUNTIFS(Objects!$B$2:$B$947,$A179,Objects!$F$2:$F$947,$B179,Objects!$I$2:$I$947,$C179,Objects!$J$2:$J$947,"inferred*")</f>
        <v/>
      </c>
    </row>
    <row r="180">
      <c r="A180" s="5" t="inlineStr">
        <is>
          <t>128</t>
        </is>
      </c>
      <c r="B180" s="5" t="inlineStr">
        <is>
          <t>isolated_footing</t>
        </is>
      </c>
      <c r="C180" s="5" t="inlineStr">
        <is>
          <t>S11</t>
        </is>
      </c>
      <c r="D180" s="5">
        <f>COUNTIFS(Objects!$B$2:$B$947,$A180,Objects!$F$2:$F$947,$B180,Objects!$I$2:$I$947,$C180)</f>
        <v/>
      </c>
      <c r="E180" s="5">
        <f>_xlfn.MINIFS(Objects!$L$2:$L$947,Objects!$B$2:$B$947,$A180,Objects!$F$2:$F$947,$B180,Objects!$I$2:$I$947,$C180)</f>
        <v/>
      </c>
      <c r="F180" s="5">
        <f>_xlfn.MAXIFS(Objects!$L$2:$L$947,Objects!$B$2:$B$947,$A180,Objects!$F$2:$F$947,$B180,Objects!$I$2:$I$947,$C180)</f>
        <v/>
      </c>
      <c r="G180" s="5">
        <f>_xlfn.MINIFS(Objects!$M$2:$M$947,Objects!$B$2:$B$947,$A180,Objects!$F$2:$F$947,$B180,Objects!$I$2:$I$947,$C180)</f>
        <v/>
      </c>
      <c r="H180" s="5">
        <f>_xlfn.MAXIFS(Objects!$M$2:$M$947,Objects!$B$2:$B$947,$A180,Objects!$F$2:$F$947,$B180,Objects!$I$2:$I$947,$C180)</f>
        <v/>
      </c>
      <c r="I180" s="5">
        <f>IF(OR(C180="(none)",B180="raft",B180="sump_pit"),"n/a",IF(OR(B180="column",B180="shear_wall",B180="isolated_footing",B180="combined_footing"),IF(AND(F180-E180&lt;=3,H180-G180&lt;=3),"yes","no"),IF(H180-G180&lt;=3,"yes (thickness)","no (thickness)")))</f>
        <v/>
      </c>
      <c r="J180" s="6">
        <f>SUMIFS(Objects!$L$2:$L$947,Objects!$B$2:$B$947,$A180,Objects!$F$2:$F$947,$B180,Objects!$I$2:$I$947,$C180)/100</f>
        <v/>
      </c>
      <c r="K180" s="5">
        <f>COUNTIFS(Objects!$B$2:$B$947,$A180,Objects!$F$2:$F$947,$B180,Objects!$I$2:$I$947,$C180,Objects!$J$2:$J$947,"inferred*")</f>
        <v/>
      </c>
    </row>
    <row r="181">
      <c r="A181" s="5" t="inlineStr">
        <is>
          <t>128</t>
        </is>
      </c>
      <c r="B181" s="5" t="inlineStr">
        <is>
          <t>isolated_footing</t>
        </is>
      </c>
      <c r="C181" s="5" t="inlineStr">
        <is>
          <t>S2</t>
        </is>
      </c>
      <c r="D181" s="5">
        <f>COUNTIFS(Objects!$B$2:$B$947,$A181,Objects!$F$2:$F$947,$B181,Objects!$I$2:$I$947,$C181)</f>
        <v/>
      </c>
      <c r="E181" s="5">
        <f>_xlfn.MINIFS(Objects!$L$2:$L$947,Objects!$B$2:$B$947,$A181,Objects!$F$2:$F$947,$B181,Objects!$I$2:$I$947,$C181)</f>
        <v/>
      </c>
      <c r="F181" s="5">
        <f>_xlfn.MAXIFS(Objects!$L$2:$L$947,Objects!$B$2:$B$947,$A181,Objects!$F$2:$F$947,$B181,Objects!$I$2:$I$947,$C181)</f>
        <v/>
      </c>
      <c r="G181" s="5">
        <f>_xlfn.MINIFS(Objects!$M$2:$M$947,Objects!$B$2:$B$947,$A181,Objects!$F$2:$F$947,$B181,Objects!$I$2:$I$947,$C181)</f>
        <v/>
      </c>
      <c r="H181" s="5">
        <f>_xlfn.MAXIFS(Objects!$M$2:$M$947,Objects!$B$2:$B$947,$A181,Objects!$F$2:$F$947,$B181,Objects!$I$2:$I$947,$C181)</f>
        <v/>
      </c>
      <c r="I181" s="5">
        <f>IF(OR(C181="(none)",B181="raft",B181="sump_pit"),"n/a",IF(OR(B181="column",B181="shear_wall",B181="isolated_footing",B181="combined_footing"),IF(AND(F181-E181&lt;=3,H181-G181&lt;=3),"yes","no"),IF(H181-G181&lt;=3,"yes (thickness)","no (thickness)")))</f>
        <v/>
      </c>
      <c r="J181" s="6">
        <f>SUMIFS(Objects!$L$2:$L$947,Objects!$B$2:$B$947,$A181,Objects!$F$2:$F$947,$B181,Objects!$I$2:$I$947,$C181)/100</f>
        <v/>
      </c>
      <c r="K181" s="5">
        <f>COUNTIFS(Objects!$B$2:$B$947,$A181,Objects!$F$2:$F$947,$B181,Objects!$I$2:$I$947,$C181,Objects!$J$2:$J$947,"inferred*")</f>
        <v/>
      </c>
    </row>
    <row r="182">
      <c r="A182" s="5" t="inlineStr">
        <is>
          <t>128</t>
        </is>
      </c>
      <c r="B182" s="5" t="inlineStr">
        <is>
          <t>isolated_footing</t>
        </is>
      </c>
      <c r="C182" s="5" t="inlineStr">
        <is>
          <t>S5</t>
        </is>
      </c>
      <c r="D182" s="5">
        <f>COUNTIFS(Objects!$B$2:$B$947,$A182,Objects!$F$2:$F$947,$B182,Objects!$I$2:$I$947,$C182)</f>
        <v/>
      </c>
      <c r="E182" s="5">
        <f>_xlfn.MINIFS(Objects!$L$2:$L$947,Objects!$B$2:$B$947,$A182,Objects!$F$2:$F$947,$B182,Objects!$I$2:$I$947,$C182)</f>
        <v/>
      </c>
      <c r="F182" s="5">
        <f>_xlfn.MAXIFS(Objects!$L$2:$L$947,Objects!$B$2:$B$947,$A182,Objects!$F$2:$F$947,$B182,Objects!$I$2:$I$947,$C182)</f>
        <v/>
      </c>
      <c r="G182" s="5">
        <f>_xlfn.MINIFS(Objects!$M$2:$M$947,Objects!$B$2:$B$947,$A182,Objects!$F$2:$F$947,$B182,Objects!$I$2:$I$947,$C182)</f>
        <v/>
      </c>
      <c r="H182" s="5">
        <f>_xlfn.MAXIFS(Objects!$M$2:$M$947,Objects!$B$2:$B$947,$A182,Objects!$F$2:$F$947,$B182,Objects!$I$2:$I$947,$C182)</f>
        <v/>
      </c>
      <c r="I182" s="5">
        <f>IF(OR(C182="(none)",B182="raft",B182="sump_pit"),"n/a",IF(OR(B182="column",B182="shear_wall",B182="isolated_footing",B182="combined_footing"),IF(AND(F182-E182&lt;=3,H182-G182&lt;=3),"yes","no"),IF(H182-G182&lt;=3,"yes (thickness)","no (thickness)")))</f>
        <v/>
      </c>
      <c r="J182" s="6">
        <f>SUMIFS(Objects!$L$2:$L$947,Objects!$B$2:$B$947,$A182,Objects!$F$2:$F$947,$B182,Objects!$I$2:$I$947,$C182)/100</f>
        <v/>
      </c>
      <c r="K182" s="5">
        <f>COUNTIFS(Objects!$B$2:$B$947,$A182,Objects!$F$2:$F$947,$B182,Objects!$I$2:$I$947,$C182,Objects!$J$2:$J$947,"inferred*")</f>
        <v/>
      </c>
    </row>
    <row r="183">
      <c r="A183" s="5" t="inlineStr">
        <is>
          <t>128</t>
        </is>
      </c>
      <c r="B183" s="5" t="inlineStr">
        <is>
          <t>combined_footing</t>
        </is>
      </c>
      <c r="C183" s="5" t="inlineStr">
        <is>
          <t>SC1</t>
        </is>
      </c>
      <c r="D183" s="5">
        <f>COUNTIFS(Objects!$B$2:$B$947,$A183,Objects!$F$2:$F$947,$B183,Objects!$I$2:$I$947,$C183)</f>
        <v/>
      </c>
      <c r="E183" s="5">
        <f>_xlfn.MINIFS(Objects!$L$2:$L$947,Objects!$B$2:$B$947,$A183,Objects!$F$2:$F$947,$B183,Objects!$I$2:$I$947,$C183)</f>
        <v/>
      </c>
      <c r="F183" s="5">
        <f>_xlfn.MAXIFS(Objects!$L$2:$L$947,Objects!$B$2:$B$947,$A183,Objects!$F$2:$F$947,$B183,Objects!$I$2:$I$947,$C183)</f>
        <v/>
      </c>
      <c r="G183" s="5">
        <f>_xlfn.MINIFS(Objects!$M$2:$M$947,Objects!$B$2:$B$947,$A183,Objects!$F$2:$F$947,$B183,Objects!$I$2:$I$947,$C183)</f>
        <v/>
      </c>
      <c r="H183" s="5">
        <f>_xlfn.MAXIFS(Objects!$M$2:$M$947,Objects!$B$2:$B$947,$A183,Objects!$F$2:$F$947,$B183,Objects!$I$2:$I$947,$C183)</f>
        <v/>
      </c>
      <c r="I183" s="5">
        <f>IF(OR(C183="(none)",B183="raft",B183="sump_pit"),"n/a",IF(OR(B183="column",B183="shear_wall",B183="isolated_footing",B183="combined_footing"),IF(AND(F183-E183&lt;=3,H183-G183&lt;=3),"yes","no"),IF(H183-G183&lt;=3,"yes (thickness)","no (thickness)")))</f>
        <v/>
      </c>
      <c r="J183" s="6">
        <f>SUMIFS(Objects!$L$2:$L$947,Objects!$B$2:$B$947,$A183,Objects!$F$2:$F$947,$B183,Objects!$I$2:$I$947,$C183)/100</f>
        <v/>
      </c>
      <c r="K183" s="5">
        <f>COUNTIFS(Objects!$B$2:$B$947,$A183,Objects!$F$2:$F$947,$B183,Objects!$I$2:$I$947,$C183,Objects!$J$2:$J$947,"inferred*")</f>
        <v/>
      </c>
    </row>
    <row r="184">
      <c r="A184" s="5" t="inlineStr">
        <is>
          <t>128</t>
        </is>
      </c>
      <c r="B184" s="5" t="inlineStr">
        <is>
          <t>combined_footing</t>
        </is>
      </c>
      <c r="C184" s="5" t="inlineStr">
        <is>
          <t>SC3</t>
        </is>
      </c>
      <c r="D184" s="5">
        <f>COUNTIFS(Objects!$B$2:$B$947,$A184,Objects!$F$2:$F$947,$B184,Objects!$I$2:$I$947,$C184)</f>
        <v/>
      </c>
      <c r="E184" s="5">
        <f>_xlfn.MINIFS(Objects!$L$2:$L$947,Objects!$B$2:$B$947,$A184,Objects!$F$2:$F$947,$B184,Objects!$I$2:$I$947,$C184)</f>
        <v/>
      </c>
      <c r="F184" s="5">
        <f>_xlfn.MAXIFS(Objects!$L$2:$L$947,Objects!$B$2:$B$947,$A184,Objects!$F$2:$F$947,$B184,Objects!$I$2:$I$947,$C184)</f>
        <v/>
      </c>
      <c r="G184" s="5">
        <f>_xlfn.MINIFS(Objects!$M$2:$M$947,Objects!$B$2:$B$947,$A184,Objects!$F$2:$F$947,$B184,Objects!$I$2:$I$947,$C184)</f>
        <v/>
      </c>
      <c r="H184" s="5">
        <f>_xlfn.MAXIFS(Objects!$M$2:$M$947,Objects!$B$2:$B$947,$A184,Objects!$F$2:$F$947,$B184,Objects!$I$2:$I$947,$C184)</f>
        <v/>
      </c>
      <c r="I184" s="5">
        <f>IF(OR(C184="(none)",B184="raft",B184="sump_pit"),"n/a",IF(OR(B184="column",B184="shear_wall",B184="isolated_footing",B184="combined_footing"),IF(AND(F184-E184&lt;=3,H184-G184&lt;=3),"yes","no"),IF(H184-G184&lt;=3,"yes (thickness)","no (thickness)")))</f>
        <v/>
      </c>
      <c r="J184" s="6">
        <f>SUMIFS(Objects!$L$2:$L$947,Objects!$B$2:$B$947,$A184,Objects!$F$2:$F$947,$B184,Objects!$I$2:$I$947,$C184)/100</f>
        <v/>
      </c>
      <c r="K184" s="5">
        <f>COUNTIFS(Objects!$B$2:$B$947,$A184,Objects!$F$2:$F$947,$B184,Objects!$I$2:$I$947,$C184,Objects!$J$2:$J$947,"inferred*")</f>
        <v/>
      </c>
    </row>
    <row r="185">
      <c r="A185" s="5" t="inlineStr">
        <is>
          <t>128</t>
        </is>
      </c>
      <c r="B185" s="5" t="inlineStr">
        <is>
          <t>strip_footing</t>
        </is>
      </c>
      <c r="C185" s="5" t="inlineStr">
        <is>
          <t>(none)</t>
        </is>
      </c>
      <c r="D185" s="5">
        <f>COUNTIFS(Objects!$B$2:$B$947,$A185,Objects!$F$2:$F$947,$B185,Objects!$I$2:$I$947,$C185)</f>
        <v/>
      </c>
      <c r="E185" s="5">
        <f>_xlfn.MINIFS(Objects!$L$2:$L$947,Objects!$B$2:$B$947,$A185,Objects!$F$2:$F$947,$B185,Objects!$I$2:$I$947,$C185)</f>
        <v/>
      </c>
      <c r="F185" s="5">
        <f>_xlfn.MAXIFS(Objects!$L$2:$L$947,Objects!$B$2:$B$947,$A185,Objects!$F$2:$F$947,$B185,Objects!$I$2:$I$947,$C185)</f>
        <v/>
      </c>
      <c r="G185" s="5">
        <f>_xlfn.MINIFS(Objects!$M$2:$M$947,Objects!$B$2:$B$947,$A185,Objects!$F$2:$F$947,$B185,Objects!$I$2:$I$947,$C185)</f>
        <v/>
      </c>
      <c r="H185" s="5">
        <f>_xlfn.MAXIFS(Objects!$M$2:$M$947,Objects!$B$2:$B$947,$A185,Objects!$F$2:$F$947,$B185,Objects!$I$2:$I$947,$C185)</f>
        <v/>
      </c>
      <c r="I185" s="5">
        <f>IF(OR(C185="(none)",B185="raft",B185="sump_pit"),"n/a",IF(OR(B185="column",B185="shear_wall",B185="isolated_footing",B185="combined_footing"),IF(AND(F185-E185&lt;=3,H185-G185&lt;=3),"yes","no"),IF(H185-G185&lt;=3,"yes (thickness)","no (thickness)")))</f>
        <v/>
      </c>
      <c r="J185" s="6">
        <f>SUMIFS(Objects!$L$2:$L$947,Objects!$B$2:$B$947,$A185,Objects!$F$2:$F$947,$B185,Objects!$I$2:$I$947,$C185)/100</f>
        <v/>
      </c>
      <c r="K185" s="5">
        <f>COUNTIFS(Objects!$B$2:$B$947,$A185,Objects!$F$2:$F$947,$B185,Objects!$I$2:$I$947,$C185,Objects!$J$2:$J$947,"inferred*")</f>
        <v/>
      </c>
    </row>
    <row r="186">
      <c r="A186" s="5" t="inlineStr">
        <is>
          <t>128</t>
        </is>
      </c>
      <c r="B186" s="5" t="inlineStr">
        <is>
          <t>strip_footing</t>
        </is>
      </c>
      <c r="C186" s="5" t="inlineStr">
        <is>
          <t>SF1</t>
        </is>
      </c>
      <c r="D186" s="5">
        <f>COUNTIFS(Objects!$B$2:$B$947,$A186,Objects!$F$2:$F$947,$B186,Objects!$I$2:$I$947,$C186)</f>
        <v/>
      </c>
      <c r="E186" s="5">
        <f>_xlfn.MINIFS(Objects!$L$2:$L$947,Objects!$B$2:$B$947,$A186,Objects!$F$2:$F$947,$B186,Objects!$I$2:$I$947,$C186)</f>
        <v/>
      </c>
      <c r="F186" s="5">
        <f>_xlfn.MAXIFS(Objects!$L$2:$L$947,Objects!$B$2:$B$947,$A186,Objects!$F$2:$F$947,$B186,Objects!$I$2:$I$947,$C186)</f>
        <v/>
      </c>
      <c r="G186" s="5">
        <f>_xlfn.MINIFS(Objects!$M$2:$M$947,Objects!$B$2:$B$947,$A186,Objects!$F$2:$F$947,$B186,Objects!$I$2:$I$947,$C186)</f>
        <v/>
      </c>
      <c r="H186" s="5">
        <f>_xlfn.MAXIFS(Objects!$M$2:$M$947,Objects!$B$2:$B$947,$A186,Objects!$F$2:$F$947,$B186,Objects!$I$2:$I$947,$C186)</f>
        <v/>
      </c>
      <c r="I186" s="5">
        <f>IF(OR(C186="(none)",B186="raft",B186="sump_pit"),"n/a",IF(OR(B186="column",B186="shear_wall",B186="isolated_footing",B186="combined_footing"),IF(AND(F186-E186&lt;=3,H186-G186&lt;=3),"yes","no"),IF(H186-G186&lt;=3,"yes (thickness)","no (thickness)")))</f>
        <v/>
      </c>
      <c r="J186" s="6">
        <f>SUMIFS(Objects!$L$2:$L$947,Objects!$B$2:$B$947,$A186,Objects!$F$2:$F$947,$B186,Objects!$I$2:$I$947,$C186)/100</f>
        <v/>
      </c>
      <c r="K186" s="5">
        <f>COUNTIFS(Objects!$B$2:$B$947,$A186,Objects!$F$2:$F$947,$B186,Objects!$I$2:$I$947,$C186,Objects!$J$2:$J$947,"inferred*")</f>
        <v/>
      </c>
    </row>
    <row r="187">
      <c r="A187" s="5" t="inlineStr">
        <is>
          <t>128</t>
        </is>
      </c>
      <c r="B187" s="5" t="inlineStr">
        <is>
          <t>grade_beam</t>
        </is>
      </c>
      <c r="C187" s="5" t="inlineStr">
        <is>
          <t>LG25x40</t>
        </is>
      </c>
      <c r="D187" s="5">
        <f>COUNTIFS(Objects!$B$2:$B$947,$A187,Objects!$F$2:$F$947,$B187,Objects!$I$2:$I$947,$C187)</f>
        <v/>
      </c>
      <c r="E187" s="5">
        <f>_xlfn.MINIFS(Objects!$L$2:$L$947,Objects!$B$2:$B$947,$A187,Objects!$F$2:$F$947,$B187,Objects!$I$2:$I$947,$C187)</f>
        <v/>
      </c>
      <c r="F187" s="5">
        <f>_xlfn.MAXIFS(Objects!$L$2:$L$947,Objects!$B$2:$B$947,$A187,Objects!$F$2:$F$947,$B187,Objects!$I$2:$I$947,$C187)</f>
        <v/>
      </c>
      <c r="G187" s="5">
        <f>_xlfn.MINIFS(Objects!$M$2:$M$947,Objects!$B$2:$B$947,$A187,Objects!$F$2:$F$947,$B187,Objects!$I$2:$I$947,$C187)</f>
        <v/>
      </c>
      <c r="H187" s="5">
        <f>_xlfn.MAXIFS(Objects!$M$2:$M$947,Objects!$B$2:$B$947,$A187,Objects!$F$2:$F$947,$B187,Objects!$I$2:$I$947,$C187)</f>
        <v/>
      </c>
      <c r="I187" s="5">
        <f>IF(OR(C187="(none)",B187="raft",B187="sump_pit"),"n/a",IF(OR(B187="column",B187="shear_wall",B187="isolated_footing",B187="combined_footing"),IF(AND(F187-E187&lt;=3,H187-G187&lt;=3),"yes","no"),IF(H187-G187&lt;=3,"yes (thickness)","no (thickness)")))</f>
        <v/>
      </c>
      <c r="J187" s="6">
        <f>SUMIFS(Objects!$L$2:$L$947,Objects!$B$2:$B$947,$A187,Objects!$F$2:$F$947,$B187,Objects!$I$2:$I$947,$C187)/100</f>
        <v/>
      </c>
      <c r="K187" s="5">
        <f>COUNTIFS(Objects!$B$2:$B$947,$A187,Objects!$F$2:$F$947,$B187,Objects!$I$2:$I$947,$C187,Objects!$J$2:$J$947,"inferred*")</f>
        <v/>
      </c>
    </row>
    <row r="188">
      <c r="A188" s="5" t="inlineStr">
        <is>
          <t>128</t>
        </is>
      </c>
      <c r="B188" s="5" t="inlineStr">
        <is>
          <t>grade_beam</t>
        </is>
      </c>
      <c r="C188" s="5" t="inlineStr">
        <is>
          <t>LG40x15</t>
        </is>
      </c>
      <c r="D188" s="5">
        <f>COUNTIFS(Objects!$B$2:$B$947,$A188,Objects!$F$2:$F$947,$B188,Objects!$I$2:$I$947,$C188)</f>
        <v/>
      </c>
      <c r="E188" s="5">
        <f>_xlfn.MINIFS(Objects!$L$2:$L$947,Objects!$B$2:$B$947,$A188,Objects!$F$2:$F$947,$B188,Objects!$I$2:$I$947,$C188)</f>
        <v/>
      </c>
      <c r="F188" s="5">
        <f>_xlfn.MAXIFS(Objects!$L$2:$L$947,Objects!$B$2:$B$947,$A188,Objects!$F$2:$F$947,$B188,Objects!$I$2:$I$947,$C188)</f>
        <v/>
      </c>
      <c r="G188" s="5">
        <f>_xlfn.MINIFS(Objects!$M$2:$M$947,Objects!$B$2:$B$947,$A188,Objects!$F$2:$F$947,$B188,Objects!$I$2:$I$947,$C188)</f>
        <v/>
      </c>
      <c r="H188" s="5">
        <f>_xlfn.MAXIFS(Objects!$M$2:$M$947,Objects!$B$2:$B$947,$A188,Objects!$F$2:$F$947,$B188,Objects!$I$2:$I$947,$C188)</f>
        <v/>
      </c>
      <c r="I188" s="5">
        <f>IF(OR(C188="(none)",B188="raft",B188="sump_pit"),"n/a",IF(OR(B188="column",B188="shear_wall",B188="isolated_footing",B188="combined_footing"),IF(AND(F188-E188&lt;=3,H188-G188&lt;=3),"yes","no"),IF(H188-G188&lt;=3,"yes (thickness)","no (thickness)")))</f>
        <v/>
      </c>
      <c r="J188" s="6">
        <f>SUMIFS(Objects!$L$2:$L$947,Objects!$B$2:$B$947,$A188,Objects!$F$2:$F$947,$B188,Objects!$I$2:$I$947,$C188)/100</f>
        <v/>
      </c>
      <c r="K188" s="5">
        <f>COUNTIFS(Objects!$B$2:$B$947,$A188,Objects!$F$2:$F$947,$B188,Objects!$I$2:$I$947,$C188,Objects!$J$2:$J$947,"inferred*")</f>
        <v/>
      </c>
    </row>
    <row r="189">
      <c r="A189" s="5" t="inlineStr">
        <is>
          <t>128</t>
        </is>
      </c>
      <c r="B189" s="5" t="inlineStr">
        <is>
          <t>raft</t>
        </is>
      </c>
      <c r="C189" s="5" t="inlineStr">
        <is>
          <t>Radier 100</t>
        </is>
      </c>
      <c r="D189" s="5">
        <f>COUNTIFS(Objects!$B$2:$B$947,$A189,Objects!$F$2:$F$947,$B189,Objects!$I$2:$I$947,$C189)</f>
        <v/>
      </c>
      <c r="E189" s="5">
        <f>_xlfn.MINIFS(Objects!$L$2:$L$947,Objects!$B$2:$B$947,$A189,Objects!$F$2:$F$947,$B189,Objects!$I$2:$I$947,$C189)</f>
        <v/>
      </c>
      <c r="F189" s="5">
        <f>_xlfn.MAXIFS(Objects!$L$2:$L$947,Objects!$B$2:$B$947,$A189,Objects!$F$2:$F$947,$B189,Objects!$I$2:$I$947,$C189)</f>
        <v/>
      </c>
      <c r="G189" s="5">
        <f>_xlfn.MINIFS(Objects!$M$2:$M$947,Objects!$B$2:$B$947,$A189,Objects!$F$2:$F$947,$B189,Objects!$I$2:$I$947,$C189)</f>
        <v/>
      </c>
      <c r="H189" s="5">
        <f>_xlfn.MAXIFS(Objects!$M$2:$M$947,Objects!$B$2:$B$947,$A189,Objects!$F$2:$F$947,$B189,Objects!$I$2:$I$947,$C189)</f>
        <v/>
      </c>
      <c r="I189" s="5">
        <f>IF(OR(C189="(none)",B189="raft",B189="sump_pit"),"n/a",IF(OR(B189="column",B189="shear_wall",B189="isolated_footing",B189="combined_footing"),IF(AND(F189-E189&lt;=3,H189-G189&lt;=3),"yes","no"),IF(H189-G189&lt;=3,"yes (thickness)","no (thickness)")))</f>
        <v/>
      </c>
      <c r="J189" s="6">
        <f>SUMIFS(Objects!$L$2:$L$947,Objects!$B$2:$B$947,$A189,Objects!$F$2:$F$947,$B189,Objects!$I$2:$I$947,$C189)/100</f>
        <v/>
      </c>
      <c r="K189" s="5">
        <f>COUNTIFS(Objects!$B$2:$B$947,$A189,Objects!$F$2:$F$947,$B189,Objects!$I$2:$I$947,$C189,Objects!$J$2:$J$947,"inferred*")</f>
        <v/>
      </c>
    </row>
    <row r="190">
      <c r="A190" s="5" t="inlineStr">
        <is>
          <t>128</t>
        </is>
      </c>
      <c r="B190" s="5" t="inlineStr">
        <is>
          <t>sump_pit</t>
        </is>
      </c>
      <c r="C190" s="5" t="inlineStr">
        <is>
          <t>Fosse</t>
        </is>
      </c>
      <c r="D190" s="5">
        <f>COUNTIFS(Objects!$B$2:$B$947,$A190,Objects!$F$2:$F$947,$B190,Objects!$I$2:$I$947,$C190)</f>
        <v/>
      </c>
      <c r="E190" s="5">
        <f>_xlfn.MINIFS(Objects!$L$2:$L$947,Objects!$B$2:$B$947,$A190,Objects!$F$2:$F$947,$B190,Objects!$I$2:$I$947,$C190)</f>
        <v/>
      </c>
      <c r="F190" s="5">
        <f>_xlfn.MAXIFS(Objects!$L$2:$L$947,Objects!$B$2:$B$947,$A190,Objects!$F$2:$F$947,$B190,Objects!$I$2:$I$947,$C190)</f>
        <v/>
      </c>
      <c r="G190" s="5">
        <f>_xlfn.MINIFS(Objects!$M$2:$M$947,Objects!$B$2:$B$947,$A190,Objects!$F$2:$F$947,$B190,Objects!$I$2:$I$947,$C190)</f>
        <v/>
      </c>
      <c r="H190" s="5">
        <f>_xlfn.MAXIFS(Objects!$M$2:$M$947,Objects!$B$2:$B$947,$A190,Objects!$F$2:$F$947,$B190,Objects!$I$2:$I$947,$C190)</f>
        <v/>
      </c>
      <c r="I190" s="5">
        <f>IF(OR(C190="(none)",B190="raft",B190="sump_pit"),"n/a",IF(OR(B190="column",B190="shear_wall",B190="isolated_footing",B190="combined_footing"),IF(AND(F190-E190&lt;=3,H190-G190&lt;=3),"yes","no"),IF(H190-G190&lt;=3,"yes (thickness)","no (thickness)")))</f>
        <v/>
      </c>
      <c r="J190" s="6">
        <f>SUMIFS(Objects!$L$2:$L$947,Objects!$B$2:$B$947,$A190,Objects!$F$2:$F$947,$B190,Objects!$I$2:$I$947,$C190)/100</f>
        <v/>
      </c>
      <c r="K190" s="5">
        <f>COUNTIFS(Objects!$B$2:$B$947,$A190,Objects!$F$2:$F$947,$B190,Objects!$I$2:$I$947,$C190,Objects!$J$2:$J$947,"inferred*")</f>
        <v/>
      </c>
    </row>
    <row r="191">
      <c r="A191" s="5" t="inlineStr">
        <is>
          <t>129</t>
        </is>
      </c>
      <c r="B191" s="5" t="inlineStr">
        <is>
          <t>column</t>
        </is>
      </c>
      <c r="C191" s="5" t="inlineStr">
        <is>
          <t>P1/129</t>
        </is>
      </c>
      <c r="D191" s="5">
        <f>COUNTIFS(Objects!$B$2:$B$947,$A191,Objects!$F$2:$F$947,$B191,Objects!$I$2:$I$947,$C191)</f>
        <v/>
      </c>
      <c r="E191" s="5">
        <f>_xlfn.MINIFS(Objects!$L$2:$L$947,Objects!$B$2:$B$947,$A191,Objects!$F$2:$F$947,$B191,Objects!$I$2:$I$947,$C191)</f>
        <v/>
      </c>
      <c r="F191" s="5">
        <f>_xlfn.MAXIFS(Objects!$L$2:$L$947,Objects!$B$2:$B$947,$A191,Objects!$F$2:$F$947,$B191,Objects!$I$2:$I$947,$C191)</f>
        <v/>
      </c>
      <c r="G191" s="5">
        <f>_xlfn.MINIFS(Objects!$M$2:$M$947,Objects!$B$2:$B$947,$A191,Objects!$F$2:$F$947,$B191,Objects!$I$2:$I$947,$C191)</f>
        <v/>
      </c>
      <c r="H191" s="5">
        <f>_xlfn.MAXIFS(Objects!$M$2:$M$947,Objects!$B$2:$B$947,$A191,Objects!$F$2:$F$947,$B191,Objects!$I$2:$I$947,$C191)</f>
        <v/>
      </c>
      <c r="I191" s="5">
        <f>IF(OR(C191="(none)",B191="raft",B191="sump_pit"),"n/a",IF(OR(B191="column",B191="shear_wall",B191="isolated_footing",B191="combined_footing"),IF(AND(F191-E191&lt;=3,H191-G191&lt;=3),"yes","no"),IF(H191-G191&lt;=3,"yes (thickness)","no (thickness)")))</f>
        <v/>
      </c>
      <c r="J191" s="6">
        <f>SUMIFS(Objects!$L$2:$L$947,Objects!$B$2:$B$947,$A191,Objects!$F$2:$F$947,$B191,Objects!$I$2:$I$947,$C191)/100</f>
        <v/>
      </c>
      <c r="K191" s="5">
        <f>COUNTIFS(Objects!$B$2:$B$947,$A191,Objects!$F$2:$F$947,$B191,Objects!$I$2:$I$947,$C191,Objects!$J$2:$J$947,"inferred*")</f>
        <v/>
      </c>
    </row>
    <row r="192">
      <c r="A192" s="5" t="inlineStr">
        <is>
          <t>129</t>
        </is>
      </c>
      <c r="B192" s="5" t="inlineStr">
        <is>
          <t>column</t>
        </is>
      </c>
      <c r="C192" s="5" t="inlineStr">
        <is>
          <t>P2/129</t>
        </is>
      </c>
      <c r="D192" s="5">
        <f>COUNTIFS(Objects!$B$2:$B$947,$A192,Objects!$F$2:$F$947,$B192,Objects!$I$2:$I$947,$C192)</f>
        <v/>
      </c>
      <c r="E192" s="5">
        <f>_xlfn.MINIFS(Objects!$L$2:$L$947,Objects!$B$2:$B$947,$A192,Objects!$F$2:$F$947,$B192,Objects!$I$2:$I$947,$C192)</f>
        <v/>
      </c>
      <c r="F192" s="5">
        <f>_xlfn.MAXIFS(Objects!$L$2:$L$947,Objects!$B$2:$B$947,$A192,Objects!$F$2:$F$947,$B192,Objects!$I$2:$I$947,$C192)</f>
        <v/>
      </c>
      <c r="G192" s="5">
        <f>_xlfn.MINIFS(Objects!$M$2:$M$947,Objects!$B$2:$B$947,$A192,Objects!$F$2:$F$947,$B192,Objects!$I$2:$I$947,$C192)</f>
        <v/>
      </c>
      <c r="H192" s="5">
        <f>_xlfn.MAXIFS(Objects!$M$2:$M$947,Objects!$B$2:$B$947,$A192,Objects!$F$2:$F$947,$B192,Objects!$I$2:$I$947,$C192)</f>
        <v/>
      </c>
      <c r="I192" s="5">
        <f>IF(OR(C192="(none)",B192="raft",B192="sump_pit"),"n/a",IF(OR(B192="column",B192="shear_wall",B192="isolated_footing",B192="combined_footing"),IF(AND(F192-E192&lt;=3,H192-G192&lt;=3),"yes","no"),IF(H192-G192&lt;=3,"yes (thickness)","no (thickness)")))</f>
        <v/>
      </c>
      <c r="J192" s="6">
        <f>SUMIFS(Objects!$L$2:$L$947,Objects!$B$2:$B$947,$A192,Objects!$F$2:$F$947,$B192,Objects!$I$2:$I$947,$C192)/100</f>
        <v/>
      </c>
      <c r="K192" s="5">
        <f>COUNTIFS(Objects!$B$2:$B$947,$A192,Objects!$F$2:$F$947,$B192,Objects!$I$2:$I$947,$C192,Objects!$J$2:$J$947,"inferred*")</f>
        <v/>
      </c>
    </row>
    <row r="193">
      <c r="A193" s="5" t="inlineStr">
        <is>
          <t>129</t>
        </is>
      </c>
      <c r="B193" s="5" t="inlineStr">
        <is>
          <t>shear_wall</t>
        </is>
      </c>
      <c r="C193" s="5" t="inlineStr">
        <is>
          <t>V1/129</t>
        </is>
      </c>
      <c r="D193" s="5">
        <f>COUNTIFS(Objects!$B$2:$B$947,$A193,Objects!$F$2:$F$947,$B193,Objects!$I$2:$I$947,$C193)</f>
        <v/>
      </c>
      <c r="E193" s="5">
        <f>_xlfn.MINIFS(Objects!$L$2:$L$947,Objects!$B$2:$B$947,$A193,Objects!$F$2:$F$947,$B193,Objects!$I$2:$I$947,$C193)</f>
        <v/>
      </c>
      <c r="F193" s="5">
        <f>_xlfn.MAXIFS(Objects!$L$2:$L$947,Objects!$B$2:$B$947,$A193,Objects!$F$2:$F$947,$B193,Objects!$I$2:$I$947,$C193)</f>
        <v/>
      </c>
      <c r="G193" s="5">
        <f>_xlfn.MINIFS(Objects!$M$2:$M$947,Objects!$B$2:$B$947,$A193,Objects!$F$2:$F$947,$B193,Objects!$I$2:$I$947,$C193)</f>
        <v/>
      </c>
      <c r="H193" s="5">
        <f>_xlfn.MAXIFS(Objects!$M$2:$M$947,Objects!$B$2:$B$947,$A193,Objects!$F$2:$F$947,$B193,Objects!$I$2:$I$947,$C193)</f>
        <v/>
      </c>
      <c r="I193" s="5">
        <f>IF(OR(C193="(none)",B193="raft",B193="sump_pit"),"n/a",IF(OR(B193="column",B193="shear_wall",B193="isolated_footing",B193="combined_footing"),IF(AND(F193-E193&lt;=3,H193-G193&lt;=3),"yes","no"),IF(H193-G193&lt;=3,"yes (thickness)","no (thickness)")))</f>
        <v/>
      </c>
      <c r="J193" s="6">
        <f>SUMIFS(Objects!$L$2:$L$947,Objects!$B$2:$B$947,$A193,Objects!$F$2:$F$947,$B193,Objects!$I$2:$I$947,$C193)/100</f>
        <v/>
      </c>
      <c r="K193" s="5">
        <f>COUNTIFS(Objects!$B$2:$B$947,$A193,Objects!$F$2:$F$947,$B193,Objects!$I$2:$I$947,$C193,Objects!$J$2:$J$947,"inferred*")</f>
        <v/>
      </c>
    </row>
    <row r="194">
      <c r="A194" s="5" t="inlineStr">
        <is>
          <t>129</t>
        </is>
      </c>
      <c r="B194" s="5" t="inlineStr">
        <is>
          <t>shear_wall</t>
        </is>
      </c>
      <c r="C194" s="5" t="inlineStr">
        <is>
          <t>V3/129</t>
        </is>
      </c>
      <c r="D194" s="5">
        <f>COUNTIFS(Objects!$B$2:$B$947,$A194,Objects!$F$2:$F$947,$B194,Objects!$I$2:$I$947,$C194)</f>
        <v/>
      </c>
      <c r="E194" s="5">
        <f>_xlfn.MINIFS(Objects!$L$2:$L$947,Objects!$B$2:$B$947,$A194,Objects!$F$2:$F$947,$B194,Objects!$I$2:$I$947,$C194)</f>
        <v/>
      </c>
      <c r="F194" s="5">
        <f>_xlfn.MAXIFS(Objects!$L$2:$L$947,Objects!$B$2:$B$947,$A194,Objects!$F$2:$F$947,$B194,Objects!$I$2:$I$947,$C194)</f>
        <v/>
      </c>
      <c r="G194" s="5">
        <f>_xlfn.MINIFS(Objects!$M$2:$M$947,Objects!$B$2:$B$947,$A194,Objects!$F$2:$F$947,$B194,Objects!$I$2:$I$947,$C194)</f>
        <v/>
      </c>
      <c r="H194" s="5">
        <f>_xlfn.MAXIFS(Objects!$M$2:$M$947,Objects!$B$2:$B$947,$A194,Objects!$F$2:$F$947,$B194,Objects!$I$2:$I$947,$C194)</f>
        <v/>
      </c>
      <c r="I194" s="5">
        <f>IF(OR(C194="(none)",B194="raft",B194="sump_pit"),"n/a",IF(OR(B194="column",B194="shear_wall",B194="isolated_footing",B194="combined_footing"),IF(AND(F194-E194&lt;=3,H194-G194&lt;=3),"yes","no"),IF(H194-G194&lt;=3,"yes (thickness)","no (thickness)")))</f>
        <v/>
      </c>
      <c r="J194" s="6">
        <f>SUMIFS(Objects!$L$2:$L$947,Objects!$B$2:$B$947,$A194,Objects!$F$2:$F$947,$B194,Objects!$I$2:$I$947,$C194)/100</f>
        <v/>
      </c>
      <c r="K194" s="5">
        <f>COUNTIFS(Objects!$B$2:$B$947,$A194,Objects!$F$2:$F$947,$B194,Objects!$I$2:$I$947,$C194,Objects!$J$2:$J$947,"inferred*")</f>
        <v/>
      </c>
    </row>
    <row r="195">
      <c r="A195" s="5" t="inlineStr">
        <is>
          <t>129</t>
        </is>
      </c>
      <c r="B195" s="5" t="inlineStr">
        <is>
          <t>shear_wall</t>
        </is>
      </c>
      <c r="C195" s="5" t="inlineStr">
        <is>
          <t>V5/129</t>
        </is>
      </c>
      <c r="D195" s="5">
        <f>COUNTIFS(Objects!$B$2:$B$947,$A195,Objects!$F$2:$F$947,$B195,Objects!$I$2:$I$947,$C195)</f>
        <v/>
      </c>
      <c r="E195" s="5">
        <f>_xlfn.MINIFS(Objects!$L$2:$L$947,Objects!$B$2:$B$947,$A195,Objects!$F$2:$F$947,$B195,Objects!$I$2:$I$947,$C195)</f>
        <v/>
      </c>
      <c r="F195" s="5">
        <f>_xlfn.MAXIFS(Objects!$L$2:$L$947,Objects!$B$2:$B$947,$A195,Objects!$F$2:$F$947,$B195,Objects!$I$2:$I$947,$C195)</f>
        <v/>
      </c>
      <c r="G195" s="5">
        <f>_xlfn.MINIFS(Objects!$M$2:$M$947,Objects!$B$2:$B$947,$A195,Objects!$F$2:$F$947,$B195,Objects!$I$2:$I$947,$C195)</f>
        <v/>
      </c>
      <c r="H195" s="5">
        <f>_xlfn.MAXIFS(Objects!$M$2:$M$947,Objects!$B$2:$B$947,$A195,Objects!$F$2:$F$947,$B195,Objects!$I$2:$I$947,$C195)</f>
        <v/>
      </c>
      <c r="I195" s="5">
        <f>IF(OR(C195="(none)",B195="raft",B195="sump_pit"),"n/a",IF(OR(B195="column",B195="shear_wall",B195="isolated_footing",B195="combined_footing"),IF(AND(F195-E195&lt;=3,H195-G195&lt;=3),"yes","no"),IF(H195-G195&lt;=3,"yes (thickness)","no (thickness)")))</f>
        <v/>
      </c>
      <c r="J195" s="6">
        <f>SUMIFS(Objects!$L$2:$L$947,Objects!$B$2:$B$947,$A195,Objects!$F$2:$F$947,$B195,Objects!$I$2:$I$947,$C195)/100</f>
        <v/>
      </c>
      <c r="K195" s="5">
        <f>COUNTIFS(Objects!$B$2:$B$947,$A195,Objects!$F$2:$F$947,$B195,Objects!$I$2:$I$947,$C195,Objects!$J$2:$J$947,"inferred*")</f>
        <v/>
      </c>
    </row>
    <row r="196">
      <c r="A196" s="5" t="inlineStr">
        <is>
          <t>129</t>
        </is>
      </c>
      <c r="B196" s="5" t="inlineStr">
        <is>
          <t>shear_wall</t>
        </is>
      </c>
      <c r="C196" s="5" t="inlineStr">
        <is>
          <t>V6/129</t>
        </is>
      </c>
      <c r="D196" s="5">
        <f>COUNTIFS(Objects!$B$2:$B$947,$A196,Objects!$F$2:$F$947,$B196,Objects!$I$2:$I$947,$C196)</f>
        <v/>
      </c>
      <c r="E196" s="5">
        <f>_xlfn.MINIFS(Objects!$L$2:$L$947,Objects!$B$2:$B$947,$A196,Objects!$F$2:$F$947,$B196,Objects!$I$2:$I$947,$C196)</f>
        <v/>
      </c>
      <c r="F196" s="5">
        <f>_xlfn.MAXIFS(Objects!$L$2:$L$947,Objects!$B$2:$B$947,$A196,Objects!$F$2:$F$947,$B196,Objects!$I$2:$I$947,$C196)</f>
        <v/>
      </c>
      <c r="G196" s="5">
        <f>_xlfn.MINIFS(Objects!$M$2:$M$947,Objects!$B$2:$B$947,$A196,Objects!$F$2:$F$947,$B196,Objects!$I$2:$I$947,$C196)</f>
        <v/>
      </c>
      <c r="H196" s="5">
        <f>_xlfn.MAXIFS(Objects!$M$2:$M$947,Objects!$B$2:$B$947,$A196,Objects!$F$2:$F$947,$B196,Objects!$I$2:$I$947,$C196)</f>
        <v/>
      </c>
      <c r="I196" s="5">
        <f>IF(OR(C196="(none)",B196="raft",B196="sump_pit"),"n/a",IF(OR(B196="column",B196="shear_wall",B196="isolated_footing",B196="combined_footing"),IF(AND(F196-E196&lt;=3,H196-G196&lt;=3),"yes","no"),IF(H196-G196&lt;=3,"yes (thickness)","no (thickness)")))</f>
        <v/>
      </c>
      <c r="J196" s="6">
        <f>SUMIFS(Objects!$L$2:$L$947,Objects!$B$2:$B$947,$A196,Objects!$F$2:$F$947,$B196,Objects!$I$2:$I$947,$C196)/100</f>
        <v/>
      </c>
      <c r="K196" s="5">
        <f>COUNTIFS(Objects!$B$2:$B$947,$A196,Objects!$F$2:$F$947,$B196,Objects!$I$2:$I$947,$C196,Objects!$J$2:$J$947,"inferred*")</f>
        <v/>
      </c>
    </row>
    <row r="197">
      <c r="A197" s="5" t="inlineStr">
        <is>
          <t>129</t>
        </is>
      </c>
      <c r="B197" s="5" t="inlineStr">
        <is>
          <t>shear_wall</t>
        </is>
      </c>
      <c r="C197" s="5" t="inlineStr">
        <is>
          <t>V8/129</t>
        </is>
      </c>
      <c r="D197" s="5">
        <f>COUNTIFS(Objects!$B$2:$B$947,$A197,Objects!$F$2:$F$947,$B197,Objects!$I$2:$I$947,$C197)</f>
        <v/>
      </c>
      <c r="E197" s="5">
        <f>_xlfn.MINIFS(Objects!$L$2:$L$947,Objects!$B$2:$B$947,$A197,Objects!$F$2:$F$947,$B197,Objects!$I$2:$I$947,$C197)</f>
        <v/>
      </c>
      <c r="F197" s="5">
        <f>_xlfn.MAXIFS(Objects!$L$2:$L$947,Objects!$B$2:$B$947,$A197,Objects!$F$2:$F$947,$B197,Objects!$I$2:$I$947,$C197)</f>
        <v/>
      </c>
      <c r="G197" s="5">
        <f>_xlfn.MINIFS(Objects!$M$2:$M$947,Objects!$B$2:$B$947,$A197,Objects!$F$2:$F$947,$B197,Objects!$I$2:$I$947,$C197)</f>
        <v/>
      </c>
      <c r="H197" s="5">
        <f>_xlfn.MAXIFS(Objects!$M$2:$M$947,Objects!$B$2:$B$947,$A197,Objects!$F$2:$F$947,$B197,Objects!$I$2:$I$947,$C197)</f>
        <v/>
      </c>
      <c r="I197" s="5">
        <f>IF(OR(C197="(none)",B197="raft",B197="sump_pit"),"n/a",IF(OR(B197="column",B197="shear_wall",B197="isolated_footing",B197="combined_footing"),IF(AND(F197-E197&lt;=3,H197-G197&lt;=3),"yes","no"),IF(H197-G197&lt;=3,"yes (thickness)","no (thickness)")))</f>
        <v/>
      </c>
      <c r="J197" s="6">
        <f>SUMIFS(Objects!$L$2:$L$947,Objects!$B$2:$B$947,$A197,Objects!$F$2:$F$947,$B197,Objects!$I$2:$I$947,$C197)/100</f>
        <v/>
      </c>
      <c r="K197" s="5">
        <f>COUNTIFS(Objects!$B$2:$B$947,$A197,Objects!$F$2:$F$947,$B197,Objects!$I$2:$I$947,$C197,Objects!$J$2:$J$947,"inferred*")</f>
        <v/>
      </c>
    </row>
    <row r="198">
      <c r="A198" s="5" t="inlineStr">
        <is>
          <t>129</t>
        </is>
      </c>
      <c r="B198" s="5" t="inlineStr">
        <is>
          <t>core_wall</t>
        </is>
      </c>
      <c r="C198" s="5" t="inlineStr">
        <is>
          <t>(none)</t>
        </is>
      </c>
      <c r="D198" s="5">
        <f>COUNTIFS(Objects!$B$2:$B$947,$A198,Objects!$F$2:$F$947,$B198,Objects!$I$2:$I$947,$C198)</f>
        <v/>
      </c>
      <c r="E198" s="5">
        <f>_xlfn.MINIFS(Objects!$L$2:$L$947,Objects!$B$2:$B$947,$A198,Objects!$F$2:$F$947,$B198,Objects!$I$2:$I$947,$C198)</f>
        <v/>
      </c>
      <c r="F198" s="5">
        <f>_xlfn.MAXIFS(Objects!$L$2:$L$947,Objects!$B$2:$B$947,$A198,Objects!$F$2:$F$947,$B198,Objects!$I$2:$I$947,$C198)</f>
        <v/>
      </c>
      <c r="G198" s="5">
        <f>_xlfn.MINIFS(Objects!$M$2:$M$947,Objects!$B$2:$B$947,$A198,Objects!$F$2:$F$947,$B198,Objects!$I$2:$I$947,$C198)</f>
        <v/>
      </c>
      <c r="H198" s="5">
        <f>_xlfn.MAXIFS(Objects!$M$2:$M$947,Objects!$B$2:$B$947,$A198,Objects!$F$2:$F$947,$B198,Objects!$I$2:$I$947,$C198)</f>
        <v/>
      </c>
      <c r="I198" s="5">
        <f>IF(OR(C198="(none)",B198="raft",B198="sump_pit"),"n/a",IF(OR(B198="column",B198="shear_wall",B198="isolated_footing",B198="combined_footing"),IF(AND(F198-E198&lt;=3,H198-G198&lt;=3),"yes","no"),IF(H198-G198&lt;=3,"yes (thickness)","no (thickness)")))</f>
        <v/>
      </c>
      <c r="J198" s="6">
        <f>SUMIFS(Objects!$L$2:$L$947,Objects!$B$2:$B$947,$A198,Objects!$F$2:$F$947,$B198,Objects!$I$2:$I$947,$C198)/100</f>
        <v/>
      </c>
      <c r="K198" s="5">
        <f>COUNTIFS(Objects!$B$2:$B$947,$A198,Objects!$F$2:$F$947,$B198,Objects!$I$2:$I$947,$C198,Objects!$J$2:$J$947,"inferred*")</f>
        <v/>
      </c>
    </row>
    <row r="199">
      <c r="A199" s="5" t="inlineStr">
        <is>
          <t>129</t>
        </is>
      </c>
      <c r="B199" s="5" t="inlineStr">
        <is>
          <t>retaining_wall</t>
        </is>
      </c>
      <c r="C199" s="5" t="inlineStr">
        <is>
          <t>VP20</t>
        </is>
      </c>
      <c r="D199" s="5">
        <f>COUNTIFS(Objects!$B$2:$B$947,$A199,Objects!$F$2:$F$947,$B199,Objects!$I$2:$I$947,$C199)</f>
        <v/>
      </c>
      <c r="E199" s="5">
        <f>_xlfn.MINIFS(Objects!$L$2:$L$947,Objects!$B$2:$B$947,$A199,Objects!$F$2:$F$947,$B199,Objects!$I$2:$I$947,$C199)</f>
        <v/>
      </c>
      <c r="F199" s="5">
        <f>_xlfn.MAXIFS(Objects!$L$2:$L$947,Objects!$B$2:$B$947,$A199,Objects!$F$2:$F$947,$B199,Objects!$I$2:$I$947,$C199)</f>
        <v/>
      </c>
      <c r="G199" s="5">
        <f>_xlfn.MINIFS(Objects!$M$2:$M$947,Objects!$B$2:$B$947,$A199,Objects!$F$2:$F$947,$B199,Objects!$I$2:$I$947,$C199)</f>
        <v/>
      </c>
      <c r="H199" s="5">
        <f>_xlfn.MAXIFS(Objects!$M$2:$M$947,Objects!$B$2:$B$947,$A199,Objects!$F$2:$F$947,$B199,Objects!$I$2:$I$947,$C199)</f>
        <v/>
      </c>
      <c r="I199" s="5">
        <f>IF(OR(C199="(none)",B199="raft",B199="sump_pit"),"n/a",IF(OR(B199="column",B199="shear_wall",B199="isolated_footing",B199="combined_footing"),IF(AND(F199-E199&lt;=3,H199-G199&lt;=3),"yes","no"),IF(H199-G199&lt;=3,"yes (thickness)","no (thickness)")))</f>
        <v/>
      </c>
      <c r="J199" s="6">
        <f>SUMIFS(Objects!$L$2:$L$947,Objects!$B$2:$B$947,$A199,Objects!$F$2:$F$947,$B199,Objects!$I$2:$I$947,$C199)/100</f>
        <v/>
      </c>
      <c r="K199" s="5">
        <f>COUNTIFS(Objects!$B$2:$B$947,$A199,Objects!$F$2:$F$947,$B199,Objects!$I$2:$I$947,$C199,Objects!$J$2:$J$947,"inferred*")</f>
        <v/>
      </c>
    </row>
    <row r="200">
      <c r="A200" s="5" t="inlineStr">
        <is>
          <t>129</t>
        </is>
      </c>
      <c r="B200" s="5" t="inlineStr">
        <is>
          <t>retaining_wall</t>
        </is>
      </c>
      <c r="C200" s="5" t="inlineStr">
        <is>
          <t>VP25</t>
        </is>
      </c>
      <c r="D200" s="5">
        <f>COUNTIFS(Objects!$B$2:$B$947,$A200,Objects!$F$2:$F$947,$B200,Objects!$I$2:$I$947,$C200)</f>
        <v/>
      </c>
      <c r="E200" s="5">
        <f>_xlfn.MINIFS(Objects!$L$2:$L$947,Objects!$B$2:$B$947,$A200,Objects!$F$2:$F$947,$B200,Objects!$I$2:$I$947,$C200)</f>
        <v/>
      </c>
      <c r="F200" s="5">
        <f>_xlfn.MAXIFS(Objects!$L$2:$L$947,Objects!$B$2:$B$947,$A200,Objects!$F$2:$F$947,$B200,Objects!$I$2:$I$947,$C200)</f>
        <v/>
      </c>
      <c r="G200" s="5">
        <f>_xlfn.MINIFS(Objects!$M$2:$M$947,Objects!$B$2:$B$947,$A200,Objects!$F$2:$F$947,$B200,Objects!$I$2:$I$947,$C200)</f>
        <v/>
      </c>
      <c r="H200" s="5">
        <f>_xlfn.MAXIFS(Objects!$M$2:$M$947,Objects!$B$2:$B$947,$A200,Objects!$F$2:$F$947,$B200,Objects!$I$2:$I$947,$C200)</f>
        <v/>
      </c>
      <c r="I200" s="5">
        <f>IF(OR(C200="(none)",B200="raft",B200="sump_pit"),"n/a",IF(OR(B200="column",B200="shear_wall",B200="isolated_footing",B200="combined_footing"),IF(AND(F200-E200&lt;=3,H200-G200&lt;=3),"yes","no"),IF(H200-G200&lt;=3,"yes (thickness)","no (thickness)")))</f>
        <v/>
      </c>
      <c r="J200" s="6">
        <f>SUMIFS(Objects!$L$2:$L$947,Objects!$B$2:$B$947,$A200,Objects!$F$2:$F$947,$B200,Objects!$I$2:$I$947,$C200)/100</f>
        <v/>
      </c>
      <c r="K200" s="5">
        <f>COUNTIFS(Objects!$B$2:$B$947,$A200,Objects!$F$2:$F$947,$B200,Objects!$I$2:$I$947,$C200,Objects!$J$2:$J$947,"inferred*")</f>
        <v/>
      </c>
    </row>
    <row r="201">
      <c r="A201" s="5" t="inlineStr">
        <is>
          <t>129</t>
        </is>
      </c>
      <c r="B201" s="5" t="inlineStr">
        <is>
          <t>isolated_footing</t>
        </is>
      </c>
      <c r="C201" s="5" t="inlineStr">
        <is>
          <t>S11</t>
        </is>
      </c>
      <c r="D201" s="5">
        <f>COUNTIFS(Objects!$B$2:$B$947,$A201,Objects!$F$2:$F$947,$B201,Objects!$I$2:$I$947,$C201)</f>
        <v/>
      </c>
      <c r="E201" s="5">
        <f>_xlfn.MINIFS(Objects!$L$2:$L$947,Objects!$B$2:$B$947,$A201,Objects!$F$2:$F$947,$B201,Objects!$I$2:$I$947,$C201)</f>
        <v/>
      </c>
      <c r="F201" s="5">
        <f>_xlfn.MAXIFS(Objects!$L$2:$L$947,Objects!$B$2:$B$947,$A201,Objects!$F$2:$F$947,$B201,Objects!$I$2:$I$947,$C201)</f>
        <v/>
      </c>
      <c r="G201" s="5">
        <f>_xlfn.MINIFS(Objects!$M$2:$M$947,Objects!$B$2:$B$947,$A201,Objects!$F$2:$F$947,$B201,Objects!$I$2:$I$947,$C201)</f>
        <v/>
      </c>
      <c r="H201" s="5">
        <f>_xlfn.MAXIFS(Objects!$M$2:$M$947,Objects!$B$2:$B$947,$A201,Objects!$F$2:$F$947,$B201,Objects!$I$2:$I$947,$C201)</f>
        <v/>
      </c>
      <c r="I201" s="5">
        <f>IF(OR(C201="(none)",B201="raft",B201="sump_pit"),"n/a",IF(OR(B201="column",B201="shear_wall",B201="isolated_footing",B201="combined_footing"),IF(AND(F201-E201&lt;=3,H201-G201&lt;=3),"yes","no"),IF(H201-G201&lt;=3,"yes (thickness)","no (thickness)")))</f>
        <v/>
      </c>
      <c r="J201" s="6">
        <f>SUMIFS(Objects!$L$2:$L$947,Objects!$B$2:$B$947,$A201,Objects!$F$2:$F$947,$B201,Objects!$I$2:$I$947,$C201)/100</f>
        <v/>
      </c>
      <c r="K201" s="5">
        <f>COUNTIFS(Objects!$B$2:$B$947,$A201,Objects!$F$2:$F$947,$B201,Objects!$I$2:$I$947,$C201,Objects!$J$2:$J$947,"inferred*")</f>
        <v/>
      </c>
    </row>
    <row r="202">
      <c r="A202" s="5" t="inlineStr">
        <is>
          <t>129</t>
        </is>
      </c>
      <c r="B202" s="5" t="inlineStr">
        <is>
          <t>isolated_footing</t>
        </is>
      </c>
      <c r="C202" s="5" t="inlineStr">
        <is>
          <t>S18</t>
        </is>
      </c>
      <c r="D202" s="5">
        <f>COUNTIFS(Objects!$B$2:$B$947,$A202,Objects!$F$2:$F$947,$B202,Objects!$I$2:$I$947,$C202)</f>
        <v/>
      </c>
      <c r="E202" s="5">
        <f>_xlfn.MINIFS(Objects!$L$2:$L$947,Objects!$B$2:$B$947,$A202,Objects!$F$2:$F$947,$B202,Objects!$I$2:$I$947,$C202)</f>
        <v/>
      </c>
      <c r="F202" s="5">
        <f>_xlfn.MAXIFS(Objects!$L$2:$L$947,Objects!$B$2:$B$947,$A202,Objects!$F$2:$F$947,$B202,Objects!$I$2:$I$947,$C202)</f>
        <v/>
      </c>
      <c r="G202" s="5">
        <f>_xlfn.MINIFS(Objects!$M$2:$M$947,Objects!$B$2:$B$947,$A202,Objects!$F$2:$F$947,$B202,Objects!$I$2:$I$947,$C202)</f>
        <v/>
      </c>
      <c r="H202" s="5">
        <f>_xlfn.MAXIFS(Objects!$M$2:$M$947,Objects!$B$2:$B$947,$A202,Objects!$F$2:$F$947,$B202,Objects!$I$2:$I$947,$C202)</f>
        <v/>
      </c>
      <c r="I202" s="5">
        <f>IF(OR(C202="(none)",B202="raft",B202="sump_pit"),"n/a",IF(OR(B202="column",B202="shear_wall",B202="isolated_footing",B202="combined_footing"),IF(AND(F202-E202&lt;=3,H202-G202&lt;=3),"yes","no"),IF(H202-G202&lt;=3,"yes (thickness)","no (thickness)")))</f>
        <v/>
      </c>
      <c r="J202" s="6">
        <f>SUMIFS(Objects!$L$2:$L$947,Objects!$B$2:$B$947,$A202,Objects!$F$2:$F$947,$B202,Objects!$I$2:$I$947,$C202)/100</f>
        <v/>
      </c>
      <c r="K202" s="5">
        <f>COUNTIFS(Objects!$B$2:$B$947,$A202,Objects!$F$2:$F$947,$B202,Objects!$I$2:$I$947,$C202,Objects!$J$2:$J$947,"inferred*")</f>
        <v/>
      </c>
    </row>
    <row r="203">
      <c r="A203" s="5" t="inlineStr">
        <is>
          <t>129</t>
        </is>
      </c>
      <c r="B203" s="5" t="inlineStr">
        <is>
          <t>isolated_footing</t>
        </is>
      </c>
      <c r="C203" s="5" t="inlineStr">
        <is>
          <t>S19</t>
        </is>
      </c>
      <c r="D203" s="5">
        <f>COUNTIFS(Objects!$B$2:$B$947,$A203,Objects!$F$2:$F$947,$B203,Objects!$I$2:$I$947,$C203)</f>
        <v/>
      </c>
      <c r="E203" s="5">
        <f>_xlfn.MINIFS(Objects!$L$2:$L$947,Objects!$B$2:$B$947,$A203,Objects!$F$2:$F$947,$B203,Objects!$I$2:$I$947,$C203)</f>
        <v/>
      </c>
      <c r="F203" s="5">
        <f>_xlfn.MAXIFS(Objects!$L$2:$L$947,Objects!$B$2:$B$947,$A203,Objects!$F$2:$F$947,$B203,Objects!$I$2:$I$947,$C203)</f>
        <v/>
      </c>
      <c r="G203" s="5">
        <f>_xlfn.MINIFS(Objects!$M$2:$M$947,Objects!$B$2:$B$947,$A203,Objects!$F$2:$F$947,$B203,Objects!$I$2:$I$947,$C203)</f>
        <v/>
      </c>
      <c r="H203" s="5">
        <f>_xlfn.MAXIFS(Objects!$M$2:$M$947,Objects!$B$2:$B$947,$A203,Objects!$F$2:$F$947,$B203,Objects!$I$2:$I$947,$C203)</f>
        <v/>
      </c>
      <c r="I203" s="5">
        <f>IF(OR(C203="(none)",B203="raft",B203="sump_pit"),"n/a",IF(OR(B203="column",B203="shear_wall",B203="isolated_footing",B203="combined_footing"),IF(AND(F203-E203&lt;=3,H203-G203&lt;=3),"yes","no"),IF(H203-G203&lt;=3,"yes (thickness)","no (thickness)")))</f>
        <v/>
      </c>
      <c r="J203" s="6">
        <f>SUMIFS(Objects!$L$2:$L$947,Objects!$B$2:$B$947,$A203,Objects!$F$2:$F$947,$B203,Objects!$I$2:$I$947,$C203)/100</f>
        <v/>
      </c>
      <c r="K203" s="5">
        <f>COUNTIFS(Objects!$B$2:$B$947,$A203,Objects!$F$2:$F$947,$B203,Objects!$I$2:$I$947,$C203,Objects!$J$2:$J$947,"inferred*")</f>
        <v/>
      </c>
    </row>
    <row r="204">
      <c r="A204" s="5" t="inlineStr">
        <is>
          <t>129</t>
        </is>
      </c>
      <c r="B204" s="5" t="inlineStr">
        <is>
          <t>isolated_footing</t>
        </is>
      </c>
      <c r="C204" s="5" t="inlineStr">
        <is>
          <t>S2</t>
        </is>
      </c>
      <c r="D204" s="5">
        <f>COUNTIFS(Objects!$B$2:$B$947,$A204,Objects!$F$2:$F$947,$B204,Objects!$I$2:$I$947,$C204)</f>
        <v/>
      </c>
      <c r="E204" s="5">
        <f>_xlfn.MINIFS(Objects!$L$2:$L$947,Objects!$B$2:$B$947,$A204,Objects!$F$2:$F$947,$B204,Objects!$I$2:$I$947,$C204)</f>
        <v/>
      </c>
      <c r="F204" s="5">
        <f>_xlfn.MAXIFS(Objects!$L$2:$L$947,Objects!$B$2:$B$947,$A204,Objects!$F$2:$F$947,$B204,Objects!$I$2:$I$947,$C204)</f>
        <v/>
      </c>
      <c r="G204" s="5">
        <f>_xlfn.MINIFS(Objects!$M$2:$M$947,Objects!$B$2:$B$947,$A204,Objects!$F$2:$F$947,$B204,Objects!$I$2:$I$947,$C204)</f>
        <v/>
      </c>
      <c r="H204" s="5">
        <f>_xlfn.MAXIFS(Objects!$M$2:$M$947,Objects!$B$2:$B$947,$A204,Objects!$F$2:$F$947,$B204,Objects!$I$2:$I$947,$C204)</f>
        <v/>
      </c>
      <c r="I204" s="5">
        <f>IF(OR(C204="(none)",B204="raft",B204="sump_pit"),"n/a",IF(OR(B204="column",B204="shear_wall",B204="isolated_footing",B204="combined_footing"),IF(AND(F204-E204&lt;=3,H204-G204&lt;=3),"yes","no"),IF(H204-G204&lt;=3,"yes (thickness)","no (thickness)")))</f>
        <v/>
      </c>
      <c r="J204" s="6">
        <f>SUMIFS(Objects!$L$2:$L$947,Objects!$B$2:$B$947,$A204,Objects!$F$2:$F$947,$B204,Objects!$I$2:$I$947,$C204)/100</f>
        <v/>
      </c>
      <c r="K204" s="5">
        <f>COUNTIFS(Objects!$B$2:$B$947,$A204,Objects!$F$2:$F$947,$B204,Objects!$I$2:$I$947,$C204,Objects!$J$2:$J$947,"inferred*")</f>
        <v/>
      </c>
    </row>
    <row r="205">
      <c r="A205" s="5" t="inlineStr">
        <is>
          <t>129</t>
        </is>
      </c>
      <c r="B205" s="5" t="inlineStr">
        <is>
          <t>combined_footing</t>
        </is>
      </c>
      <c r="C205" s="5" t="inlineStr">
        <is>
          <t>SC1</t>
        </is>
      </c>
      <c r="D205" s="5">
        <f>COUNTIFS(Objects!$B$2:$B$947,$A205,Objects!$F$2:$F$947,$B205,Objects!$I$2:$I$947,$C205)</f>
        <v/>
      </c>
      <c r="E205" s="5">
        <f>_xlfn.MINIFS(Objects!$L$2:$L$947,Objects!$B$2:$B$947,$A205,Objects!$F$2:$F$947,$B205,Objects!$I$2:$I$947,$C205)</f>
        <v/>
      </c>
      <c r="F205" s="5">
        <f>_xlfn.MAXIFS(Objects!$L$2:$L$947,Objects!$B$2:$B$947,$A205,Objects!$F$2:$F$947,$B205,Objects!$I$2:$I$947,$C205)</f>
        <v/>
      </c>
      <c r="G205" s="5">
        <f>_xlfn.MINIFS(Objects!$M$2:$M$947,Objects!$B$2:$B$947,$A205,Objects!$F$2:$F$947,$B205,Objects!$I$2:$I$947,$C205)</f>
        <v/>
      </c>
      <c r="H205" s="5">
        <f>_xlfn.MAXIFS(Objects!$M$2:$M$947,Objects!$B$2:$B$947,$A205,Objects!$F$2:$F$947,$B205,Objects!$I$2:$I$947,$C205)</f>
        <v/>
      </c>
      <c r="I205" s="5">
        <f>IF(OR(C205="(none)",B205="raft",B205="sump_pit"),"n/a",IF(OR(B205="column",B205="shear_wall",B205="isolated_footing",B205="combined_footing"),IF(AND(F205-E205&lt;=3,H205-G205&lt;=3),"yes","no"),IF(H205-G205&lt;=3,"yes (thickness)","no (thickness)")))</f>
        <v/>
      </c>
      <c r="J205" s="6">
        <f>SUMIFS(Objects!$L$2:$L$947,Objects!$B$2:$B$947,$A205,Objects!$F$2:$F$947,$B205,Objects!$I$2:$I$947,$C205)/100</f>
        <v/>
      </c>
      <c r="K205" s="5">
        <f>COUNTIFS(Objects!$B$2:$B$947,$A205,Objects!$F$2:$F$947,$B205,Objects!$I$2:$I$947,$C205,Objects!$J$2:$J$947,"inferred*")</f>
        <v/>
      </c>
    </row>
    <row r="206">
      <c r="A206" s="5" t="inlineStr">
        <is>
          <t>129</t>
        </is>
      </c>
      <c r="B206" s="5" t="inlineStr">
        <is>
          <t>combined_footing</t>
        </is>
      </c>
      <c r="C206" s="5" t="inlineStr">
        <is>
          <t>SC2</t>
        </is>
      </c>
      <c r="D206" s="5">
        <f>COUNTIFS(Objects!$B$2:$B$947,$A206,Objects!$F$2:$F$947,$B206,Objects!$I$2:$I$947,$C206)</f>
        <v/>
      </c>
      <c r="E206" s="5">
        <f>_xlfn.MINIFS(Objects!$L$2:$L$947,Objects!$B$2:$B$947,$A206,Objects!$F$2:$F$947,$B206,Objects!$I$2:$I$947,$C206)</f>
        <v/>
      </c>
      <c r="F206" s="5">
        <f>_xlfn.MAXIFS(Objects!$L$2:$L$947,Objects!$B$2:$B$947,$A206,Objects!$F$2:$F$947,$B206,Objects!$I$2:$I$947,$C206)</f>
        <v/>
      </c>
      <c r="G206" s="5">
        <f>_xlfn.MINIFS(Objects!$M$2:$M$947,Objects!$B$2:$B$947,$A206,Objects!$F$2:$F$947,$B206,Objects!$I$2:$I$947,$C206)</f>
        <v/>
      </c>
      <c r="H206" s="5">
        <f>_xlfn.MAXIFS(Objects!$M$2:$M$947,Objects!$B$2:$B$947,$A206,Objects!$F$2:$F$947,$B206,Objects!$I$2:$I$947,$C206)</f>
        <v/>
      </c>
      <c r="I206" s="5">
        <f>IF(OR(C206="(none)",B206="raft",B206="sump_pit"),"n/a",IF(OR(B206="column",B206="shear_wall",B206="isolated_footing",B206="combined_footing"),IF(AND(F206-E206&lt;=3,H206-G206&lt;=3),"yes","no"),IF(H206-G206&lt;=3,"yes (thickness)","no (thickness)")))</f>
        <v/>
      </c>
      <c r="J206" s="6">
        <f>SUMIFS(Objects!$L$2:$L$947,Objects!$B$2:$B$947,$A206,Objects!$F$2:$F$947,$B206,Objects!$I$2:$I$947,$C206)/100</f>
        <v/>
      </c>
      <c r="K206" s="5">
        <f>COUNTIFS(Objects!$B$2:$B$947,$A206,Objects!$F$2:$F$947,$B206,Objects!$I$2:$I$947,$C206,Objects!$J$2:$J$947,"inferred*")</f>
        <v/>
      </c>
    </row>
    <row r="207">
      <c r="A207" s="5" t="inlineStr">
        <is>
          <t>129</t>
        </is>
      </c>
      <c r="B207" s="5" t="inlineStr">
        <is>
          <t>combined_footing</t>
        </is>
      </c>
      <c r="C207" s="5" t="inlineStr">
        <is>
          <t>SC7</t>
        </is>
      </c>
      <c r="D207" s="5">
        <f>COUNTIFS(Objects!$B$2:$B$947,$A207,Objects!$F$2:$F$947,$B207,Objects!$I$2:$I$947,$C207)</f>
        <v/>
      </c>
      <c r="E207" s="5">
        <f>_xlfn.MINIFS(Objects!$L$2:$L$947,Objects!$B$2:$B$947,$A207,Objects!$F$2:$F$947,$B207,Objects!$I$2:$I$947,$C207)</f>
        <v/>
      </c>
      <c r="F207" s="5">
        <f>_xlfn.MAXIFS(Objects!$L$2:$L$947,Objects!$B$2:$B$947,$A207,Objects!$F$2:$F$947,$B207,Objects!$I$2:$I$947,$C207)</f>
        <v/>
      </c>
      <c r="G207" s="5">
        <f>_xlfn.MINIFS(Objects!$M$2:$M$947,Objects!$B$2:$B$947,$A207,Objects!$F$2:$F$947,$B207,Objects!$I$2:$I$947,$C207)</f>
        <v/>
      </c>
      <c r="H207" s="5">
        <f>_xlfn.MAXIFS(Objects!$M$2:$M$947,Objects!$B$2:$B$947,$A207,Objects!$F$2:$F$947,$B207,Objects!$I$2:$I$947,$C207)</f>
        <v/>
      </c>
      <c r="I207" s="5">
        <f>IF(OR(C207="(none)",B207="raft",B207="sump_pit"),"n/a",IF(OR(B207="column",B207="shear_wall",B207="isolated_footing",B207="combined_footing"),IF(AND(F207-E207&lt;=3,H207-G207&lt;=3),"yes","no"),IF(H207-G207&lt;=3,"yes (thickness)","no (thickness)")))</f>
        <v/>
      </c>
      <c r="J207" s="6">
        <f>SUMIFS(Objects!$L$2:$L$947,Objects!$B$2:$B$947,$A207,Objects!$F$2:$F$947,$B207,Objects!$I$2:$I$947,$C207)/100</f>
        <v/>
      </c>
      <c r="K207" s="5">
        <f>COUNTIFS(Objects!$B$2:$B$947,$A207,Objects!$F$2:$F$947,$B207,Objects!$I$2:$I$947,$C207,Objects!$J$2:$J$947,"inferred*")</f>
        <v/>
      </c>
    </row>
    <row r="208">
      <c r="A208" s="5" t="inlineStr">
        <is>
          <t>129</t>
        </is>
      </c>
      <c r="B208" s="5" t="inlineStr">
        <is>
          <t>strip_footing</t>
        </is>
      </c>
      <c r="C208" s="5" t="inlineStr">
        <is>
          <t>(none)</t>
        </is>
      </c>
      <c r="D208" s="5">
        <f>COUNTIFS(Objects!$B$2:$B$947,$A208,Objects!$F$2:$F$947,$B208,Objects!$I$2:$I$947,$C208)</f>
        <v/>
      </c>
      <c r="E208" s="5">
        <f>_xlfn.MINIFS(Objects!$L$2:$L$947,Objects!$B$2:$B$947,$A208,Objects!$F$2:$F$947,$B208,Objects!$I$2:$I$947,$C208)</f>
        <v/>
      </c>
      <c r="F208" s="5">
        <f>_xlfn.MAXIFS(Objects!$L$2:$L$947,Objects!$B$2:$B$947,$A208,Objects!$F$2:$F$947,$B208,Objects!$I$2:$I$947,$C208)</f>
        <v/>
      </c>
      <c r="G208" s="5">
        <f>_xlfn.MINIFS(Objects!$M$2:$M$947,Objects!$B$2:$B$947,$A208,Objects!$F$2:$F$947,$B208,Objects!$I$2:$I$947,$C208)</f>
        <v/>
      </c>
      <c r="H208" s="5">
        <f>_xlfn.MAXIFS(Objects!$M$2:$M$947,Objects!$B$2:$B$947,$A208,Objects!$F$2:$F$947,$B208,Objects!$I$2:$I$947,$C208)</f>
        <v/>
      </c>
      <c r="I208" s="5">
        <f>IF(OR(C208="(none)",B208="raft",B208="sump_pit"),"n/a",IF(OR(B208="column",B208="shear_wall",B208="isolated_footing",B208="combined_footing"),IF(AND(F208-E208&lt;=3,H208-G208&lt;=3),"yes","no"),IF(H208-G208&lt;=3,"yes (thickness)","no (thickness)")))</f>
        <v/>
      </c>
      <c r="J208" s="6">
        <f>SUMIFS(Objects!$L$2:$L$947,Objects!$B$2:$B$947,$A208,Objects!$F$2:$F$947,$B208,Objects!$I$2:$I$947,$C208)/100</f>
        <v/>
      </c>
      <c r="K208" s="5">
        <f>COUNTIFS(Objects!$B$2:$B$947,$A208,Objects!$F$2:$F$947,$B208,Objects!$I$2:$I$947,$C208,Objects!$J$2:$J$947,"inferred*")</f>
        <v/>
      </c>
    </row>
    <row r="209">
      <c r="A209" s="5" t="inlineStr">
        <is>
          <t>129</t>
        </is>
      </c>
      <c r="B209" s="5" t="inlineStr">
        <is>
          <t>strip_footing</t>
        </is>
      </c>
      <c r="C209" s="5" t="inlineStr">
        <is>
          <t>SF1</t>
        </is>
      </c>
      <c r="D209" s="5">
        <f>COUNTIFS(Objects!$B$2:$B$947,$A209,Objects!$F$2:$F$947,$B209,Objects!$I$2:$I$947,$C209)</f>
        <v/>
      </c>
      <c r="E209" s="5">
        <f>_xlfn.MINIFS(Objects!$L$2:$L$947,Objects!$B$2:$B$947,$A209,Objects!$F$2:$F$947,$B209,Objects!$I$2:$I$947,$C209)</f>
        <v/>
      </c>
      <c r="F209" s="5">
        <f>_xlfn.MAXIFS(Objects!$L$2:$L$947,Objects!$B$2:$B$947,$A209,Objects!$F$2:$F$947,$B209,Objects!$I$2:$I$947,$C209)</f>
        <v/>
      </c>
      <c r="G209" s="5">
        <f>_xlfn.MINIFS(Objects!$M$2:$M$947,Objects!$B$2:$B$947,$A209,Objects!$F$2:$F$947,$B209,Objects!$I$2:$I$947,$C209)</f>
        <v/>
      </c>
      <c r="H209" s="5">
        <f>_xlfn.MAXIFS(Objects!$M$2:$M$947,Objects!$B$2:$B$947,$A209,Objects!$F$2:$F$947,$B209,Objects!$I$2:$I$947,$C209)</f>
        <v/>
      </c>
      <c r="I209" s="5">
        <f>IF(OR(C209="(none)",B209="raft",B209="sump_pit"),"n/a",IF(OR(B209="column",B209="shear_wall",B209="isolated_footing",B209="combined_footing"),IF(AND(F209-E209&lt;=3,H209-G209&lt;=3),"yes","no"),IF(H209-G209&lt;=3,"yes (thickness)","no (thickness)")))</f>
        <v/>
      </c>
      <c r="J209" s="6">
        <f>SUMIFS(Objects!$L$2:$L$947,Objects!$B$2:$B$947,$A209,Objects!$F$2:$F$947,$B209,Objects!$I$2:$I$947,$C209)/100</f>
        <v/>
      </c>
      <c r="K209" s="5">
        <f>COUNTIFS(Objects!$B$2:$B$947,$A209,Objects!$F$2:$F$947,$B209,Objects!$I$2:$I$947,$C209,Objects!$J$2:$J$947,"inferred*")</f>
        <v/>
      </c>
    </row>
    <row r="210">
      <c r="A210" s="5" t="inlineStr">
        <is>
          <t>129</t>
        </is>
      </c>
      <c r="B210" s="5" t="inlineStr">
        <is>
          <t>strip_footing</t>
        </is>
      </c>
      <c r="C210" s="5" t="inlineStr">
        <is>
          <t>SF4</t>
        </is>
      </c>
      <c r="D210" s="5">
        <f>COUNTIFS(Objects!$B$2:$B$947,$A210,Objects!$F$2:$F$947,$B210,Objects!$I$2:$I$947,$C210)</f>
        <v/>
      </c>
      <c r="E210" s="5">
        <f>_xlfn.MINIFS(Objects!$L$2:$L$947,Objects!$B$2:$B$947,$A210,Objects!$F$2:$F$947,$B210,Objects!$I$2:$I$947,$C210)</f>
        <v/>
      </c>
      <c r="F210" s="5">
        <f>_xlfn.MAXIFS(Objects!$L$2:$L$947,Objects!$B$2:$B$947,$A210,Objects!$F$2:$F$947,$B210,Objects!$I$2:$I$947,$C210)</f>
        <v/>
      </c>
      <c r="G210" s="5">
        <f>_xlfn.MINIFS(Objects!$M$2:$M$947,Objects!$B$2:$B$947,$A210,Objects!$F$2:$F$947,$B210,Objects!$I$2:$I$947,$C210)</f>
        <v/>
      </c>
      <c r="H210" s="5">
        <f>_xlfn.MAXIFS(Objects!$M$2:$M$947,Objects!$B$2:$B$947,$A210,Objects!$F$2:$F$947,$B210,Objects!$I$2:$I$947,$C210)</f>
        <v/>
      </c>
      <c r="I210" s="5">
        <f>IF(OR(C210="(none)",B210="raft",B210="sump_pit"),"n/a",IF(OR(B210="column",B210="shear_wall",B210="isolated_footing",B210="combined_footing"),IF(AND(F210-E210&lt;=3,H210-G210&lt;=3),"yes","no"),IF(H210-G210&lt;=3,"yes (thickness)","no (thickness)")))</f>
        <v/>
      </c>
      <c r="J210" s="6">
        <f>SUMIFS(Objects!$L$2:$L$947,Objects!$B$2:$B$947,$A210,Objects!$F$2:$F$947,$B210,Objects!$I$2:$I$947,$C210)/100</f>
        <v/>
      </c>
      <c r="K210" s="5">
        <f>COUNTIFS(Objects!$B$2:$B$947,$A210,Objects!$F$2:$F$947,$B210,Objects!$I$2:$I$947,$C210,Objects!$J$2:$J$947,"inferred*")</f>
        <v/>
      </c>
    </row>
    <row r="211">
      <c r="A211" s="5" t="inlineStr">
        <is>
          <t>129</t>
        </is>
      </c>
      <c r="B211" s="5" t="inlineStr">
        <is>
          <t>grade_beam</t>
        </is>
      </c>
      <c r="C211" s="5" t="inlineStr">
        <is>
          <t>LG25x40</t>
        </is>
      </c>
      <c r="D211" s="5">
        <f>COUNTIFS(Objects!$B$2:$B$947,$A211,Objects!$F$2:$F$947,$B211,Objects!$I$2:$I$947,$C211)</f>
        <v/>
      </c>
      <c r="E211" s="5">
        <f>_xlfn.MINIFS(Objects!$L$2:$L$947,Objects!$B$2:$B$947,$A211,Objects!$F$2:$F$947,$B211,Objects!$I$2:$I$947,$C211)</f>
        <v/>
      </c>
      <c r="F211" s="5">
        <f>_xlfn.MAXIFS(Objects!$L$2:$L$947,Objects!$B$2:$B$947,$A211,Objects!$F$2:$F$947,$B211,Objects!$I$2:$I$947,$C211)</f>
        <v/>
      </c>
      <c r="G211" s="5">
        <f>_xlfn.MINIFS(Objects!$M$2:$M$947,Objects!$B$2:$B$947,$A211,Objects!$F$2:$F$947,$B211,Objects!$I$2:$I$947,$C211)</f>
        <v/>
      </c>
      <c r="H211" s="5">
        <f>_xlfn.MAXIFS(Objects!$M$2:$M$947,Objects!$B$2:$B$947,$A211,Objects!$F$2:$F$947,$B211,Objects!$I$2:$I$947,$C211)</f>
        <v/>
      </c>
      <c r="I211" s="5">
        <f>IF(OR(C211="(none)",B211="raft",B211="sump_pit"),"n/a",IF(OR(B211="column",B211="shear_wall",B211="isolated_footing",B211="combined_footing"),IF(AND(F211-E211&lt;=3,H211-G211&lt;=3),"yes","no"),IF(H211-G211&lt;=3,"yes (thickness)","no (thickness)")))</f>
        <v/>
      </c>
      <c r="J211" s="6">
        <f>SUMIFS(Objects!$L$2:$L$947,Objects!$B$2:$B$947,$A211,Objects!$F$2:$F$947,$B211,Objects!$I$2:$I$947,$C211)/100</f>
        <v/>
      </c>
      <c r="K211" s="5">
        <f>COUNTIFS(Objects!$B$2:$B$947,$A211,Objects!$F$2:$F$947,$B211,Objects!$I$2:$I$947,$C211,Objects!$J$2:$J$947,"inferred*")</f>
        <v/>
      </c>
    </row>
    <row r="212">
      <c r="A212" s="5" t="inlineStr">
        <is>
          <t>129</t>
        </is>
      </c>
      <c r="B212" s="5" t="inlineStr">
        <is>
          <t>grade_beam</t>
        </is>
      </c>
      <c r="C212" s="5" t="inlineStr">
        <is>
          <t>LG40x15</t>
        </is>
      </c>
      <c r="D212" s="5">
        <f>COUNTIFS(Objects!$B$2:$B$947,$A212,Objects!$F$2:$F$947,$B212,Objects!$I$2:$I$947,$C212)</f>
        <v/>
      </c>
      <c r="E212" s="5">
        <f>_xlfn.MINIFS(Objects!$L$2:$L$947,Objects!$B$2:$B$947,$A212,Objects!$F$2:$F$947,$B212,Objects!$I$2:$I$947,$C212)</f>
        <v/>
      </c>
      <c r="F212" s="5">
        <f>_xlfn.MAXIFS(Objects!$L$2:$L$947,Objects!$B$2:$B$947,$A212,Objects!$F$2:$F$947,$B212,Objects!$I$2:$I$947,$C212)</f>
        <v/>
      </c>
      <c r="G212" s="5">
        <f>_xlfn.MINIFS(Objects!$M$2:$M$947,Objects!$B$2:$B$947,$A212,Objects!$F$2:$F$947,$B212,Objects!$I$2:$I$947,$C212)</f>
        <v/>
      </c>
      <c r="H212" s="5">
        <f>_xlfn.MAXIFS(Objects!$M$2:$M$947,Objects!$B$2:$B$947,$A212,Objects!$F$2:$F$947,$B212,Objects!$I$2:$I$947,$C212)</f>
        <v/>
      </c>
      <c r="I212" s="5">
        <f>IF(OR(C212="(none)",B212="raft",B212="sump_pit"),"n/a",IF(OR(B212="column",B212="shear_wall",B212="isolated_footing",B212="combined_footing"),IF(AND(F212-E212&lt;=3,H212-G212&lt;=3),"yes","no"),IF(H212-G212&lt;=3,"yes (thickness)","no (thickness)")))</f>
        <v/>
      </c>
      <c r="J212" s="6">
        <f>SUMIFS(Objects!$L$2:$L$947,Objects!$B$2:$B$947,$A212,Objects!$F$2:$F$947,$B212,Objects!$I$2:$I$947,$C212)/100</f>
        <v/>
      </c>
      <c r="K212" s="5">
        <f>COUNTIFS(Objects!$B$2:$B$947,$A212,Objects!$F$2:$F$947,$B212,Objects!$I$2:$I$947,$C212,Objects!$J$2:$J$947,"inferred*")</f>
        <v/>
      </c>
    </row>
    <row r="213">
      <c r="A213" s="5" t="inlineStr">
        <is>
          <t>129</t>
        </is>
      </c>
      <c r="B213" s="5" t="inlineStr">
        <is>
          <t>raft</t>
        </is>
      </c>
      <c r="C213" s="5" t="inlineStr">
        <is>
          <t>Radier 100</t>
        </is>
      </c>
      <c r="D213" s="5">
        <f>COUNTIFS(Objects!$B$2:$B$947,$A213,Objects!$F$2:$F$947,$B213,Objects!$I$2:$I$947,$C213)</f>
        <v/>
      </c>
      <c r="E213" s="5">
        <f>_xlfn.MINIFS(Objects!$L$2:$L$947,Objects!$B$2:$B$947,$A213,Objects!$F$2:$F$947,$B213,Objects!$I$2:$I$947,$C213)</f>
        <v/>
      </c>
      <c r="F213" s="5">
        <f>_xlfn.MAXIFS(Objects!$L$2:$L$947,Objects!$B$2:$B$947,$A213,Objects!$F$2:$F$947,$B213,Objects!$I$2:$I$947,$C213)</f>
        <v/>
      </c>
      <c r="G213" s="5">
        <f>_xlfn.MINIFS(Objects!$M$2:$M$947,Objects!$B$2:$B$947,$A213,Objects!$F$2:$F$947,$B213,Objects!$I$2:$I$947,$C213)</f>
        <v/>
      </c>
      <c r="H213" s="5">
        <f>_xlfn.MAXIFS(Objects!$M$2:$M$947,Objects!$B$2:$B$947,$A213,Objects!$F$2:$F$947,$B213,Objects!$I$2:$I$947,$C213)</f>
        <v/>
      </c>
      <c r="I213" s="5">
        <f>IF(OR(C213="(none)",B213="raft",B213="sump_pit"),"n/a",IF(OR(B213="column",B213="shear_wall",B213="isolated_footing",B213="combined_footing"),IF(AND(F213-E213&lt;=3,H213-G213&lt;=3),"yes","no"),IF(H213-G213&lt;=3,"yes (thickness)","no (thickness)")))</f>
        <v/>
      </c>
      <c r="J213" s="6">
        <f>SUMIFS(Objects!$L$2:$L$947,Objects!$B$2:$B$947,$A213,Objects!$F$2:$F$947,$B213,Objects!$I$2:$I$947,$C213)/100</f>
        <v/>
      </c>
      <c r="K213" s="5">
        <f>COUNTIFS(Objects!$B$2:$B$947,$A213,Objects!$F$2:$F$947,$B213,Objects!$I$2:$I$947,$C213,Objects!$J$2:$J$947,"inferred*")</f>
        <v/>
      </c>
    </row>
    <row r="214">
      <c r="A214" s="5" t="inlineStr">
        <is>
          <t>130</t>
        </is>
      </c>
      <c r="B214" s="5" t="inlineStr">
        <is>
          <t>column</t>
        </is>
      </c>
      <c r="C214" s="5" t="inlineStr">
        <is>
          <t>P1/130</t>
        </is>
      </c>
      <c r="D214" s="5">
        <f>COUNTIFS(Objects!$B$2:$B$947,$A214,Objects!$F$2:$F$947,$B214,Objects!$I$2:$I$947,$C214)</f>
        <v/>
      </c>
      <c r="E214" s="5">
        <f>_xlfn.MINIFS(Objects!$L$2:$L$947,Objects!$B$2:$B$947,$A214,Objects!$F$2:$F$947,$B214,Objects!$I$2:$I$947,$C214)</f>
        <v/>
      </c>
      <c r="F214" s="5">
        <f>_xlfn.MAXIFS(Objects!$L$2:$L$947,Objects!$B$2:$B$947,$A214,Objects!$F$2:$F$947,$B214,Objects!$I$2:$I$947,$C214)</f>
        <v/>
      </c>
      <c r="G214" s="5">
        <f>_xlfn.MINIFS(Objects!$M$2:$M$947,Objects!$B$2:$B$947,$A214,Objects!$F$2:$F$947,$B214,Objects!$I$2:$I$947,$C214)</f>
        <v/>
      </c>
      <c r="H214" s="5">
        <f>_xlfn.MAXIFS(Objects!$M$2:$M$947,Objects!$B$2:$B$947,$A214,Objects!$F$2:$F$947,$B214,Objects!$I$2:$I$947,$C214)</f>
        <v/>
      </c>
      <c r="I214" s="5">
        <f>IF(OR(C214="(none)",B214="raft",B214="sump_pit"),"n/a",IF(OR(B214="column",B214="shear_wall",B214="isolated_footing",B214="combined_footing"),IF(AND(F214-E214&lt;=3,H214-G214&lt;=3),"yes","no"),IF(H214-G214&lt;=3,"yes (thickness)","no (thickness)")))</f>
        <v/>
      </c>
      <c r="J214" s="6">
        <f>SUMIFS(Objects!$L$2:$L$947,Objects!$B$2:$B$947,$A214,Objects!$F$2:$F$947,$B214,Objects!$I$2:$I$947,$C214)/100</f>
        <v/>
      </c>
      <c r="K214" s="5">
        <f>COUNTIFS(Objects!$B$2:$B$947,$A214,Objects!$F$2:$F$947,$B214,Objects!$I$2:$I$947,$C214,Objects!$J$2:$J$947,"inferred*")</f>
        <v/>
      </c>
    </row>
    <row r="215">
      <c r="A215" s="5" t="inlineStr">
        <is>
          <t>130</t>
        </is>
      </c>
      <c r="B215" s="5" t="inlineStr">
        <is>
          <t>column</t>
        </is>
      </c>
      <c r="C215" s="5" t="inlineStr">
        <is>
          <t>P3/130</t>
        </is>
      </c>
      <c r="D215" s="5">
        <f>COUNTIFS(Objects!$B$2:$B$947,$A215,Objects!$F$2:$F$947,$B215,Objects!$I$2:$I$947,$C215)</f>
        <v/>
      </c>
      <c r="E215" s="5">
        <f>_xlfn.MINIFS(Objects!$L$2:$L$947,Objects!$B$2:$B$947,$A215,Objects!$F$2:$F$947,$B215,Objects!$I$2:$I$947,$C215)</f>
        <v/>
      </c>
      <c r="F215" s="5">
        <f>_xlfn.MAXIFS(Objects!$L$2:$L$947,Objects!$B$2:$B$947,$A215,Objects!$F$2:$F$947,$B215,Objects!$I$2:$I$947,$C215)</f>
        <v/>
      </c>
      <c r="G215" s="5">
        <f>_xlfn.MINIFS(Objects!$M$2:$M$947,Objects!$B$2:$B$947,$A215,Objects!$F$2:$F$947,$B215,Objects!$I$2:$I$947,$C215)</f>
        <v/>
      </c>
      <c r="H215" s="5">
        <f>_xlfn.MAXIFS(Objects!$M$2:$M$947,Objects!$B$2:$B$947,$A215,Objects!$F$2:$F$947,$B215,Objects!$I$2:$I$947,$C215)</f>
        <v/>
      </c>
      <c r="I215" s="5">
        <f>IF(OR(C215="(none)",B215="raft",B215="sump_pit"),"n/a",IF(OR(B215="column",B215="shear_wall",B215="isolated_footing",B215="combined_footing"),IF(AND(F215-E215&lt;=3,H215-G215&lt;=3),"yes","no"),IF(H215-G215&lt;=3,"yes (thickness)","no (thickness)")))</f>
        <v/>
      </c>
      <c r="J215" s="6">
        <f>SUMIFS(Objects!$L$2:$L$947,Objects!$B$2:$B$947,$A215,Objects!$F$2:$F$947,$B215,Objects!$I$2:$I$947,$C215)/100</f>
        <v/>
      </c>
      <c r="K215" s="5">
        <f>COUNTIFS(Objects!$B$2:$B$947,$A215,Objects!$F$2:$F$947,$B215,Objects!$I$2:$I$947,$C215,Objects!$J$2:$J$947,"inferred*")</f>
        <v/>
      </c>
    </row>
    <row r="216">
      <c r="A216" s="5" t="inlineStr">
        <is>
          <t>130</t>
        </is>
      </c>
      <c r="B216" s="5" t="inlineStr">
        <is>
          <t>shear_wall</t>
        </is>
      </c>
      <c r="C216" s="5" t="inlineStr">
        <is>
          <t>V1/130</t>
        </is>
      </c>
      <c r="D216" s="5">
        <f>COUNTIFS(Objects!$B$2:$B$947,$A216,Objects!$F$2:$F$947,$B216,Objects!$I$2:$I$947,$C216)</f>
        <v/>
      </c>
      <c r="E216" s="5">
        <f>_xlfn.MINIFS(Objects!$L$2:$L$947,Objects!$B$2:$B$947,$A216,Objects!$F$2:$F$947,$B216,Objects!$I$2:$I$947,$C216)</f>
        <v/>
      </c>
      <c r="F216" s="5">
        <f>_xlfn.MAXIFS(Objects!$L$2:$L$947,Objects!$B$2:$B$947,$A216,Objects!$F$2:$F$947,$B216,Objects!$I$2:$I$947,$C216)</f>
        <v/>
      </c>
      <c r="G216" s="5">
        <f>_xlfn.MINIFS(Objects!$M$2:$M$947,Objects!$B$2:$B$947,$A216,Objects!$F$2:$F$947,$B216,Objects!$I$2:$I$947,$C216)</f>
        <v/>
      </c>
      <c r="H216" s="5">
        <f>_xlfn.MAXIFS(Objects!$M$2:$M$947,Objects!$B$2:$B$947,$A216,Objects!$F$2:$F$947,$B216,Objects!$I$2:$I$947,$C216)</f>
        <v/>
      </c>
      <c r="I216" s="5">
        <f>IF(OR(C216="(none)",B216="raft",B216="sump_pit"),"n/a",IF(OR(B216="column",B216="shear_wall",B216="isolated_footing",B216="combined_footing"),IF(AND(F216-E216&lt;=3,H216-G216&lt;=3),"yes","no"),IF(H216-G216&lt;=3,"yes (thickness)","no (thickness)")))</f>
        <v/>
      </c>
      <c r="J216" s="6">
        <f>SUMIFS(Objects!$L$2:$L$947,Objects!$B$2:$B$947,$A216,Objects!$F$2:$F$947,$B216,Objects!$I$2:$I$947,$C216)/100</f>
        <v/>
      </c>
      <c r="K216" s="5">
        <f>COUNTIFS(Objects!$B$2:$B$947,$A216,Objects!$F$2:$F$947,$B216,Objects!$I$2:$I$947,$C216,Objects!$J$2:$J$947,"inferred*")</f>
        <v/>
      </c>
    </row>
    <row r="217">
      <c r="A217" s="5" t="inlineStr">
        <is>
          <t>130</t>
        </is>
      </c>
      <c r="B217" s="5" t="inlineStr">
        <is>
          <t>shear_wall</t>
        </is>
      </c>
      <c r="C217" s="5" t="inlineStr">
        <is>
          <t>V3/130</t>
        </is>
      </c>
      <c r="D217" s="5">
        <f>COUNTIFS(Objects!$B$2:$B$947,$A217,Objects!$F$2:$F$947,$B217,Objects!$I$2:$I$947,$C217)</f>
        <v/>
      </c>
      <c r="E217" s="5">
        <f>_xlfn.MINIFS(Objects!$L$2:$L$947,Objects!$B$2:$B$947,$A217,Objects!$F$2:$F$947,$B217,Objects!$I$2:$I$947,$C217)</f>
        <v/>
      </c>
      <c r="F217" s="5">
        <f>_xlfn.MAXIFS(Objects!$L$2:$L$947,Objects!$B$2:$B$947,$A217,Objects!$F$2:$F$947,$B217,Objects!$I$2:$I$947,$C217)</f>
        <v/>
      </c>
      <c r="G217" s="5">
        <f>_xlfn.MINIFS(Objects!$M$2:$M$947,Objects!$B$2:$B$947,$A217,Objects!$F$2:$F$947,$B217,Objects!$I$2:$I$947,$C217)</f>
        <v/>
      </c>
      <c r="H217" s="5">
        <f>_xlfn.MAXIFS(Objects!$M$2:$M$947,Objects!$B$2:$B$947,$A217,Objects!$F$2:$F$947,$B217,Objects!$I$2:$I$947,$C217)</f>
        <v/>
      </c>
      <c r="I217" s="5">
        <f>IF(OR(C217="(none)",B217="raft",B217="sump_pit"),"n/a",IF(OR(B217="column",B217="shear_wall",B217="isolated_footing",B217="combined_footing"),IF(AND(F217-E217&lt;=3,H217-G217&lt;=3),"yes","no"),IF(H217-G217&lt;=3,"yes (thickness)","no (thickness)")))</f>
        <v/>
      </c>
      <c r="J217" s="6">
        <f>SUMIFS(Objects!$L$2:$L$947,Objects!$B$2:$B$947,$A217,Objects!$F$2:$F$947,$B217,Objects!$I$2:$I$947,$C217)/100</f>
        <v/>
      </c>
      <c r="K217" s="5">
        <f>COUNTIFS(Objects!$B$2:$B$947,$A217,Objects!$F$2:$F$947,$B217,Objects!$I$2:$I$947,$C217,Objects!$J$2:$J$947,"inferred*")</f>
        <v/>
      </c>
    </row>
    <row r="218">
      <c r="A218" s="5" t="inlineStr">
        <is>
          <t>130</t>
        </is>
      </c>
      <c r="B218" s="5" t="inlineStr">
        <is>
          <t>shear_wall</t>
        </is>
      </c>
      <c r="C218" s="5" t="inlineStr">
        <is>
          <t>V4/130</t>
        </is>
      </c>
      <c r="D218" s="5">
        <f>COUNTIFS(Objects!$B$2:$B$947,$A218,Objects!$F$2:$F$947,$B218,Objects!$I$2:$I$947,$C218)</f>
        <v/>
      </c>
      <c r="E218" s="5">
        <f>_xlfn.MINIFS(Objects!$L$2:$L$947,Objects!$B$2:$B$947,$A218,Objects!$F$2:$F$947,$B218,Objects!$I$2:$I$947,$C218)</f>
        <v/>
      </c>
      <c r="F218" s="5">
        <f>_xlfn.MAXIFS(Objects!$L$2:$L$947,Objects!$B$2:$B$947,$A218,Objects!$F$2:$F$947,$B218,Objects!$I$2:$I$947,$C218)</f>
        <v/>
      </c>
      <c r="G218" s="5">
        <f>_xlfn.MINIFS(Objects!$M$2:$M$947,Objects!$B$2:$B$947,$A218,Objects!$F$2:$F$947,$B218,Objects!$I$2:$I$947,$C218)</f>
        <v/>
      </c>
      <c r="H218" s="5">
        <f>_xlfn.MAXIFS(Objects!$M$2:$M$947,Objects!$B$2:$B$947,$A218,Objects!$F$2:$F$947,$B218,Objects!$I$2:$I$947,$C218)</f>
        <v/>
      </c>
      <c r="I218" s="5">
        <f>IF(OR(C218="(none)",B218="raft",B218="sump_pit"),"n/a",IF(OR(B218="column",B218="shear_wall",B218="isolated_footing",B218="combined_footing"),IF(AND(F218-E218&lt;=3,H218-G218&lt;=3),"yes","no"),IF(H218-G218&lt;=3,"yes (thickness)","no (thickness)")))</f>
        <v/>
      </c>
      <c r="J218" s="6">
        <f>SUMIFS(Objects!$L$2:$L$947,Objects!$B$2:$B$947,$A218,Objects!$F$2:$F$947,$B218,Objects!$I$2:$I$947,$C218)/100</f>
        <v/>
      </c>
      <c r="K218" s="5">
        <f>COUNTIFS(Objects!$B$2:$B$947,$A218,Objects!$F$2:$F$947,$B218,Objects!$I$2:$I$947,$C218,Objects!$J$2:$J$947,"inferred*")</f>
        <v/>
      </c>
    </row>
    <row r="219">
      <c r="A219" s="5" t="inlineStr">
        <is>
          <t>130</t>
        </is>
      </c>
      <c r="B219" s="5" t="inlineStr">
        <is>
          <t>shear_wall</t>
        </is>
      </c>
      <c r="C219" s="5" t="inlineStr">
        <is>
          <t>V6/130</t>
        </is>
      </c>
      <c r="D219" s="5">
        <f>COUNTIFS(Objects!$B$2:$B$947,$A219,Objects!$F$2:$F$947,$B219,Objects!$I$2:$I$947,$C219)</f>
        <v/>
      </c>
      <c r="E219" s="5">
        <f>_xlfn.MINIFS(Objects!$L$2:$L$947,Objects!$B$2:$B$947,$A219,Objects!$F$2:$F$947,$B219,Objects!$I$2:$I$947,$C219)</f>
        <v/>
      </c>
      <c r="F219" s="5">
        <f>_xlfn.MAXIFS(Objects!$L$2:$L$947,Objects!$B$2:$B$947,$A219,Objects!$F$2:$F$947,$B219,Objects!$I$2:$I$947,$C219)</f>
        <v/>
      </c>
      <c r="G219" s="5">
        <f>_xlfn.MINIFS(Objects!$M$2:$M$947,Objects!$B$2:$B$947,$A219,Objects!$F$2:$F$947,$B219,Objects!$I$2:$I$947,$C219)</f>
        <v/>
      </c>
      <c r="H219" s="5">
        <f>_xlfn.MAXIFS(Objects!$M$2:$M$947,Objects!$B$2:$B$947,$A219,Objects!$F$2:$F$947,$B219,Objects!$I$2:$I$947,$C219)</f>
        <v/>
      </c>
      <c r="I219" s="5">
        <f>IF(OR(C219="(none)",B219="raft",B219="sump_pit"),"n/a",IF(OR(B219="column",B219="shear_wall",B219="isolated_footing",B219="combined_footing"),IF(AND(F219-E219&lt;=3,H219-G219&lt;=3),"yes","no"),IF(H219-G219&lt;=3,"yes (thickness)","no (thickness)")))</f>
        <v/>
      </c>
      <c r="J219" s="6">
        <f>SUMIFS(Objects!$L$2:$L$947,Objects!$B$2:$B$947,$A219,Objects!$F$2:$F$947,$B219,Objects!$I$2:$I$947,$C219)/100</f>
        <v/>
      </c>
      <c r="K219" s="5">
        <f>COUNTIFS(Objects!$B$2:$B$947,$A219,Objects!$F$2:$F$947,$B219,Objects!$I$2:$I$947,$C219,Objects!$J$2:$J$947,"inferred*")</f>
        <v/>
      </c>
    </row>
    <row r="220">
      <c r="A220" s="5" t="inlineStr">
        <is>
          <t>130</t>
        </is>
      </c>
      <c r="B220" s="5" t="inlineStr">
        <is>
          <t>core_wall</t>
        </is>
      </c>
      <c r="C220" s="5" t="inlineStr">
        <is>
          <t>(none)</t>
        </is>
      </c>
      <c r="D220" s="5">
        <f>COUNTIFS(Objects!$B$2:$B$947,$A220,Objects!$F$2:$F$947,$B220,Objects!$I$2:$I$947,$C220)</f>
        <v/>
      </c>
      <c r="E220" s="5">
        <f>_xlfn.MINIFS(Objects!$L$2:$L$947,Objects!$B$2:$B$947,$A220,Objects!$F$2:$F$947,$B220,Objects!$I$2:$I$947,$C220)</f>
        <v/>
      </c>
      <c r="F220" s="5">
        <f>_xlfn.MAXIFS(Objects!$L$2:$L$947,Objects!$B$2:$B$947,$A220,Objects!$F$2:$F$947,$B220,Objects!$I$2:$I$947,$C220)</f>
        <v/>
      </c>
      <c r="G220" s="5">
        <f>_xlfn.MINIFS(Objects!$M$2:$M$947,Objects!$B$2:$B$947,$A220,Objects!$F$2:$F$947,$B220,Objects!$I$2:$I$947,$C220)</f>
        <v/>
      </c>
      <c r="H220" s="5">
        <f>_xlfn.MAXIFS(Objects!$M$2:$M$947,Objects!$B$2:$B$947,$A220,Objects!$F$2:$F$947,$B220,Objects!$I$2:$I$947,$C220)</f>
        <v/>
      </c>
      <c r="I220" s="5">
        <f>IF(OR(C220="(none)",B220="raft",B220="sump_pit"),"n/a",IF(OR(B220="column",B220="shear_wall",B220="isolated_footing",B220="combined_footing"),IF(AND(F220-E220&lt;=3,H220-G220&lt;=3),"yes","no"),IF(H220-G220&lt;=3,"yes (thickness)","no (thickness)")))</f>
        <v/>
      </c>
      <c r="J220" s="6">
        <f>SUMIFS(Objects!$L$2:$L$947,Objects!$B$2:$B$947,$A220,Objects!$F$2:$F$947,$B220,Objects!$I$2:$I$947,$C220)/100</f>
        <v/>
      </c>
      <c r="K220" s="5">
        <f>COUNTIFS(Objects!$B$2:$B$947,$A220,Objects!$F$2:$F$947,$B220,Objects!$I$2:$I$947,$C220,Objects!$J$2:$J$947,"inferred*")</f>
        <v/>
      </c>
    </row>
    <row r="221">
      <c r="A221" s="5" t="inlineStr">
        <is>
          <t>130</t>
        </is>
      </c>
      <c r="B221" s="5" t="inlineStr">
        <is>
          <t>retaining_wall</t>
        </is>
      </c>
      <c r="C221" s="5" t="inlineStr">
        <is>
          <t>VP20</t>
        </is>
      </c>
      <c r="D221" s="5">
        <f>COUNTIFS(Objects!$B$2:$B$947,$A221,Objects!$F$2:$F$947,$B221,Objects!$I$2:$I$947,$C221)</f>
        <v/>
      </c>
      <c r="E221" s="5">
        <f>_xlfn.MINIFS(Objects!$L$2:$L$947,Objects!$B$2:$B$947,$A221,Objects!$F$2:$F$947,$B221,Objects!$I$2:$I$947,$C221)</f>
        <v/>
      </c>
      <c r="F221" s="5">
        <f>_xlfn.MAXIFS(Objects!$L$2:$L$947,Objects!$B$2:$B$947,$A221,Objects!$F$2:$F$947,$B221,Objects!$I$2:$I$947,$C221)</f>
        <v/>
      </c>
      <c r="G221" s="5">
        <f>_xlfn.MINIFS(Objects!$M$2:$M$947,Objects!$B$2:$B$947,$A221,Objects!$F$2:$F$947,$B221,Objects!$I$2:$I$947,$C221)</f>
        <v/>
      </c>
      <c r="H221" s="5">
        <f>_xlfn.MAXIFS(Objects!$M$2:$M$947,Objects!$B$2:$B$947,$A221,Objects!$F$2:$F$947,$B221,Objects!$I$2:$I$947,$C221)</f>
        <v/>
      </c>
      <c r="I221" s="5">
        <f>IF(OR(C221="(none)",B221="raft",B221="sump_pit"),"n/a",IF(OR(B221="column",B221="shear_wall",B221="isolated_footing",B221="combined_footing"),IF(AND(F221-E221&lt;=3,H221-G221&lt;=3),"yes","no"),IF(H221-G221&lt;=3,"yes (thickness)","no (thickness)")))</f>
        <v/>
      </c>
      <c r="J221" s="6">
        <f>SUMIFS(Objects!$L$2:$L$947,Objects!$B$2:$B$947,$A221,Objects!$F$2:$F$947,$B221,Objects!$I$2:$I$947,$C221)/100</f>
        <v/>
      </c>
      <c r="K221" s="5">
        <f>COUNTIFS(Objects!$B$2:$B$947,$A221,Objects!$F$2:$F$947,$B221,Objects!$I$2:$I$947,$C221,Objects!$J$2:$J$947,"inferred*")</f>
        <v/>
      </c>
    </row>
    <row r="222">
      <c r="A222" s="5" t="inlineStr">
        <is>
          <t>130</t>
        </is>
      </c>
      <c r="B222" s="5" t="inlineStr">
        <is>
          <t>retaining_wall</t>
        </is>
      </c>
      <c r="C222" s="5" t="inlineStr">
        <is>
          <t>VP25</t>
        </is>
      </c>
      <c r="D222" s="5">
        <f>COUNTIFS(Objects!$B$2:$B$947,$A222,Objects!$F$2:$F$947,$B222,Objects!$I$2:$I$947,$C222)</f>
        <v/>
      </c>
      <c r="E222" s="5">
        <f>_xlfn.MINIFS(Objects!$L$2:$L$947,Objects!$B$2:$B$947,$A222,Objects!$F$2:$F$947,$B222,Objects!$I$2:$I$947,$C222)</f>
        <v/>
      </c>
      <c r="F222" s="5">
        <f>_xlfn.MAXIFS(Objects!$L$2:$L$947,Objects!$B$2:$B$947,$A222,Objects!$F$2:$F$947,$B222,Objects!$I$2:$I$947,$C222)</f>
        <v/>
      </c>
      <c r="G222" s="5">
        <f>_xlfn.MINIFS(Objects!$M$2:$M$947,Objects!$B$2:$B$947,$A222,Objects!$F$2:$F$947,$B222,Objects!$I$2:$I$947,$C222)</f>
        <v/>
      </c>
      <c r="H222" s="5">
        <f>_xlfn.MAXIFS(Objects!$M$2:$M$947,Objects!$B$2:$B$947,$A222,Objects!$F$2:$F$947,$B222,Objects!$I$2:$I$947,$C222)</f>
        <v/>
      </c>
      <c r="I222" s="5">
        <f>IF(OR(C222="(none)",B222="raft",B222="sump_pit"),"n/a",IF(OR(B222="column",B222="shear_wall",B222="isolated_footing",B222="combined_footing"),IF(AND(F222-E222&lt;=3,H222-G222&lt;=3),"yes","no"),IF(H222-G222&lt;=3,"yes (thickness)","no (thickness)")))</f>
        <v/>
      </c>
      <c r="J222" s="6">
        <f>SUMIFS(Objects!$L$2:$L$947,Objects!$B$2:$B$947,$A222,Objects!$F$2:$F$947,$B222,Objects!$I$2:$I$947,$C222)/100</f>
        <v/>
      </c>
      <c r="K222" s="5">
        <f>COUNTIFS(Objects!$B$2:$B$947,$A222,Objects!$F$2:$F$947,$B222,Objects!$I$2:$I$947,$C222,Objects!$J$2:$J$947,"inferred*")</f>
        <v/>
      </c>
    </row>
    <row r="223">
      <c r="A223" s="5" t="inlineStr">
        <is>
          <t>130</t>
        </is>
      </c>
      <c r="B223" s="5" t="inlineStr">
        <is>
          <t>isolated_footing</t>
        </is>
      </c>
      <c r="C223" s="5" t="inlineStr">
        <is>
          <t>(none)</t>
        </is>
      </c>
      <c r="D223" s="5">
        <f>COUNTIFS(Objects!$B$2:$B$947,$A223,Objects!$F$2:$F$947,$B223,Objects!$I$2:$I$947,$C223)</f>
        <v/>
      </c>
      <c r="E223" s="5">
        <f>_xlfn.MINIFS(Objects!$L$2:$L$947,Objects!$B$2:$B$947,$A223,Objects!$F$2:$F$947,$B223,Objects!$I$2:$I$947,$C223)</f>
        <v/>
      </c>
      <c r="F223" s="5">
        <f>_xlfn.MAXIFS(Objects!$L$2:$L$947,Objects!$B$2:$B$947,$A223,Objects!$F$2:$F$947,$B223,Objects!$I$2:$I$947,$C223)</f>
        <v/>
      </c>
      <c r="G223" s="5">
        <f>_xlfn.MINIFS(Objects!$M$2:$M$947,Objects!$B$2:$B$947,$A223,Objects!$F$2:$F$947,$B223,Objects!$I$2:$I$947,$C223)</f>
        <v/>
      </c>
      <c r="H223" s="5">
        <f>_xlfn.MAXIFS(Objects!$M$2:$M$947,Objects!$B$2:$B$947,$A223,Objects!$F$2:$F$947,$B223,Objects!$I$2:$I$947,$C223)</f>
        <v/>
      </c>
      <c r="I223" s="5">
        <f>IF(OR(C223="(none)",B223="raft",B223="sump_pit"),"n/a",IF(OR(B223="column",B223="shear_wall",B223="isolated_footing",B223="combined_footing"),IF(AND(F223-E223&lt;=3,H223-G223&lt;=3),"yes","no"),IF(H223-G223&lt;=3,"yes (thickness)","no (thickness)")))</f>
        <v/>
      </c>
      <c r="J223" s="6">
        <f>SUMIFS(Objects!$L$2:$L$947,Objects!$B$2:$B$947,$A223,Objects!$F$2:$F$947,$B223,Objects!$I$2:$I$947,$C223)/100</f>
        <v/>
      </c>
      <c r="K223" s="5">
        <f>COUNTIFS(Objects!$B$2:$B$947,$A223,Objects!$F$2:$F$947,$B223,Objects!$I$2:$I$947,$C223,Objects!$J$2:$J$947,"inferred*")</f>
        <v/>
      </c>
    </row>
    <row r="224">
      <c r="A224" s="5" t="inlineStr">
        <is>
          <t>130</t>
        </is>
      </c>
      <c r="B224" s="5" t="inlineStr">
        <is>
          <t>isolated_footing</t>
        </is>
      </c>
      <c r="C224" s="5" t="inlineStr">
        <is>
          <t>S18</t>
        </is>
      </c>
      <c r="D224" s="5">
        <f>COUNTIFS(Objects!$B$2:$B$947,$A224,Objects!$F$2:$F$947,$B224,Objects!$I$2:$I$947,$C224)</f>
        <v/>
      </c>
      <c r="E224" s="5">
        <f>_xlfn.MINIFS(Objects!$L$2:$L$947,Objects!$B$2:$B$947,$A224,Objects!$F$2:$F$947,$B224,Objects!$I$2:$I$947,$C224)</f>
        <v/>
      </c>
      <c r="F224" s="5">
        <f>_xlfn.MAXIFS(Objects!$L$2:$L$947,Objects!$B$2:$B$947,$A224,Objects!$F$2:$F$947,$B224,Objects!$I$2:$I$947,$C224)</f>
        <v/>
      </c>
      <c r="G224" s="5">
        <f>_xlfn.MINIFS(Objects!$M$2:$M$947,Objects!$B$2:$B$947,$A224,Objects!$F$2:$F$947,$B224,Objects!$I$2:$I$947,$C224)</f>
        <v/>
      </c>
      <c r="H224" s="5">
        <f>_xlfn.MAXIFS(Objects!$M$2:$M$947,Objects!$B$2:$B$947,$A224,Objects!$F$2:$F$947,$B224,Objects!$I$2:$I$947,$C224)</f>
        <v/>
      </c>
      <c r="I224" s="5">
        <f>IF(OR(C224="(none)",B224="raft",B224="sump_pit"),"n/a",IF(OR(B224="column",B224="shear_wall",B224="isolated_footing",B224="combined_footing"),IF(AND(F224-E224&lt;=3,H224-G224&lt;=3),"yes","no"),IF(H224-G224&lt;=3,"yes (thickness)","no (thickness)")))</f>
        <v/>
      </c>
      <c r="J224" s="6">
        <f>SUMIFS(Objects!$L$2:$L$947,Objects!$B$2:$B$947,$A224,Objects!$F$2:$F$947,$B224,Objects!$I$2:$I$947,$C224)/100</f>
        <v/>
      </c>
      <c r="K224" s="5">
        <f>COUNTIFS(Objects!$B$2:$B$947,$A224,Objects!$F$2:$F$947,$B224,Objects!$I$2:$I$947,$C224,Objects!$J$2:$J$947,"inferred*")</f>
        <v/>
      </c>
    </row>
    <row r="225">
      <c r="A225" s="5" t="inlineStr">
        <is>
          <t>130</t>
        </is>
      </c>
      <c r="B225" s="5" t="inlineStr">
        <is>
          <t>isolated_footing</t>
        </is>
      </c>
      <c r="C225" s="5" t="inlineStr">
        <is>
          <t>S2</t>
        </is>
      </c>
      <c r="D225" s="5">
        <f>COUNTIFS(Objects!$B$2:$B$947,$A225,Objects!$F$2:$F$947,$B225,Objects!$I$2:$I$947,$C225)</f>
        <v/>
      </c>
      <c r="E225" s="5">
        <f>_xlfn.MINIFS(Objects!$L$2:$L$947,Objects!$B$2:$B$947,$A225,Objects!$F$2:$F$947,$B225,Objects!$I$2:$I$947,$C225)</f>
        <v/>
      </c>
      <c r="F225" s="5">
        <f>_xlfn.MAXIFS(Objects!$L$2:$L$947,Objects!$B$2:$B$947,$A225,Objects!$F$2:$F$947,$B225,Objects!$I$2:$I$947,$C225)</f>
        <v/>
      </c>
      <c r="G225" s="5">
        <f>_xlfn.MINIFS(Objects!$M$2:$M$947,Objects!$B$2:$B$947,$A225,Objects!$F$2:$F$947,$B225,Objects!$I$2:$I$947,$C225)</f>
        <v/>
      </c>
      <c r="H225" s="5">
        <f>_xlfn.MAXIFS(Objects!$M$2:$M$947,Objects!$B$2:$B$947,$A225,Objects!$F$2:$F$947,$B225,Objects!$I$2:$I$947,$C225)</f>
        <v/>
      </c>
      <c r="I225" s="5">
        <f>IF(OR(C225="(none)",B225="raft",B225="sump_pit"),"n/a",IF(OR(B225="column",B225="shear_wall",B225="isolated_footing",B225="combined_footing"),IF(AND(F225-E225&lt;=3,H225-G225&lt;=3),"yes","no"),IF(H225-G225&lt;=3,"yes (thickness)","no (thickness)")))</f>
        <v/>
      </c>
      <c r="J225" s="6">
        <f>SUMIFS(Objects!$L$2:$L$947,Objects!$B$2:$B$947,$A225,Objects!$F$2:$F$947,$B225,Objects!$I$2:$I$947,$C225)/100</f>
        <v/>
      </c>
      <c r="K225" s="5">
        <f>COUNTIFS(Objects!$B$2:$B$947,$A225,Objects!$F$2:$F$947,$B225,Objects!$I$2:$I$947,$C225,Objects!$J$2:$J$947,"inferred*")</f>
        <v/>
      </c>
    </row>
    <row r="226">
      <c r="A226" s="5" t="inlineStr">
        <is>
          <t>130</t>
        </is>
      </c>
      <c r="B226" s="5" t="inlineStr">
        <is>
          <t>isolated_footing</t>
        </is>
      </c>
      <c r="C226" s="5" t="inlineStr">
        <is>
          <t>S20</t>
        </is>
      </c>
      <c r="D226" s="5">
        <f>COUNTIFS(Objects!$B$2:$B$947,$A226,Objects!$F$2:$F$947,$B226,Objects!$I$2:$I$947,$C226)</f>
        <v/>
      </c>
      <c r="E226" s="5">
        <f>_xlfn.MINIFS(Objects!$L$2:$L$947,Objects!$B$2:$B$947,$A226,Objects!$F$2:$F$947,$B226,Objects!$I$2:$I$947,$C226)</f>
        <v/>
      </c>
      <c r="F226" s="5">
        <f>_xlfn.MAXIFS(Objects!$L$2:$L$947,Objects!$B$2:$B$947,$A226,Objects!$F$2:$F$947,$B226,Objects!$I$2:$I$947,$C226)</f>
        <v/>
      </c>
      <c r="G226" s="5">
        <f>_xlfn.MINIFS(Objects!$M$2:$M$947,Objects!$B$2:$B$947,$A226,Objects!$F$2:$F$947,$B226,Objects!$I$2:$I$947,$C226)</f>
        <v/>
      </c>
      <c r="H226" s="5">
        <f>_xlfn.MAXIFS(Objects!$M$2:$M$947,Objects!$B$2:$B$947,$A226,Objects!$F$2:$F$947,$B226,Objects!$I$2:$I$947,$C226)</f>
        <v/>
      </c>
      <c r="I226" s="5">
        <f>IF(OR(C226="(none)",B226="raft",B226="sump_pit"),"n/a",IF(OR(B226="column",B226="shear_wall",B226="isolated_footing",B226="combined_footing"),IF(AND(F226-E226&lt;=3,H226-G226&lt;=3),"yes","no"),IF(H226-G226&lt;=3,"yes (thickness)","no (thickness)")))</f>
        <v/>
      </c>
      <c r="J226" s="6">
        <f>SUMIFS(Objects!$L$2:$L$947,Objects!$B$2:$B$947,$A226,Objects!$F$2:$F$947,$B226,Objects!$I$2:$I$947,$C226)/100</f>
        <v/>
      </c>
      <c r="K226" s="5">
        <f>COUNTIFS(Objects!$B$2:$B$947,$A226,Objects!$F$2:$F$947,$B226,Objects!$I$2:$I$947,$C226,Objects!$J$2:$J$947,"inferred*")</f>
        <v/>
      </c>
    </row>
    <row r="227">
      <c r="A227" s="5" t="inlineStr">
        <is>
          <t>130</t>
        </is>
      </c>
      <c r="B227" s="5" t="inlineStr">
        <is>
          <t>isolated_footing</t>
        </is>
      </c>
      <c r="C227" s="5" t="inlineStr">
        <is>
          <t>S4</t>
        </is>
      </c>
      <c r="D227" s="5">
        <f>COUNTIFS(Objects!$B$2:$B$947,$A227,Objects!$F$2:$F$947,$B227,Objects!$I$2:$I$947,$C227)</f>
        <v/>
      </c>
      <c r="E227" s="5">
        <f>_xlfn.MINIFS(Objects!$L$2:$L$947,Objects!$B$2:$B$947,$A227,Objects!$F$2:$F$947,$B227,Objects!$I$2:$I$947,$C227)</f>
        <v/>
      </c>
      <c r="F227" s="5">
        <f>_xlfn.MAXIFS(Objects!$L$2:$L$947,Objects!$B$2:$B$947,$A227,Objects!$F$2:$F$947,$B227,Objects!$I$2:$I$947,$C227)</f>
        <v/>
      </c>
      <c r="G227" s="5">
        <f>_xlfn.MINIFS(Objects!$M$2:$M$947,Objects!$B$2:$B$947,$A227,Objects!$F$2:$F$947,$B227,Objects!$I$2:$I$947,$C227)</f>
        <v/>
      </c>
      <c r="H227" s="5">
        <f>_xlfn.MAXIFS(Objects!$M$2:$M$947,Objects!$B$2:$B$947,$A227,Objects!$F$2:$F$947,$B227,Objects!$I$2:$I$947,$C227)</f>
        <v/>
      </c>
      <c r="I227" s="5">
        <f>IF(OR(C227="(none)",B227="raft",B227="sump_pit"),"n/a",IF(OR(B227="column",B227="shear_wall",B227="isolated_footing",B227="combined_footing"),IF(AND(F227-E227&lt;=3,H227-G227&lt;=3),"yes","no"),IF(H227-G227&lt;=3,"yes (thickness)","no (thickness)")))</f>
        <v/>
      </c>
      <c r="J227" s="6">
        <f>SUMIFS(Objects!$L$2:$L$947,Objects!$B$2:$B$947,$A227,Objects!$F$2:$F$947,$B227,Objects!$I$2:$I$947,$C227)/100</f>
        <v/>
      </c>
      <c r="K227" s="5">
        <f>COUNTIFS(Objects!$B$2:$B$947,$A227,Objects!$F$2:$F$947,$B227,Objects!$I$2:$I$947,$C227,Objects!$J$2:$J$947,"inferred*")</f>
        <v/>
      </c>
    </row>
    <row r="228">
      <c r="A228" s="5" t="inlineStr">
        <is>
          <t>130</t>
        </is>
      </c>
      <c r="B228" s="5" t="inlineStr">
        <is>
          <t>combined_footing</t>
        </is>
      </c>
      <c r="C228" s="5" t="inlineStr">
        <is>
          <t>SC1</t>
        </is>
      </c>
      <c r="D228" s="5">
        <f>COUNTIFS(Objects!$B$2:$B$947,$A228,Objects!$F$2:$F$947,$B228,Objects!$I$2:$I$947,$C228)</f>
        <v/>
      </c>
      <c r="E228" s="5">
        <f>_xlfn.MINIFS(Objects!$L$2:$L$947,Objects!$B$2:$B$947,$A228,Objects!$F$2:$F$947,$B228,Objects!$I$2:$I$947,$C228)</f>
        <v/>
      </c>
      <c r="F228" s="5">
        <f>_xlfn.MAXIFS(Objects!$L$2:$L$947,Objects!$B$2:$B$947,$A228,Objects!$F$2:$F$947,$B228,Objects!$I$2:$I$947,$C228)</f>
        <v/>
      </c>
      <c r="G228" s="5">
        <f>_xlfn.MINIFS(Objects!$M$2:$M$947,Objects!$B$2:$B$947,$A228,Objects!$F$2:$F$947,$B228,Objects!$I$2:$I$947,$C228)</f>
        <v/>
      </c>
      <c r="H228" s="5">
        <f>_xlfn.MAXIFS(Objects!$M$2:$M$947,Objects!$B$2:$B$947,$A228,Objects!$F$2:$F$947,$B228,Objects!$I$2:$I$947,$C228)</f>
        <v/>
      </c>
      <c r="I228" s="5">
        <f>IF(OR(C228="(none)",B228="raft",B228="sump_pit"),"n/a",IF(OR(B228="column",B228="shear_wall",B228="isolated_footing",B228="combined_footing"),IF(AND(F228-E228&lt;=3,H228-G228&lt;=3),"yes","no"),IF(H228-G228&lt;=3,"yes (thickness)","no (thickness)")))</f>
        <v/>
      </c>
      <c r="J228" s="6">
        <f>SUMIFS(Objects!$L$2:$L$947,Objects!$B$2:$B$947,$A228,Objects!$F$2:$F$947,$B228,Objects!$I$2:$I$947,$C228)/100</f>
        <v/>
      </c>
      <c r="K228" s="5">
        <f>COUNTIFS(Objects!$B$2:$B$947,$A228,Objects!$F$2:$F$947,$B228,Objects!$I$2:$I$947,$C228,Objects!$J$2:$J$947,"inferred*")</f>
        <v/>
      </c>
    </row>
    <row r="229">
      <c r="A229" s="5" t="inlineStr">
        <is>
          <t>130</t>
        </is>
      </c>
      <c r="B229" s="5" t="inlineStr">
        <is>
          <t>combined_footing</t>
        </is>
      </c>
      <c r="C229" s="5" t="inlineStr">
        <is>
          <t>SC2</t>
        </is>
      </c>
      <c r="D229" s="5">
        <f>COUNTIFS(Objects!$B$2:$B$947,$A229,Objects!$F$2:$F$947,$B229,Objects!$I$2:$I$947,$C229)</f>
        <v/>
      </c>
      <c r="E229" s="5">
        <f>_xlfn.MINIFS(Objects!$L$2:$L$947,Objects!$B$2:$B$947,$A229,Objects!$F$2:$F$947,$B229,Objects!$I$2:$I$947,$C229)</f>
        <v/>
      </c>
      <c r="F229" s="5">
        <f>_xlfn.MAXIFS(Objects!$L$2:$L$947,Objects!$B$2:$B$947,$A229,Objects!$F$2:$F$947,$B229,Objects!$I$2:$I$947,$C229)</f>
        <v/>
      </c>
      <c r="G229" s="5">
        <f>_xlfn.MINIFS(Objects!$M$2:$M$947,Objects!$B$2:$B$947,$A229,Objects!$F$2:$F$947,$B229,Objects!$I$2:$I$947,$C229)</f>
        <v/>
      </c>
      <c r="H229" s="5">
        <f>_xlfn.MAXIFS(Objects!$M$2:$M$947,Objects!$B$2:$B$947,$A229,Objects!$F$2:$F$947,$B229,Objects!$I$2:$I$947,$C229)</f>
        <v/>
      </c>
      <c r="I229" s="5">
        <f>IF(OR(C229="(none)",B229="raft",B229="sump_pit"),"n/a",IF(OR(B229="column",B229="shear_wall",B229="isolated_footing",B229="combined_footing"),IF(AND(F229-E229&lt;=3,H229-G229&lt;=3),"yes","no"),IF(H229-G229&lt;=3,"yes (thickness)","no (thickness)")))</f>
        <v/>
      </c>
      <c r="J229" s="6">
        <f>SUMIFS(Objects!$L$2:$L$947,Objects!$B$2:$B$947,$A229,Objects!$F$2:$F$947,$B229,Objects!$I$2:$I$947,$C229)/100</f>
        <v/>
      </c>
      <c r="K229" s="5">
        <f>COUNTIFS(Objects!$B$2:$B$947,$A229,Objects!$F$2:$F$947,$B229,Objects!$I$2:$I$947,$C229,Objects!$J$2:$J$947,"inferred*")</f>
        <v/>
      </c>
    </row>
    <row r="230">
      <c r="A230" s="5" t="inlineStr">
        <is>
          <t>130</t>
        </is>
      </c>
      <c r="B230" s="5" t="inlineStr">
        <is>
          <t>combined_footing</t>
        </is>
      </c>
      <c r="C230" s="5" t="inlineStr">
        <is>
          <t>SC9</t>
        </is>
      </c>
      <c r="D230" s="5">
        <f>COUNTIFS(Objects!$B$2:$B$947,$A230,Objects!$F$2:$F$947,$B230,Objects!$I$2:$I$947,$C230)</f>
        <v/>
      </c>
      <c r="E230" s="5">
        <f>_xlfn.MINIFS(Objects!$L$2:$L$947,Objects!$B$2:$B$947,$A230,Objects!$F$2:$F$947,$B230,Objects!$I$2:$I$947,$C230)</f>
        <v/>
      </c>
      <c r="F230" s="5">
        <f>_xlfn.MAXIFS(Objects!$L$2:$L$947,Objects!$B$2:$B$947,$A230,Objects!$F$2:$F$947,$B230,Objects!$I$2:$I$947,$C230)</f>
        <v/>
      </c>
      <c r="G230" s="5">
        <f>_xlfn.MINIFS(Objects!$M$2:$M$947,Objects!$B$2:$B$947,$A230,Objects!$F$2:$F$947,$B230,Objects!$I$2:$I$947,$C230)</f>
        <v/>
      </c>
      <c r="H230" s="5">
        <f>_xlfn.MAXIFS(Objects!$M$2:$M$947,Objects!$B$2:$B$947,$A230,Objects!$F$2:$F$947,$B230,Objects!$I$2:$I$947,$C230)</f>
        <v/>
      </c>
      <c r="I230" s="5">
        <f>IF(OR(C230="(none)",B230="raft",B230="sump_pit"),"n/a",IF(OR(B230="column",B230="shear_wall",B230="isolated_footing",B230="combined_footing"),IF(AND(F230-E230&lt;=3,H230-G230&lt;=3),"yes","no"),IF(H230-G230&lt;=3,"yes (thickness)","no (thickness)")))</f>
        <v/>
      </c>
      <c r="J230" s="6">
        <f>SUMIFS(Objects!$L$2:$L$947,Objects!$B$2:$B$947,$A230,Objects!$F$2:$F$947,$B230,Objects!$I$2:$I$947,$C230)/100</f>
        <v/>
      </c>
      <c r="K230" s="5">
        <f>COUNTIFS(Objects!$B$2:$B$947,$A230,Objects!$F$2:$F$947,$B230,Objects!$I$2:$I$947,$C230,Objects!$J$2:$J$947,"inferred*")</f>
        <v/>
      </c>
    </row>
    <row r="231">
      <c r="A231" s="5" t="inlineStr">
        <is>
          <t>130</t>
        </is>
      </c>
      <c r="B231" s="5" t="inlineStr">
        <is>
          <t>strip_footing</t>
        </is>
      </c>
      <c r="C231" s="5" t="inlineStr">
        <is>
          <t>(none)</t>
        </is>
      </c>
      <c r="D231" s="5">
        <f>COUNTIFS(Objects!$B$2:$B$947,$A231,Objects!$F$2:$F$947,$B231,Objects!$I$2:$I$947,$C231)</f>
        <v/>
      </c>
      <c r="E231" s="5">
        <f>_xlfn.MINIFS(Objects!$L$2:$L$947,Objects!$B$2:$B$947,$A231,Objects!$F$2:$F$947,$B231,Objects!$I$2:$I$947,$C231)</f>
        <v/>
      </c>
      <c r="F231" s="5">
        <f>_xlfn.MAXIFS(Objects!$L$2:$L$947,Objects!$B$2:$B$947,$A231,Objects!$F$2:$F$947,$B231,Objects!$I$2:$I$947,$C231)</f>
        <v/>
      </c>
      <c r="G231" s="5">
        <f>_xlfn.MINIFS(Objects!$M$2:$M$947,Objects!$B$2:$B$947,$A231,Objects!$F$2:$F$947,$B231,Objects!$I$2:$I$947,$C231)</f>
        <v/>
      </c>
      <c r="H231" s="5">
        <f>_xlfn.MAXIFS(Objects!$M$2:$M$947,Objects!$B$2:$B$947,$A231,Objects!$F$2:$F$947,$B231,Objects!$I$2:$I$947,$C231)</f>
        <v/>
      </c>
      <c r="I231" s="5">
        <f>IF(OR(C231="(none)",B231="raft",B231="sump_pit"),"n/a",IF(OR(B231="column",B231="shear_wall",B231="isolated_footing",B231="combined_footing"),IF(AND(F231-E231&lt;=3,H231-G231&lt;=3),"yes","no"),IF(H231-G231&lt;=3,"yes (thickness)","no (thickness)")))</f>
        <v/>
      </c>
      <c r="J231" s="6">
        <f>SUMIFS(Objects!$L$2:$L$947,Objects!$B$2:$B$947,$A231,Objects!$F$2:$F$947,$B231,Objects!$I$2:$I$947,$C231)/100</f>
        <v/>
      </c>
      <c r="K231" s="5">
        <f>COUNTIFS(Objects!$B$2:$B$947,$A231,Objects!$F$2:$F$947,$B231,Objects!$I$2:$I$947,$C231,Objects!$J$2:$J$947,"inferred*")</f>
        <v/>
      </c>
    </row>
    <row r="232">
      <c r="A232" s="5" t="inlineStr">
        <is>
          <t>130</t>
        </is>
      </c>
      <c r="B232" s="5" t="inlineStr">
        <is>
          <t>strip_footing</t>
        </is>
      </c>
      <c r="C232" s="5" t="inlineStr">
        <is>
          <t>SF1</t>
        </is>
      </c>
      <c r="D232" s="5">
        <f>COUNTIFS(Objects!$B$2:$B$947,$A232,Objects!$F$2:$F$947,$B232,Objects!$I$2:$I$947,$C232)</f>
        <v/>
      </c>
      <c r="E232" s="5">
        <f>_xlfn.MINIFS(Objects!$L$2:$L$947,Objects!$B$2:$B$947,$A232,Objects!$F$2:$F$947,$B232,Objects!$I$2:$I$947,$C232)</f>
        <v/>
      </c>
      <c r="F232" s="5">
        <f>_xlfn.MAXIFS(Objects!$L$2:$L$947,Objects!$B$2:$B$947,$A232,Objects!$F$2:$F$947,$B232,Objects!$I$2:$I$947,$C232)</f>
        <v/>
      </c>
      <c r="G232" s="5">
        <f>_xlfn.MINIFS(Objects!$M$2:$M$947,Objects!$B$2:$B$947,$A232,Objects!$F$2:$F$947,$B232,Objects!$I$2:$I$947,$C232)</f>
        <v/>
      </c>
      <c r="H232" s="5">
        <f>_xlfn.MAXIFS(Objects!$M$2:$M$947,Objects!$B$2:$B$947,$A232,Objects!$F$2:$F$947,$B232,Objects!$I$2:$I$947,$C232)</f>
        <v/>
      </c>
      <c r="I232" s="5">
        <f>IF(OR(C232="(none)",B232="raft",B232="sump_pit"),"n/a",IF(OR(B232="column",B232="shear_wall",B232="isolated_footing",B232="combined_footing"),IF(AND(F232-E232&lt;=3,H232-G232&lt;=3),"yes","no"),IF(H232-G232&lt;=3,"yes (thickness)","no (thickness)")))</f>
        <v/>
      </c>
      <c r="J232" s="6">
        <f>SUMIFS(Objects!$L$2:$L$947,Objects!$B$2:$B$947,$A232,Objects!$F$2:$F$947,$B232,Objects!$I$2:$I$947,$C232)/100</f>
        <v/>
      </c>
      <c r="K232" s="5">
        <f>COUNTIFS(Objects!$B$2:$B$947,$A232,Objects!$F$2:$F$947,$B232,Objects!$I$2:$I$947,$C232,Objects!$J$2:$J$947,"inferred*")</f>
        <v/>
      </c>
    </row>
    <row r="233">
      <c r="A233" s="5" t="inlineStr">
        <is>
          <t>130</t>
        </is>
      </c>
      <c r="B233" s="5" t="inlineStr">
        <is>
          <t>grade_beam</t>
        </is>
      </c>
      <c r="C233" s="5" t="inlineStr">
        <is>
          <t>LG40x15</t>
        </is>
      </c>
      <c r="D233" s="5">
        <f>COUNTIFS(Objects!$B$2:$B$947,$A233,Objects!$F$2:$F$947,$B233,Objects!$I$2:$I$947,$C233)</f>
        <v/>
      </c>
      <c r="E233" s="5">
        <f>_xlfn.MINIFS(Objects!$L$2:$L$947,Objects!$B$2:$B$947,$A233,Objects!$F$2:$F$947,$B233,Objects!$I$2:$I$947,$C233)</f>
        <v/>
      </c>
      <c r="F233" s="5">
        <f>_xlfn.MAXIFS(Objects!$L$2:$L$947,Objects!$B$2:$B$947,$A233,Objects!$F$2:$F$947,$B233,Objects!$I$2:$I$947,$C233)</f>
        <v/>
      </c>
      <c r="G233" s="5">
        <f>_xlfn.MINIFS(Objects!$M$2:$M$947,Objects!$B$2:$B$947,$A233,Objects!$F$2:$F$947,$B233,Objects!$I$2:$I$947,$C233)</f>
        <v/>
      </c>
      <c r="H233" s="5">
        <f>_xlfn.MAXIFS(Objects!$M$2:$M$947,Objects!$B$2:$B$947,$A233,Objects!$F$2:$F$947,$B233,Objects!$I$2:$I$947,$C233)</f>
        <v/>
      </c>
      <c r="I233" s="5">
        <f>IF(OR(C233="(none)",B233="raft",B233="sump_pit"),"n/a",IF(OR(B233="column",B233="shear_wall",B233="isolated_footing",B233="combined_footing"),IF(AND(F233-E233&lt;=3,H233-G233&lt;=3),"yes","no"),IF(H233-G233&lt;=3,"yes (thickness)","no (thickness)")))</f>
        <v/>
      </c>
      <c r="J233" s="6">
        <f>SUMIFS(Objects!$L$2:$L$947,Objects!$B$2:$B$947,$A233,Objects!$F$2:$F$947,$B233,Objects!$I$2:$I$947,$C233)/100</f>
        <v/>
      </c>
      <c r="K233" s="5">
        <f>COUNTIFS(Objects!$B$2:$B$947,$A233,Objects!$F$2:$F$947,$B233,Objects!$I$2:$I$947,$C233,Objects!$J$2:$J$947,"inferred*")</f>
        <v/>
      </c>
    </row>
    <row r="234">
      <c r="A234" s="5" t="inlineStr">
        <is>
          <t>130</t>
        </is>
      </c>
      <c r="B234" s="5" t="inlineStr">
        <is>
          <t>raft</t>
        </is>
      </c>
      <c r="C234" s="5" t="inlineStr">
        <is>
          <t>Radier 100</t>
        </is>
      </c>
      <c r="D234" s="5">
        <f>COUNTIFS(Objects!$B$2:$B$947,$A234,Objects!$F$2:$F$947,$B234,Objects!$I$2:$I$947,$C234)</f>
        <v/>
      </c>
      <c r="E234" s="5">
        <f>_xlfn.MINIFS(Objects!$L$2:$L$947,Objects!$B$2:$B$947,$A234,Objects!$F$2:$F$947,$B234,Objects!$I$2:$I$947,$C234)</f>
        <v/>
      </c>
      <c r="F234" s="5">
        <f>_xlfn.MAXIFS(Objects!$L$2:$L$947,Objects!$B$2:$B$947,$A234,Objects!$F$2:$F$947,$B234,Objects!$I$2:$I$947,$C234)</f>
        <v/>
      </c>
      <c r="G234" s="5">
        <f>_xlfn.MINIFS(Objects!$M$2:$M$947,Objects!$B$2:$B$947,$A234,Objects!$F$2:$F$947,$B234,Objects!$I$2:$I$947,$C234)</f>
        <v/>
      </c>
      <c r="H234" s="5">
        <f>_xlfn.MAXIFS(Objects!$M$2:$M$947,Objects!$B$2:$B$947,$A234,Objects!$F$2:$F$947,$B234,Objects!$I$2:$I$947,$C234)</f>
        <v/>
      </c>
      <c r="I234" s="5">
        <f>IF(OR(C234="(none)",B234="raft",B234="sump_pit"),"n/a",IF(OR(B234="column",B234="shear_wall",B234="isolated_footing",B234="combined_footing"),IF(AND(F234-E234&lt;=3,H234-G234&lt;=3),"yes","no"),IF(H234-G234&lt;=3,"yes (thickness)","no (thickness)")))</f>
        <v/>
      </c>
      <c r="J234" s="6">
        <f>SUMIFS(Objects!$L$2:$L$947,Objects!$B$2:$B$947,$A234,Objects!$F$2:$F$947,$B234,Objects!$I$2:$I$947,$C234)/100</f>
        <v/>
      </c>
      <c r="K234" s="5">
        <f>COUNTIFS(Objects!$B$2:$B$947,$A234,Objects!$F$2:$F$947,$B234,Objects!$I$2:$I$947,$C234,Objects!$J$2:$J$947,"inferred*")</f>
        <v/>
      </c>
    </row>
    <row r="235">
      <c r="A235" s="5" t="inlineStr">
        <is>
          <t>130</t>
        </is>
      </c>
      <c r="B235" s="5" t="inlineStr">
        <is>
          <t>sump_pit</t>
        </is>
      </c>
      <c r="C235" s="5" t="inlineStr">
        <is>
          <t>Fosse</t>
        </is>
      </c>
      <c r="D235" s="5">
        <f>COUNTIFS(Objects!$B$2:$B$947,$A235,Objects!$F$2:$F$947,$B235,Objects!$I$2:$I$947,$C235)</f>
        <v/>
      </c>
      <c r="E235" s="5">
        <f>_xlfn.MINIFS(Objects!$L$2:$L$947,Objects!$B$2:$B$947,$A235,Objects!$F$2:$F$947,$B235,Objects!$I$2:$I$947,$C235)</f>
        <v/>
      </c>
      <c r="F235" s="5">
        <f>_xlfn.MAXIFS(Objects!$L$2:$L$947,Objects!$B$2:$B$947,$A235,Objects!$F$2:$F$947,$B235,Objects!$I$2:$I$947,$C235)</f>
        <v/>
      </c>
      <c r="G235" s="5">
        <f>_xlfn.MINIFS(Objects!$M$2:$M$947,Objects!$B$2:$B$947,$A235,Objects!$F$2:$F$947,$B235,Objects!$I$2:$I$947,$C235)</f>
        <v/>
      </c>
      <c r="H235" s="5">
        <f>_xlfn.MAXIFS(Objects!$M$2:$M$947,Objects!$B$2:$B$947,$A235,Objects!$F$2:$F$947,$B235,Objects!$I$2:$I$947,$C235)</f>
        <v/>
      </c>
      <c r="I235" s="5">
        <f>IF(OR(C235="(none)",B235="raft",B235="sump_pit"),"n/a",IF(OR(B235="column",B235="shear_wall",B235="isolated_footing",B235="combined_footing"),IF(AND(F235-E235&lt;=3,H235-G235&lt;=3),"yes","no"),IF(H235-G235&lt;=3,"yes (thickness)","no (thickness)")))</f>
        <v/>
      </c>
      <c r="J235" s="6">
        <f>SUMIFS(Objects!$L$2:$L$947,Objects!$B$2:$B$947,$A235,Objects!$F$2:$F$947,$B235,Objects!$I$2:$I$947,$C235)/100</f>
        <v/>
      </c>
      <c r="K235" s="5">
        <f>COUNTIFS(Objects!$B$2:$B$947,$A235,Objects!$F$2:$F$947,$B235,Objects!$I$2:$I$947,$C235,Objects!$J$2:$J$947,"inferred*")</f>
        <v/>
      </c>
    </row>
    <row r="237">
      <c r="A237" s="7" t="inlineStr">
        <is>
          <t>All</t>
        </is>
      </c>
      <c r="D237" s="7">
        <f>SUM(D2:D235)</f>
        <v/>
      </c>
    </row>
    <row r="238">
      <c r="A238" s="8" t="inlineStr">
        <is>
          <t>Unnamed clusters are not listed here (see 'Clusters'). 'Same section?' allows 3 cm; columns, shear walls and footings compare length and width, walls and bands of varying length compare thickness only.</t>
        </is>
      </c>
    </row>
  </sheetData>
  <autoFilter ref="A1:K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17" customWidth="1" min="23" max="23"/>
    <col width="30" customWidth="1" min="24" max="24"/>
    <col width="9" customWidth="1" min="25" max="25"/>
  </cols>
  <sheetData>
    <row r="1" ht="30" customHeight="1">
      <c r="A1" s="4" t="inlineStr">
        <is>
          <t>Cluster</t>
        </is>
      </c>
      <c r="B1" s="4" t="inlineStr">
        <is>
          <t>Drawing kind</t>
        </is>
      </c>
      <c r="C1" s="4" t="inlineStr">
        <is>
          <t>Members</t>
        </is>
      </c>
      <c r="D1" s="4" t="inlineStr">
        <is>
          <t>Length min (cm)</t>
        </is>
      </c>
      <c r="E1" s="4" t="inlineStr">
        <is>
          <t>Length max (cm)</t>
        </is>
      </c>
      <c r="F1" s="4" t="inlineStr">
        <is>
          <t>Width min (cm)</t>
        </is>
      </c>
      <c r="G1" s="4" t="inlineStr">
        <is>
          <t>Width max (cm)</t>
        </is>
      </c>
      <c r="H1" s="4" t="inlineStr">
        <is>
          <t>Touch solids</t>
        </is>
      </c>
      <c r="I1" s="4" t="inlineStr">
        <is>
          <t>Inside an outline</t>
        </is>
      </c>
      <c r="J1" s="4" t="inlineStr">
        <is>
          <t>In a strip band</t>
        </is>
      </c>
      <c r="K1" s="4" t="inlineStr">
        <is>
          <t>On a stamped region</t>
        </is>
      </c>
      <c r="L1" s="4" t="inlineStr">
        <is>
          <t>Votes: column</t>
        </is>
      </c>
      <c r="M1" s="4" t="inlineStr">
        <is>
          <t>Votes: footing:S</t>
        </is>
      </c>
      <c r="N1" s="4" t="inlineStr">
        <is>
          <t>Votes: footing:SC</t>
        </is>
      </c>
      <c r="O1" s="4" t="inlineStr">
        <is>
          <t>Votes: grade_beam</t>
        </is>
      </c>
      <c r="P1" s="4" t="inlineStr">
        <is>
          <t>Votes: pit</t>
        </is>
      </c>
      <c r="Q1" s="4" t="inlineStr">
        <is>
          <t>Votes: raft</t>
        </is>
      </c>
      <c r="R1" s="4" t="inlineStr">
        <is>
          <t>Votes: retaining_wall+strip_footing</t>
        </is>
      </c>
      <c r="S1" s="4" t="inlineStr">
        <is>
          <t>Votes: strip_footing</t>
        </is>
      </c>
      <c r="T1" s="4" t="inlineStr">
        <is>
          <t>Votes: wall</t>
        </is>
      </c>
      <c r="U1" s="4" t="inlineStr">
        <is>
          <t>Votes total</t>
        </is>
      </c>
      <c r="V1" s="4" t="inlineStr">
        <is>
          <t>Top share</t>
        </is>
      </c>
      <c r="W1" s="4" t="inlineStr">
        <is>
          <t>Class</t>
        </is>
      </c>
      <c r="X1" s="4" t="inlineStr">
        <is>
          <t>Named by</t>
        </is>
      </c>
      <c r="Y1" s="4" t="inlineStr">
        <is>
          <t>Silhouette</t>
        </is>
      </c>
    </row>
    <row r="2">
      <c r="A2" s="5" t="n">
        <v>0</v>
      </c>
      <c r="B2" s="5" t="inlineStr">
        <is>
          <t>band 0.10 m</t>
        </is>
      </c>
      <c r="C2" s="5">
        <f>COUNTIFS(Objects!$E$2:$E$947,$A2)</f>
        <v/>
      </c>
      <c r="D2" s="5">
        <f>_xlfn.MINIFS(Objects!$L$2:$L$947,Objects!$E$2:$E$947,$A2)</f>
        <v/>
      </c>
      <c r="E2" s="5">
        <f>_xlfn.MAXIFS(Objects!$L$2:$L$947,Objects!$E$2:$E$947,$A2)</f>
        <v/>
      </c>
      <c r="F2" s="5">
        <f>_xlfn.MINIFS(Objects!$M$2:$M$947,Objects!$E$2:$E$947,$A2)</f>
        <v/>
      </c>
      <c r="G2" s="5">
        <f>_xlfn.MAXIFS(Objects!$M$2:$M$947,Objects!$E$2:$E$947,$A2)</f>
        <v/>
      </c>
      <c r="H2" s="9">
        <f>IFERROR(COUNTIFS(Objects!$E$2:$E$947,$A2,Objects!$Q$2:$Q$947,"&gt;0")/$C2,0)</f>
        <v/>
      </c>
      <c r="I2" s="9">
        <f>IFERROR(COUNTIFS(Objects!$E$2:$E$947,$A2,Objects!$R$2:$R$947,1)/$C2,0)</f>
        <v/>
      </c>
      <c r="J2" s="9">
        <f>IFERROR(COUNTIFS(Objects!$E$2:$E$947,$A2,Objects!$S$2:$S$947,1)/$C2,0)</f>
        <v/>
      </c>
      <c r="K2" s="9">
        <f>IFERROR(COUNTIFS(Objects!$E$2:$E$947,$A2,Objects!$T$2:$T$947,1)/$C2,0)</f>
        <v/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>
        <f>SUM(L2:T2)</f>
        <v/>
      </c>
      <c r="V2" s="9">
        <f>IFERROR(MAX(L2:T2)/U2,0)</f>
        <v/>
      </c>
      <c r="W2" s="5" t="inlineStr">
        <is>
          <t>unidentified</t>
        </is>
      </c>
      <c r="X2" s="5" t="inlineStr">
        <is>
          <t>no label votes</t>
        </is>
      </c>
      <c r="Y2" s="5" t="n"/>
    </row>
    <row r="3">
      <c r="A3" s="5" t="n">
        <v>1</v>
      </c>
      <c r="B3" s="5" t="inlineStr">
        <is>
          <t>band 0.25 m</t>
        </is>
      </c>
      <c r="C3" s="5">
        <f>COUNTIFS(Objects!$E$2:$E$947,$A3)</f>
        <v/>
      </c>
      <c r="D3" s="5">
        <f>_xlfn.MINIFS(Objects!$L$2:$L$947,Objects!$E$2:$E$947,$A3)</f>
        <v/>
      </c>
      <c r="E3" s="5">
        <f>_xlfn.MAXIFS(Objects!$L$2:$L$947,Objects!$E$2:$E$947,$A3)</f>
        <v/>
      </c>
      <c r="F3" s="5">
        <f>_xlfn.MINIFS(Objects!$M$2:$M$947,Objects!$E$2:$E$947,$A3)</f>
        <v/>
      </c>
      <c r="G3" s="5">
        <f>_xlfn.MAXIFS(Objects!$M$2:$M$947,Objects!$E$2:$E$947,$A3)</f>
        <v/>
      </c>
      <c r="H3" s="9">
        <f>IFERROR(COUNTIFS(Objects!$E$2:$E$947,$A3,Objects!$Q$2:$Q$947,"&gt;0")/$C3,0)</f>
        <v/>
      </c>
      <c r="I3" s="9">
        <f>IFERROR(COUNTIFS(Objects!$E$2:$E$947,$A3,Objects!$R$2:$R$947,1)/$C3,0)</f>
        <v/>
      </c>
      <c r="J3" s="9">
        <f>IFERROR(COUNTIFS(Objects!$E$2:$E$947,$A3,Objects!$S$2:$S$947,1)/$C3,0)</f>
        <v/>
      </c>
      <c r="K3" s="9">
        <f>IFERROR(COUNTIFS(Objects!$E$2:$E$947,$A3,Objects!$T$2:$T$947,1)/$C3,0)</f>
        <v/>
      </c>
      <c r="L3" s="5" t="n">
        <v>0</v>
      </c>
      <c r="M3" s="5" t="n">
        <v>0</v>
      </c>
      <c r="N3" s="5" t="n">
        <v>0</v>
      </c>
      <c r="O3" s="5" t="n">
        <v>8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>
        <f>SUM(L3:T3)</f>
        <v/>
      </c>
      <c r="V3" s="9">
        <f>IFERROR(MAX(L3:T3)/U3,0)</f>
        <v/>
      </c>
      <c r="W3" s="5" t="inlineStr">
        <is>
          <t>grade_beam</t>
        </is>
      </c>
      <c r="X3" s="5" t="inlineStr">
        <is>
          <t>label vote</t>
        </is>
      </c>
      <c r="Y3" s="5" t="n"/>
    </row>
    <row r="4">
      <c r="A4" s="5" t="n">
        <v>2</v>
      </c>
      <c r="B4" s="5" t="inlineStr">
        <is>
          <t>band 0.32 m</t>
        </is>
      </c>
      <c r="C4" s="5">
        <f>COUNTIFS(Objects!$E$2:$E$947,$A4)</f>
        <v/>
      </c>
      <c r="D4" s="5">
        <f>_xlfn.MINIFS(Objects!$L$2:$L$947,Objects!$E$2:$E$947,$A4)</f>
        <v/>
      </c>
      <c r="E4" s="5">
        <f>_xlfn.MAXIFS(Objects!$L$2:$L$947,Objects!$E$2:$E$947,$A4)</f>
        <v/>
      </c>
      <c r="F4" s="5">
        <f>_xlfn.MINIFS(Objects!$M$2:$M$947,Objects!$E$2:$E$947,$A4)</f>
        <v/>
      </c>
      <c r="G4" s="5">
        <f>_xlfn.MAXIFS(Objects!$M$2:$M$947,Objects!$E$2:$E$947,$A4)</f>
        <v/>
      </c>
      <c r="H4" s="9">
        <f>IFERROR(COUNTIFS(Objects!$E$2:$E$947,$A4,Objects!$Q$2:$Q$947,"&gt;0")/$C4,0)</f>
        <v/>
      </c>
      <c r="I4" s="9">
        <f>IFERROR(COUNTIFS(Objects!$E$2:$E$947,$A4,Objects!$R$2:$R$947,1)/$C4,0)</f>
        <v/>
      </c>
      <c r="J4" s="9">
        <f>IFERROR(COUNTIFS(Objects!$E$2:$E$947,$A4,Objects!$S$2:$S$947,1)/$C4,0)</f>
        <v/>
      </c>
      <c r="K4" s="9">
        <f>IFERROR(COUNTIFS(Objects!$E$2:$E$947,$A4,Objects!$T$2:$T$947,1)/$C4,0)</f>
        <v/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>
        <f>SUM(L4:T4)</f>
        <v/>
      </c>
      <c r="V4" s="9">
        <f>IFERROR(MAX(L4:T4)/U4,0)</f>
        <v/>
      </c>
      <c r="W4" s="5" t="inlineStr">
        <is>
          <t>unidentified</t>
        </is>
      </c>
      <c r="X4" s="5" t="inlineStr">
        <is>
          <t>no label votes</t>
        </is>
      </c>
      <c r="Y4" s="5" t="n"/>
    </row>
    <row r="5">
      <c r="A5" s="5" t="n">
        <v>3</v>
      </c>
      <c r="B5" s="5" t="inlineStr">
        <is>
          <t>band 0.40 m</t>
        </is>
      </c>
      <c r="C5" s="5">
        <f>COUNTIFS(Objects!$E$2:$E$947,$A5)</f>
        <v/>
      </c>
      <c r="D5" s="5">
        <f>_xlfn.MINIFS(Objects!$L$2:$L$947,Objects!$E$2:$E$947,$A5)</f>
        <v/>
      </c>
      <c r="E5" s="5">
        <f>_xlfn.MAXIFS(Objects!$L$2:$L$947,Objects!$E$2:$E$947,$A5)</f>
        <v/>
      </c>
      <c r="F5" s="5">
        <f>_xlfn.MINIFS(Objects!$M$2:$M$947,Objects!$E$2:$E$947,$A5)</f>
        <v/>
      </c>
      <c r="G5" s="5">
        <f>_xlfn.MAXIFS(Objects!$M$2:$M$947,Objects!$E$2:$E$947,$A5)</f>
        <v/>
      </c>
      <c r="H5" s="9">
        <f>IFERROR(COUNTIFS(Objects!$E$2:$E$947,$A5,Objects!$Q$2:$Q$947,"&gt;0")/$C5,0)</f>
        <v/>
      </c>
      <c r="I5" s="9">
        <f>IFERROR(COUNTIFS(Objects!$E$2:$E$947,$A5,Objects!$R$2:$R$947,1)/$C5,0)</f>
        <v/>
      </c>
      <c r="J5" s="9">
        <f>IFERROR(COUNTIFS(Objects!$E$2:$E$947,$A5,Objects!$S$2:$S$947,1)/$C5,0)</f>
        <v/>
      </c>
      <c r="K5" s="9">
        <f>IFERROR(COUNTIFS(Objects!$E$2:$E$947,$A5,Objects!$T$2:$T$947,1)/$C5,0)</f>
        <v/>
      </c>
      <c r="L5" s="5" t="n">
        <v>0</v>
      </c>
      <c r="M5" s="5" t="n">
        <v>0</v>
      </c>
      <c r="N5" s="5" t="n">
        <v>0</v>
      </c>
      <c r="O5" s="5" t="n">
        <v>191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>
        <f>SUM(L5:T5)</f>
        <v/>
      </c>
      <c r="V5" s="9">
        <f>IFERROR(MAX(L5:T5)/U5,0)</f>
        <v/>
      </c>
      <c r="W5" s="5" t="inlineStr">
        <is>
          <t>grade_beam</t>
        </is>
      </c>
      <c r="X5" s="5" t="inlineStr">
        <is>
          <t>label vote</t>
        </is>
      </c>
      <c r="Y5" s="5" t="n"/>
    </row>
    <row r="6">
      <c r="A6" s="5" t="n">
        <v>4</v>
      </c>
      <c r="B6" s="5" t="inlineStr">
        <is>
          <t>band 0.48 m</t>
        </is>
      </c>
      <c r="C6" s="5">
        <f>COUNTIFS(Objects!$E$2:$E$947,$A6)</f>
        <v/>
      </c>
      <c r="D6" s="5">
        <f>_xlfn.MINIFS(Objects!$L$2:$L$947,Objects!$E$2:$E$947,$A6)</f>
        <v/>
      </c>
      <c r="E6" s="5">
        <f>_xlfn.MAXIFS(Objects!$L$2:$L$947,Objects!$E$2:$E$947,$A6)</f>
        <v/>
      </c>
      <c r="F6" s="5">
        <f>_xlfn.MINIFS(Objects!$M$2:$M$947,Objects!$E$2:$E$947,$A6)</f>
        <v/>
      </c>
      <c r="G6" s="5">
        <f>_xlfn.MAXIFS(Objects!$M$2:$M$947,Objects!$E$2:$E$947,$A6)</f>
        <v/>
      </c>
      <c r="H6" s="9">
        <f>IFERROR(COUNTIFS(Objects!$E$2:$E$947,$A6,Objects!$Q$2:$Q$947,"&gt;0")/$C6,0)</f>
        <v/>
      </c>
      <c r="I6" s="9">
        <f>IFERROR(COUNTIFS(Objects!$E$2:$E$947,$A6,Objects!$R$2:$R$947,1)/$C6,0)</f>
        <v/>
      </c>
      <c r="J6" s="9">
        <f>IFERROR(COUNTIFS(Objects!$E$2:$E$947,$A6,Objects!$S$2:$S$947,1)/$C6,0)</f>
        <v/>
      </c>
      <c r="K6" s="9">
        <f>IFERROR(COUNTIFS(Objects!$E$2:$E$947,$A6,Objects!$T$2:$T$947,1)/$C6,0)</f>
        <v/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>
        <f>SUM(L6:T6)</f>
        <v/>
      </c>
      <c r="V6" s="9">
        <f>IFERROR(MAX(L6:T6)/U6,0)</f>
        <v/>
      </c>
      <c r="W6" s="5" t="inlineStr">
        <is>
          <t>unidentified</t>
        </is>
      </c>
      <c r="X6" s="5" t="inlineStr">
        <is>
          <t>no label votes</t>
        </is>
      </c>
      <c r="Y6" s="5" t="n"/>
    </row>
    <row r="7">
      <c r="A7" s="5" t="n">
        <v>5</v>
      </c>
      <c r="B7" s="5" t="inlineStr">
        <is>
          <t>band 0.80 m</t>
        </is>
      </c>
      <c r="C7" s="5">
        <f>COUNTIFS(Objects!$E$2:$E$947,$A7)</f>
        <v/>
      </c>
      <c r="D7" s="5">
        <f>_xlfn.MINIFS(Objects!$L$2:$L$947,Objects!$E$2:$E$947,$A7)</f>
        <v/>
      </c>
      <c r="E7" s="5">
        <f>_xlfn.MAXIFS(Objects!$L$2:$L$947,Objects!$E$2:$E$947,$A7)</f>
        <v/>
      </c>
      <c r="F7" s="5">
        <f>_xlfn.MINIFS(Objects!$M$2:$M$947,Objects!$E$2:$E$947,$A7)</f>
        <v/>
      </c>
      <c r="G7" s="5">
        <f>_xlfn.MAXIFS(Objects!$M$2:$M$947,Objects!$E$2:$E$947,$A7)</f>
        <v/>
      </c>
      <c r="H7" s="9">
        <f>IFERROR(COUNTIFS(Objects!$E$2:$E$947,$A7,Objects!$Q$2:$Q$947,"&gt;0")/$C7,0)</f>
        <v/>
      </c>
      <c r="I7" s="9">
        <f>IFERROR(COUNTIFS(Objects!$E$2:$E$947,$A7,Objects!$R$2:$R$947,1)/$C7,0)</f>
        <v/>
      </c>
      <c r="J7" s="9">
        <f>IFERROR(COUNTIFS(Objects!$E$2:$E$947,$A7,Objects!$S$2:$S$947,1)/$C7,0)</f>
        <v/>
      </c>
      <c r="K7" s="9">
        <f>IFERROR(COUNTIFS(Objects!$E$2:$E$947,$A7,Objects!$T$2:$T$947,1)/$C7,0)</f>
        <v/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60</v>
      </c>
      <c r="T7" s="5" t="n">
        <v>0</v>
      </c>
      <c r="U7" s="5">
        <f>SUM(L7:T7)</f>
        <v/>
      </c>
      <c r="V7" s="9">
        <f>IFERROR(MAX(L7:T7)/U7,0)</f>
        <v/>
      </c>
      <c r="W7" s="5" t="inlineStr">
        <is>
          <t>strip_footing</t>
        </is>
      </c>
      <c r="X7" s="5" t="inlineStr">
        <is>
          <t>label vote</t>
        </is>
      </c>
      <c r="Y7" s="5" t="n"/>
    </row>
    <row r="8">
      <c r="A8" s="5" t="n">
        <v>6</v>
      </c>
      <c r="B8" s="5" t="inlineStr">
        <is>
          <t>band 0.83 m</t>
        </is>
      </c>
      <c r="C8" s="5">
        <f>COUNTIFS(Objects!$E$2:$E$947,$A8)</f>
        <v/>
      </c>
      <c r="D8" s="5">
        <f>_xlfn.MINIFS(Objects!$L$2:$L$947,Objects!$E$2:$E$947,$A8)</f>
        <v/>
      </c>
      <c r="E8" s="5">
        <f>_xlfn.MAXIFS(Objects!$L$2:$L$947,Objects!$E$2:$E$947,$A8)</f>
        <v/>
      </c>
      <c r="F8" s="5">
        <f>_xlfn.MINIFS(Objects!$M$2:$M$947,Objects!$E$2:$E$947,$A8)</f>
        <v/>
      </c>
      <c r="G8" s="5">
        <f>_xlfn.MAXIFS(Objects!$M$2:$M$947,Objects!$E$2:$E$947,$A8)</f>
        <v/>
      </c>
      <c r="H8" s="9">
        <f>IFERROR(COUNTIFS(Objects!$E$2:$E$947,$A8,Objects!$Q$2:$Q$947,"&gt;0")/$C8,0)</f>
        <v/>
      </c>
      <c r="I8" s="9">
        <f>IFERROR(COUNTIFS(Objects!$E$2:$E$947,$A8,Objects!$R$2:$R$947,1)/$C8,0)</f>
        <v/>
      </c>
      <c r="J8" s="9">
        <f>IFERROR(COUNTIFS(Objects!$E$2:$E$947,$A8,Objects!$S$2:$S$947,1)/$C8,0)</f>
        <v/>
      </c>
      <c r="K8" s="9">
        <f>IFERROR(COUNTIFS(Objects!$E$2:$E$947,$A8,Objects!$T$2:$T$947,1)/$C8,0)</f>
        <v/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>
        <f>SUM(L8:T8)</f>
        <v/>
      </c>
      <c r="V8" s="9">
        <f>IFERROR(MAX(L8:T8)/U8,0)</f>
        <v/>
      </c>
      <c r="W8" s="5" t="inlineStr">
        <is>
          <t>unidentified</t>
        </is>
      </c>
      <c r="X8" s="5" t="inlineStr">
        <is>
          <t>no label votes</t>
        </is>
      </c>
      <c r="Y8" s="5" t="n"/>
    </row>
    <row r="9">
      <c r="A9" s="5" t="n">
        <v>7</v>
      </c>
      <c r="B9" s="5" t="inlineStr">
        <is>
          <t>band 0.95 m</t>
        </is>
      </c>
      <c r="C9" s="5">
        <f>COUNTIFS(Objects!$E$2:$E$947,$A9)</f>
        <v/>
      </c>
      <c r="D9" s="5">
        <f>_xlfn.MINIFS(Objects!$L$2:$L$947,Objects!$E$2:$E$947,$A9)</f>
        <v/>
      </c>
      <c r="E9" s="5">
        <f>_xlfn.MAXIFS(Objects!$L$2:$L$947,Objects!$E$2:$E$947,$A9)</f>
        <v/>
      </c>
      <c r="F9" s="5">
        <f>_xlfn.MINIFS(Objects!$M$2:$M$947,Objects!$E$2:$E$947,$A9)</f>
        <v/>
      </c>
      <c r="G9" s="5">
        <f>_xlfn.MAXIFS(Objects!$M$2:$M$947,Objects!$E$2:$E$947,$A9)</f>
        <v/>
      </c>
      <c r="H9" s="9">
        <f>IFERROR(COUNTIFS(Objects!$E$2:$E$947,$A9,Objects!$Q$2:$Q$947,"&gt;0")/$C9,0)</f>
        <v/>
      </c>
      <c r="I9" s="9">
        <f>IFERROR(COUNTIFS(Objects!$E$2:$E$947,$A9,Objects!$R$2:$R$947,1)/$C9,0)</f>
        <v/>
      </c>
      <c r="J9" s="9">
        <f>IFERROR(COUNTIFS(Objects!$E$2:$E$947,$A9,Objects!$S$2:$S$947,1)/$C9,0)</f>
        <v/>
      </c>
      <c r="K9" s="9">
        <f>IFERROR(COUNTIFS(Objects!$E$2:$E$947,$A9,Objects!$T$2:$T$947,1)/$C9,0)</f>
        <v/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>
        <f>SUM(L9:T9)</f>
        <v/>
      </c>
      <c r="V9" s="9">
        <f>IFERROR(MAX(L9:T9)/U9,0)</f>
        <v/>
      </c>
      <c r="W9" s="5" t="inlineStr">
        <is>
          <t>unidentified</t>
        </is>
      </c>
      <c r="X9" s="5" t="inlineStr">
        <is>
          <t>no label votes</t>
        </is>
      </c>
      <c r="Y9" s="5" t="n"/>
    </row>
    <row r="10">
      <c r="A10" s="5" t="n">
        <v>8</v>
      </c>
      <c r="B10" s="5" t="inlineStr">
        <is>
          <t>band 1.00 m</t>
        </is>
      </c>
      <c r="C10" s="5">
        <f>COUNTIFS(Objects!$E$2:$E$947,$A10)</f>
        <v/>
      </c>
      <c r="D10" s="5">
        <f>_xlfn.MINIFS(Objects!$L$2:$L$947,Objects!$E$2:$E$947,$A10)</f>
        <v/>
      </c>
      <c r="E10" s="5">
        <f>_xlfn.MAXIFS(Objects!$L$2:$L$947,Objects!$E$2:$E$947,$A10)</f>
        <v/>
      </c>
      <c r="F10" s="5">
        <f>_xlfn.MINIFS(Objects!$M$2:$M$947,Objects!$E$2:$E$947,$A10)</f>
        <v/>
      </c>
      <c r="G10" s="5">
        <f>_xlfn.MAXIFS(Objects!$M$2:$M$947,Objects!$E$2:$E$947,$A10)</f>
        <v/>
      </c>
      <c r="H10" s="9">
        <f>IFERROR(COUNTIFS(Objects!$E$2:$E$947,$A10,Objects!$Q$2:$Q$947,"&gt;0")/$C10,0)</f>
        <v/>
      </c>
      <c r="I10" s="9">
        <f>IFERROR(COUNTIFS(Objects!$E$2:$E$947,$A10,Objects!$R$2:$R$947,1)/$C10,0)</f>
        <v/>
      </c>
      <c r="J10" s="9">
        <f>IFERROR(COUNTIFS(Objects!$E$2:$E$947,$A10,Objects!$S$2:$S$947,1)/$C10,0)</f>
        <v/>
      </c>
      <c r="K10" s="9">
        <f>IFERROR(COUNTIFS(Objects!$E$2:$E$947,$A10,Objects!$T$2:$T$947,1)/$C10,0)</f>
        <v/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>
        <f>SUM(L10:T10)</f>
        <v/>
      </c>
      <c r="V10" s="9">
        <f>IFERROR(MAX(L10:T10)/U10,0)</f>
        <v/>
      </c>
      <c r="W10" s="5" t="inlineStr">
        <is>
          <t>unidentified</t>
        </is>
      </c>
      <c r="X10" s="5" t="inlineStr">
        <is>
          <t>no label votes</t>
        </is>
      </c>
      <c r="Y10" s="5" t="n"/>
    </row>
    <row r="11">
      <c r="A11" s="5" t="n">
        <v>9</v>
      </c>
      <c r="B11" s="5" t="inlineStr">
        <is>
          <t>band 1.22 m</t>
        </is>
      </c>
      <c r="C11" s="5">
        <f>COUNTIFS(Objects!$E$2:$E$947,$A11)</f>
        <v/>
      </c>
      <c r="D11" s="5">
        <f>_xlfn.MINIFS(Objects!$L$2:$L$947,Objects!$E$2:$E$947,$A11)</f>
        <v/>
      </c>
      <c r="E11" s="5">
        <f>_xlfn.MAXIFS(Objects!$L$2:$L$947,Objects!$E$2:$E$947,$A11)</f>
        <v/>
      </c>
      <c r="F11" s="5">
        <f>_xlfn.MINIFS(Objects!$M$2:$M$947,Objects!$E$2:$E$947,$A11)</f>
        <v/>
      </c>
      <c r="G11" s="5">
        <f>_xlfn.MAXIFS(Objects!$M$2:$M$947,Objects!$E$2:$E$947,$A11)</f>
        <v/>
      </c>
      <c r="H11" s="9">
        <f>IFERROR(COUNTIFS(Objects!$E$2:$E$947,$A11,Objects!$Q$2:$Q$947,"&gt;0")/$C11,0)</f>
        <v/>
      </c>
      <c r="I11" s="9">
        <f>IFERROR(COUNTIFS(Objects!$E$2:$E$947,$A11,Objects!$R$2:$R$947,1)/$C11,0)</f>
        <v/>
      </c>
      <c r="J11" s="9">
        <f>IFERROR(COUNTIFS(Objects!$E$2:$E$947,$A11,Objects!$S$2:$S$947,1)/$C11,0)</f>
        <v/>
      </c>
      <c r="K11" s="9">
        <f>IFERROR(COUNTIFS(Objects!$E$2:$E$947,$A11,Objects!$T$2:$T$947,1)/$C11,0)</f>
        <v/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>
        <f>SUM(L11:T11)</f>
        <v/>
      </c>
      <c r="V11" s="9">
        <f>IFERROR(MAX(L11:T11)/U11,0)</f>
        <v/>
      </c>
      <c r="W11" s="5" t="inlineStr">
        <is>
          <t>unidentified</t>
        </is>
      </c>
      <c r="X11" s="5" t="inlineStr">
        <is>
          <t>no label votes</t>
        </is>
      </c>
      <c r="Y11" s="5" t="n"/>
    </row>
    <row r="12">
      <c r="A12" s="5" t="n">
        <v>10</v>
      </c>
      <c r="B12" s="5" t="inlineStr">
        <is>
          <t>cross_hatch</t>
        </is>
      </c>
      <c r="C12" s="5">
        <f>COUNTIFS(Objects!$E$2:$E$947,$A12)</f>
        <v/>
      </c>
      <c r="D12" s="5">
        <f>_xlfn.MINIFS(Objects!$L$2:$L$947,Objects!$E$2:$E$947,$A12)</f>
        <v/>
      </c>
      <c r="E12" s="5">
        <f>_xlfn.MAXIFS(Objects!$L$2:$L$947,Objects!$E$2:$E$947,$A12)</f>
        <v/>
      </c>
      <c r="F12" s="5">
        <f>_xlfn.MINIFS(Objects!$M$2:$M$947,Objects!$E$2:$E$947,$A12)</f>
        <v/>
      </c>
      <c r="G12" s="5">
        <f>_xlfn.MAXIFS(Objects!$M$2:$M$947,Objects!$E$2:$E$947,$A12)</f>
        <v/>
      </c>
      <c r="H12" s="9">
        <f>IFERROR(COUNTIFS(Objects!$E$2:$E$947,$A12,Objects!$Q$2:$Q$947,"&gt;0")/$C12,0)</f>
        <v/>
      </c>
      <c r="I12" s="9">
        <f>IFERROR(COUNTIFS(Objects!$E$2:$E$947,$A12,Objects!$R$2:$R$947,1)/$C12,0)</f>
        <v/>
      </c>
      <c r="J12" s="9">
        <f>IFERROR(COUNTIFS(Objects!$E$2:$E$947,$A12,Objects!$S$2:$S$947,1)/$C12,0)</f>
        <v/>
      </c>
      <c r="K12" s="9">
        <f>IFERROR(COUNTIFS(Objects!$E$2:$E$947,$A12,Objects!$T$2:$T$947,1)/$C12,0)</f>
        <v/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>
        <f>SUM(L12:T12)</f>
        <v/>
      </c>
      <c r="V12" s="9">
        <f>IFERROR(MAX(L12:T12)/U12,0)</f>
        <v/>
      </c>
      <c r="W12" s="5" t="inlineStr">
        <is>
          <t>unidentified</t>
        </is>
      </c>
      <c r="X12" s="5" t="inlineStr">
        <is>
          <t>no label votes</t>
        </is>
      </c>
      <c r="Y12" s="5" t="n"/>
    </row>
    <row r="13">
      <c r="A13" s="5" t="n">
        <v>11</v>
      </c>
      <c r="B13" s="5" t="inlineStr">
        <is>
          <t>outline</t>
        </is>
      </c>
      <c r="C13" s="5">
        <f>COUNTIFS(Objects!$E$2:$E$947,$A13)</f>
        <v/>
      </c>
      <c r="D13" s="5">
        <f>_xlfn.MINIFS(Objects!$L$2:$L$947,Objects!$E$2:$E$947,$A13)</f>
        <v/>
      </c>
      <c r="E13" s="5">
        <f>_xlfn.MAXIFS(Objects!$L$2:$L$947,Objects!$E$2:$E$947,$A13)</f>
        <v/>
      </c>
      <c r="F13" s="5">
        <f>_xlfn.MINIFS(Objects!$M$2:$M$947,Objects!$E$2:$E$947,$A13)</f>
        <v/>
      </c>
      <c r="G13" s="5">
        <f>_xlfn.MAXIFS(Objects!$M$2:$M$947,Objects!$E$2:$E$947,$A13)</f>
        <v/>
      </c>
      <c r="H13" s="9">
        <f>IFERROR(COUNTIFS(Objects!$E$2:$E$947,$A13,Objects!$Q$2:$Q$947,"&gt;0")/$C13,0)</f>
        <v/>
      </c>
      <c r="I13" s="9">
        <f>IFERROR(COUNTIFS(Objects!$E$2:$E$947,$A13,Objects!$R$2:$R$947,1)/$C13,0)</f>
        <v/>
      </c>
      <c r="J13" s="9">
        <f>IFERROR(COUNTIFS(Objects!$E$2:$E$947,$A13,Objects!$S$2:$S$947,1)/$C13,0)</f>
        <v/>
      </c>
      <c r="K13" s="9">
        <f>IFERROR(COUNTIFS(Objects!$E$2:$E$947,$A13,Objects!$T$2:$T$947,1)/$C13,0)</f>
        <v/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2</v>
      </c>
      <c r="Q13" s="5" t="n">
        <v>0</v>
      </c>
      <c r="R13" s="5" t="n">
        <v>0</v>
      </c>
      <c r="S13" s="5" t="n">
        <v>0</v>
      </c>
      <c r="T13" s="5" t="n">
        <v>0</v>
      </c>
      <c r="U13" s="5">
        <f>SUM(L13:T13)</f>
        <v/>
      </c>
      <c r="V13" s="9">
        <f>IFERROR(MAX(L13:T13)/U13,0)</f>
        <v/>
      </c>
      <c r="W13" s="5" t="inlineStr">
        <is>
          <t>sump_pit</t>
        </is>
      </c>
      <c r="X13" s="5" t="inlineStr">
        <is>
          <t>label vote</t>
        </is>
      </c>
      <c r="Y13" s="5" t="n">
        <v>0.66</v>
      </c>
    </row>
    <row r="14">
      <c r="A14" s="5" t="n">
        <v>12</v>
      </c>
      <c r="B14" s="5" t="inlineStr">
        <is>
          <t>outline</t>
        </is>
      </c>
      <c r="C14" s="5">
        <f>COUNTIFS(Objects!$E$2:$E$947,$A14)</f>
        <v/>
      </c>
      <c r="D14" s="5">
        <f>_xlfn.MINIFS(Objects!$L$2:$L$947,Objects!$E$2:$E$947,$A14)</f>
        <v/>
      </c>
      <c r="E14" s="5">
        <f>_xlfn.MAXIFS(Objects!$L$2:$L$947,Objects!$E$2:$E$947,$A14)</f>
        <v/>
      </c>
      <c r="F14" s="5">
        <f>_xlfn.MINIFS(Objects!$M$2:$M$947,Objects!$E$2:$E$947,$A14)</f>
        <v/>
      </c>
      <c r="G14" s="5">
        <f>_xlfn.MAXIFS(Objects!$M$2:$M$947,Objects!$E$2:$E$947,$A14)</f>
        <v/>
      </c>
      <c r="H14" s="9">
        <f>IFERROR(COUNTIFS(Objects!$E$2:$E$947,$A14,Objects!$Q$2:$Q$947,"&gt;0")/$C14,0)</f>
        <v/>
      </c>
      <c r="I14" s="9">
        <f>IFERROR(COUNTIFS(Objects!$E$2:$E$947,$A14,Objects!$R$2:$R$947,1)/$C14,0)</f>
        <v/>
      </c>
      <c r="J14" s="9">
        <f>IFERROR(COUNTIFS(Objects!$E$2:$E$947,$A14,Objects!$S$2:$S$947,1)/$C14,0)</f>
        <v/>
      </c>
      <c r="K14" s="9">
        <f>IFERROR(COUNTIFS(Objects!$E$2:$E$947,$A14,Objects!$T$2:$T$947,1)/$C14,0)</f>
        <v/>
      </c>
      <c r="L14" s="5" t="n">
        <v>0</v>
      </c>
      <c r="M14" s="5" t="n">
        <v>22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>
        <f>SUM(L14:T14)</f>
        <v/>
      </c>
      <c r="V14" s="9">
        <f>IFERROR(MAX(L14:T14)/U14,0)</f>
        <v/>
      </c>
      <c r="W14" s="5" t="inlineStr">
        <is>
          <t>isolated_footing</t>
        </is>
      </c>
      <c r="X14" s="5" t="inlineStr">
        <is>
          <t>label vote</t>
        </is>
      </c>
      <c r="Y14" s="5" t="n">
        <v>0.66</v>
      </c>
    </row>
    <row r="15">
      <c r="A15" s="5" t="n">
        <v>13</v>
      </c>
      <c r="B15" s="5" t="inlineStr">
        <is>
          <t>outline</t>
        </is>
      </c>
      <c r="C15" s="5">
        <f>COUNTIFS(Objects!$E$2:$E$947,$A15)</f>
        <v/>
      </c>
      <c r="D15" s="5">
        <f>_xlfn.MINIFS(Objects!$L$2:$L$947,Objects!$E$2:$E$947,$A15)</f>
        <v/>
      </c>
      <c r="E15" s="5">
        <f>_xlfn.MAXIFS(Objects!$L$2:$L$947,Objects!$E$2:$E$947,$A15)</f>
        <v/>
      </c>
      <c r="F15" s="5">
        <f>_xlfn.MINIFS(Objects!$M$2:$M$947,Objects!$E$2:$E$947,$A15)</f>
        <v/>
      </c>
      <c r="G15" s="5">
        <f>_xlfn.MAXIFS(Objects!$M$2:$M$947,Objects!$E$2:$E$947,$A15)</f>
        <v/>
      </c>
      <c r="H15" s="9">
        <f>IFERROR(COUNTIFS(Objects!$E$2:$E$947,$A15,Objects!$Q$2:$Q$947,"&gt;0")/$C15,0)</f>
        <v/>
      </c>
      <c r="I15" s="9">
        <f>IFERROR(COUNTIFS(Objects!$E$2:$E$947,$A15,Objects!$R$2:$R$947,1)/$C15,0)</f>
        <v/>
      </c>
      <c r="J15" s="9">
        <f>IFERROR(COUNTIFS(Objects!$E$2:$E$947,$A15,Objects!$S$2:$S$947,1)/$C15,0)</f>
        <v/>
      </c>
      <c r="K15" s="9">
        <f>IFERROR(COUNTIFS(Objects!$E$2:$E$947,$A15,Objects!$T$2:$T$947,1)/$C15,0)</f>
        <v/>
      </c>
      <c r="L15" s="5" t="n">
        <v>0</v>
      </c>
      <c r="M15" s="5" t="n">
        <v>42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>
        <f>SUM(L15:T15)</f>
        <v/>
      </c>
      <c r="V15" s="9">
        <f>IFERROR(MAX(L15:T15)/U15,0)</f>
        <v/>
      </c>
      <c r="W15" s="5" t="inlineStr">
        <is>
          <t>isolated_footing</t>
        </is>
      </c>
      <c r="X15" s="5" t="inlineStr">
        <is>
          <t>label vote</t>
        </is>
      </c>
      <c r="Y15" s="5" t="n">
        <v>0.66</v>
      </c>
    </row>
    <row r="16">
      <c r="A16" s="5" t="n">
        <v>14</v>
      </c>
      <c r="B16" s="5" t="inlineStr">
        <is>
          <t>outline</t>
        </is>
      </c>
      <c r="C16" s="5">
        <f>COUNTIFS(Objects!$E$2:$E$947,$A16)</f>
        <v/>
      </c>
      <c r="D16" s="5">
        <f>_xlfn.MINIFS(Objects!$L$2:$L$947,Objects!$E$2:$E$947,$A16)</f>
        <v/>
      </c>
      <c r="E16" s="5">
        <f>_xlfn.MAXIFS(Objects!$L$2:$L$947,Objects!$E$2:$E$947,$A16)</f>
        <v/>
      </c>
      <c r="F16" s="5">
        <f>_xlfn.MINIFS(Objects!$M$2:$M$947,Objects!$E$2:$E$947,$A16)</f>
        <v/>
      </c>
      <c r="G16" s="5">
        <f>_xlfn.MAXIFS(Objects!$M$2:$M$947,Objects!$E$2:$E$947,$A16)</f>
        <v/>
      </c>
      <c r="H16" s="9">
        <f>IFERROR(COUNTIFS(Objects!$E$2:$E$947,$A16,Objects!$Q$2:$Q$947,"&gt;0")/$C16,0)</f>
        <v/>
      </c>
      <c r="I16" s="9">
        <f>IFERROR(COUNTIFS(Objects!$E$2:$E$947,$A16,Objects!$R$2:$R$947,1)/$C16,0)</f>
        <v/>
      </c>
      <c r="J16" s="9">
        <f>IFERROR(COUNTIFS(Objects!$E$2:$E$947,$A16,Objects!$S$2:$S$947,1)/$C16,0)</f>
        <v/>
      </c>
      <c r="K16" s="9">
        <f>IFERROR(COUNTIFS(Objects!$E$2:$E$947,$A16,Objects!$T$2:$T$947,1)/$C16,0)</f>
        <v/>
      </c>
      <c r="L16" s="5" t="n">
        <v>0</v>
      </c>
      <c r="M16" s="5" t="n">
        <v>1</v>
      </c>
      <c r="N16" s="5" t="n">
        <v>21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>
        <f>SUM(L16:T16)</f>
        <v/>
      </c>
      <c r="V16" s="9">
        <f>IFERROR(MAX(L16:T16)/U16,0)</f>
        <v/>
      </c>
      <c r="W16" s="5" t="inlineStr">
        <is>
          <t>combined_footing</t>
        </is>
      </c>
      <c r="X16" s="5" t="inlineStr">
        <is>
          <t>label vote</t>
        </is>
      </c>
      <c r="Y16" s="5" t="n">
        <v>0.66</v>
      </c>
    </row>
    <row r="17">
      <c r="A17" s="5" t="n">
        <v>15</v>
      </c>
      <c r="B17" s="5" t="inlineStr">
        <is>
          <t>outline</t>
        </is>
      </c>
      <c r="C17" s="5">
        <f>COUNTIFS(Objects!$E$2:$E$947,$A17)</f>
        <v/>
      </c>
      <c r="D17" s="5">
        <f>_xlfn.MINIFS(Objects!$L$2:$L$947,Objects!$E$2:$E$947,$A17)</f>
        <v/>
      </c>
      <c r="E17" s="5">
        <f>_xlfn.MAXIFS(Objects!$L$2:$L$947,Objects!$E$2:$E$947,$A17)</f>
        <v/>
      </c>
      <c r="F17" s="5">
        <f>_xlfn.MINIFS(Objects!$M$2:$M$947,Objects!$E$2:$E$947,$A17)</f>
        <v/>
      </c>
      <c r="G17" s="5">
        <f>_xlfn.MAXIFS(Objects!$M$2:$M$947,Objects!$E$2:$E$947,$A17)</f>
        <v/>
      </c>
      <c r="H17" s="9">
        <f>IFERROR(COUNTIFS(Objects!$E$2:$E$947,$A17,Objects!$Q$2:$Q$947,"&gt;0")/$C17,0)</f>
        <v/>
      </c>
      <c r="I17" s="9">
        <f>IFERROR(COUNTIFS(Objects!$E$2:$E$947,$A17,Objects!$R$2:$R$947,1)/$C17,0)</f>
        <v/>
      </c>
      <c r="J17" s="9">
        <f>IFERROR(COUNTIFS(Objects!$E$2:$E$947,$A17,Objects!$S$2:$S$947,1)/$C17,0)</f>
        <v/>
      </c>
      <c r="K17" s="9">
        <f>IFERROR(COUNTIFS(Objects!$E$2:$E$947,$A17,Objects!$T$2:$T$947,1)/$C17,0)</f>
        <v/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>
        <f>SUM(L17:T17)</f>
        <v/>
      </c>
      <c r="V17" s="9">
        <f>IFERROR(MAX(L17:T17)/U17,0)</f>
        <v/>
      </c>
      <c r="W17" s="5" t="inlineStr">
        <is>
          <t>combined_footing</t>
        </is>
      </c>
      <c r="X17" s="5" t="inlineStr">
        <is>
          <t>label vote</t>
        </is>
      </c>
      <c r="Y17" s="5" t="n">
        <v>0.66</v>
      </c>
    </row>
    <row r="18">
      <c r="A18" s="5" t="n">
        <v>16</v>
      </c>
      <c r="B18" s="5" t="inlineStr">
        <is>
          <t>outline</t>
        </is>
      </c>
      <c r="C18" s="5">
        <f>COUNTIFS(Objects!$E$2:$E$947,$A18)</f>
        <v/>
      </c>
      <c r="D18" s="5">
        <f>_xlfn.MINIFS(Objects!$L$2:$L$947,Objects!$E$2:$E$947,$A18)</f>
        <v/>
      </c>
      <c r="E18" s="5">
        <f>_xlfn.MAXIFS(Objects!$L$2:$L$947,Objects!$E$2:$E$947,$A18)</f>
        <v/>
      </c>
      <c r="F18" s="5">
        <f>_xlfn.MINIFS(Objects!$M$2:$M$947,Objects!$E$2:$E$947,$A18)</f>
        <v/>
      </c>
      <c r="G18" s="5">
        <f>_xlfn.MAXIFS(Objects!$M$2:$M$947,Objects!$E$2:$E$947,$A18)</f>
        <v/>
      </c>
      <c r="H18" s="9">
        <f>IFERROR(COUNTIFS(Objects!$E$2:$E$947,$A18,Objects!$Q$2:$Q$947,"&gt;0")/$C18,0)</f>
        <v/>
      </c>
      <c r="I18" s="9">
        <f>IFERROR(COUNTIFS(Objects!$E$2:$E$947,$A18,Objects!$R$2:$R$947,1)/$C18,0)</f>
        <v/>
      </c>
      <c r="J18" s="9">
        <f>IFERROR(COUNTIFS(Objects!$E$2:$E$947,$A18,Objects!$S$2:$S$947,1)/$C18,0)</f>
        <v/>
      </c>
      <c r="K18" s="9">
        <f>IFERROR(COUNTIFS(Objects!$E$2:$E$947,$A18,Objects!$T$2:$T$947,1)/$C18,0)</f>
        <v/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>
        <f>SUM(L18:T18)</f>
        <v/>
      </c>
      <c r="V18" s="9">
        <f>IFERROR(MAX(L18:T18)/U18,0)</f>
        <v/>
      </c>
      <c r="W18" s="5" t="inlineStr">
        <is>
          <t>isolated_footing</t>
        </is>
      </c>
      <c r="X18" s="5" t="inlineStr">
        <is>
          <t>similar to cluster 12 (distance 1.23)</t>
        </is>
      </c>
      <c r="Y18" s="5" t="n">
        <v>0.66</v>
      </c>
    </row>
    <row r="19">
      <c r="A19" s="5" t="n">
        <v>17</v>
      </c>
      <c r="B19" s="5" t="inlineStr">
        <is>
          <t>outline</t>
        </is>
      </c>
      <c r="C19" s="5">
        <f>COUNTIFS(Objects!$E$2:$E$947,$A19)</f>
        <v/>
      </c>
      <c r="D19" s="5">
        <f>_xlfn.MINIFS(Objects!$L$2:$L$947,Objects!$E$2:$E$947,$A19)</f>
        <v/>
      </c>
      <c r="E19" s="5">
        <f>_xlfn.MAXIFS(Objects!$L$2:$L$947,Objects!$E$2:$E$947,$A19)</f>
        <v/>
      </c>
      <c r="F19" s="5">
        <f>_xlfn.MINIFS(Objects!$M$2:$M$947,Objects!$E$2:$E$947,$A19)</f>
        <v/>
      </c>
      <c r="G19" s="5">
        <f>_xlfn.MAXIFS(Objects!$M$2:$M$947,Objects!$E$2:$E$947,$A19)</f>
        <v/>
      </c>
      <c r="H19" s="9">
        <f>IFERROR(COUNTIFS(Objects!$E$2:$E$947,$A19,Objects!$Q$2:$Q$947,"&gt;0")/$C19,0)</f>
        <v/>
      </c>
      <c r="I19" s="9">
        <f>IFERROR(COUNTIFS(Objects!$E$2:$E$947,$A19,Objects!$R$2:$R$947,1)/$C19,0)</f>
        <v/>
      </c>
      <c r="J19" s="9">
        <f>IFERROR(COUNTIFS(Objects!$E$2:$E$947,$A19,Objects!$S$2:$S$947,1)/$C19,0)</f>
        <v/>
      </c>
      <c r="K19" s="9">
        <f>IFERROR(COUNTIFS(Objects!$E$2:$E$947,$A19,Objects!$T$2:$T$947,1)/$C19,0)</f>
        <v/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>
        <f>SUM(L19:T19)</f>
        <v/>
      </c>
      <c r="V19" s="9">
        <f>IFERROR(MAX(L19:T19)/U19,0)</f>
        <v/>
      </c>
      <c r="W19" s="5" t="inlineStr">
        <is>
          <t>unidentified</t>
        </is>
      </c>
      <c r="X19" s="5" t="inlineStr">
        <is>
          <t>no label votes</t>
        </is>
      </c>
      <c r="Y19" s="5" t="n">
        <v>0.66</v>
      </c>
    </row>
    <row r="20">
      <c r="A20" s="5" t="n">
        <v>18</v>
      </c>
      <c r="B20" s="5" t="inlineStr">
        <is>
          <t>outline</t>
        </is>
      </c>
      <c r="C20" s="5">
        <f>COUNTIFS(Objects!$E$2:$E$947,$A20)</f>
        <v/>
      </c>
      <c r="D20" s="5">
        <f>_xlfn.MINIFS(Objects!$L$2:$L$947,Objects!$E$2:$E$947,$A20)</f>
        <v/>
      </c>
      <c r="E20" s="5">
        <f>_xlfn.MAXIFS(Objects!$L$2:$L$947,Objects!$E$2:$E$947,$A20)</f>
        <v/>
      </c>
      <c r="F20" s="5">
        <f>_xlfn.MINIFS(Objects!$M$2:$M$947,Objects!$E$2:$E$947,$A20)</f>
        <v/>
      </c>
      <c r="G20" s="5">
        <f>_xlfn.MAXIFS(Objects!$M$2:$M$947,Objects!$E$2:$E$947,$A20)</f>
        <v/>
      </c>
      <c r="H20" s="9">
        <f>IFERROR(COUNTIFS(Objects!$E$2:$E$947,$A20,Objects!$Q$2:$Q$947,"&gt;0")/$C20,0)</f>
        <v/>
      </c>
      <c r="I20" s="9">
        <f>IFERROR(COUNTIFS(Objects!$E$2:$E$947,$A20,Objects!$R$2:$R$947,1)/$C20,0)</f>
        <v/>
      </c>
      <c r="J20" s="9">
        <f>IFERROR(COUNTIFS(Objects!$E$2:$E$947,$A20,Objects!$S$2:$S$947,1)/$C20,0)</f>
        <v/>
      </c>
      <c r="K20" s="9">
        <f>IFERROR(COUNTIFS(Objects!$E$2:$E$947,$A20,Objects!$T$2:$T$947,1)/$C20,0)</f>
        <v/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>
        <f>SUM(L20:T20)</f>
        <v/>
      </c>
      <c r="V20" s="9">
        <f>IFERROR(MAX(L20:T20)/U20,0)</f>
        <v/>
      </c>
      <c r="W20" s="5" t="inlineStr">
        <is>
          <t>unidentified</t>
        </is>
      </c>
      <c r="X20" s="5" t="inlineStr">
        <is>
          <t>no label votes</t>
        </is>
      </c>
      <c r="Y20" s="5" t="n">
        <v>0.66</v>
      </c>
    </row>
    <row r="21">
      <c r="A21" s="5" t="n">
        <v>19</v>
      </c>
      <c r="B21" s="5" t="inlineStr">
        <is>
          <t>outline</t>
        </is>
      </c>
      <c r="C21" s="5">
        <f>COUNTIFS(Objects!$E$2:$E$947,$A21)</f>
        <v/>
      </c>
      <c r="D21" s="5">
        <f>_xlfn.MINIFS(Objects!$L$2:$L$947,Objects!$E$2:$E$947,$A21)</f>
        <v/>
      </c>
      <c r="E21" s="5">
        <f>_xlfn.MAXIFS(Objects!$L$2:$L$947,Objects!$E$2:$E$947,$A21)</f>
        <v/>
      </c>
      <c r="F21" s="5">
        <f>_xlfn.MINIFS(Objects!$M$2:$M$947,Objects!$E$2:$E$947,$A21)</f>
        <v/>
      </c>
      <c r="G21" s="5">
        <f>_xlfn.MAXIFS(Objects!$M$2:$M$947,Objects!$E$2:$E$947,$A21)</f>
        <v/>
      </c>
      <c r="H21" s="9">
        <f>IFERROR(COUNTIFS(Objects!$E$2:$E$947,$A21,Objects!$Q$2:$Q$947,"&gt;0")/$C21,0)</f>
        <v/>
      </c>
      <c r="I21" s="9">
        <f>IFERROR(COUNTIFS(Objects!$E$2:$E$947,$A21,Objects!$R$2:$R$947,1)/$C21,0)</f>
        <v/>
      </c>
      <c r="J21" s="9">
        <f>IFERROR(COUNTIFS(Objects!$E$2:$E$947,$A21,Objects!$S$2:$S$947,1)/$C21,0)</f>
        <v/>
      </c>
      <c r="K21" s="9">
        <f>IFERROR(COUNTIFS(Objects!$E$2:$E$947,$A21,Objects!$T$2:$T$947,1)/$C21,0)</f>
        <v/>
      </c>
      <c r="L21" s="5" t="n">
        <v>0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>
        <f>SUM(L21:T21)</f>
        <v/>
      </c>
      <c r="V21" s="9">
        <f>IFERROR(MAX(L21:T21)/U21,0)</f>
        <v/>
      </c>
      <c r="W21" s="5" t="inlineStr">
        <is>
          <t>isolated_footing</t>
        </is>
      </c>
      <c r="X21" s="5" t="inlineStr">
        <is>
          <t>label vote</t>
        </is>
      </c>
      <c r="Y21" s="5" t="n">
        <v>0.66</v>
      </c>
    </row>
    <row r="22">
      <c r="A22" s="5" t="n">
        <v>20</v>
      </c>
      <c r="B22" s="5" t="inlineStr">
        <is>
          <t>outline</t>
        </is>
      </c>
      <c r="C22" s="5">
        <f>COUNTIFS(Objects!$E$2:$E$947,$A22)</f>
        <v/>
      </c>
      <c r="D22" s="5">
        <f>_xlfn.MINIFS(Objects!$L$2:$L$947,Objects!$E$2:$E$947,$A22)</f>
        <v/>
      </c>
      <c r="E22" s="5">
        <f>_xlfn.MAXIFS(Objects!$L$2:$L$947,Objects!$E$2:$E$947,$A22)</f>
        <v/>
      </c>
      <c r="F22" s="5">
        <f>_xlfn.MINIFS(Objects!$M$2:$M$947,Objects!$E$2:$E$947,$A22)</f>
        <v/>
      </c>
      <c r="G22" s="5">
        <f>_xlfn.MAXIFS(Objects!$M$2:$M$947,Objects!$E$2:$E$947,$A22)</f>
        <v/>
      </c>
      <c r="H22" s="9">
        <f>IFERROR(COUNTIFS(Objects!$E$2:$E$947,$A22,Objects!$Q$2:$Q$947,"&gt;0")/$C22,0)</f>
        <v/>
      </c>
      <c r="I22" s="9">
        <f>IFERROR(COUNTIFS(Objects!$E$2:$E$947,$A22,Objects!$R$2:$R$947,1)/$C22,0)</f>
        <v/>
      </c>
      <c r="J22" s="9">
        <f>IFERROR(COUNTIFS(Objects!$E$2:$E$947,$A22,Objects!$S$2:$S$947,1)/$C22,0)</f>
        <v/>
      </c>
      <c r="K22" s="9">
        <f>IFERROR(COUNTIFS(Objects!$E$2:$E$947,$A22,Objects!$T$2:$T$947,1)/$C22,0)</f>
        <v/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>
        <f>SUM(L22:T22)</f>
        <v/>
      </c>
      <c r="V22" s="9">
        <f>IFERROR(MAX(L22:T22)/U22,0)</f>
        <v/>
      </c>
      <c r="W22" s="5" t="inlineStr">
        <is>
          <t>unidentified</t>
        </is>
      </c>
      <c r="X22" s="5" t="inlineStr">
        <is>
          <t>no label votes</t>
        </is>
      </c>
      <c r="Y22" s="5" t="n">
        <v>0.66</v>
      </c>
    </row>
    <row r="23">
      <c r="A23" s="5" t="n">
        <v>21</v>
      </c>
      <c r="B23" s="5" t="inlineStr">
        <is>
          <t>outline</t>
        </is>
      </c>
      <c r="C23" s="5">
        <f>COUNTIFS(Objects!$E$2:$E$947,$A23)</f>
        <v/>
      </c>
      <c r="D23" s="5">
        <f>_xlfn.MINIFS(Objects!$L$2:$L$947,Objects!$E$2:$E$947,$A23)</f>
        <v/>
      </c>
      <c r="E23" s="5">
        <f>_xlfn.MAXIFS(Objects!$L$2:$L$947,Objects!$E$2:$E$947,$A23)</f>
        <v/>
      </c>
      <c r="F23" s="5">
        <f>_xlfn.MINIFS(Objects!$M$2:$M$947,Objects!$E$2:$E$947,$A23)</f>
        <v/>
      </c>
      <c r="G23" s="5">
        <f>_xlfn.MAXIFS(Objects!$M$2:$M$947,Objects!$E$2:$E$947,$A23)</f>
        <v/>
      </c>
      <c r="H23" s="9">
        <f>IFERROR(COUNTIFS(Objects!$E$2:$E$947,$A23,Objects!$Q$2:$Q$947,"&gt;0")/$C23,0)</f>
        <v/>
      </c>
      <c r="I23" s="9">
        <f>IFERROR(COUNTIFS(Objects!$E$2:$E$947,$A23,Objects!$R$2:$R$947,1)/$C23,0)</f>
        <v/>
      </c>
      <c r="J23" s="9">
        <f>IFERROR(COUNTIFS(Objects!$E$2:$E$947,$A23,Objects!$S$2:$S$947,1)/$C23,0)</f>
        <v/>
      </c>
      <c r="K23" s="9">
        <f>IFERROR(COUNTIFS(Objects!$E$2:$E$947,$A23,Objects!$T$2:$T$947,1)/$C23,0)</f>
        <v/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>
        <f>SUM(L23:T23)</f>
        <v/>
      </c>
      <c r="V23" s="9">
        <f>IFERROR(MAX(L23:T23)/U23,0)</f>
        <v/>
      </c>
      <c r="W23" s="5" t="inlineStr">
        <is>
          <t>unidentified</t>
        </is>
      </c>
      <c r="X23" s="5" t="inlineStr">
        <is>
          <t>no label votes</t>
        </is>
      </c>
      <c r="Y23" s="5" t="n">
        <v>0.66</v>
      </c>
    </row>
    <row r="24">
      <c r="A24" s="5" t="n">
        <v>22</v>
      </c>
      <c r="B24" s="5" t="inlineStr">
        <is>
          <t>outline</t>
        </is>
      </c>
      <c r="C24" s="5">
        <f>COUNTIFS(Objects!$E$2:$E$947,$A24)</f>
        <v/>
      </c>
      <c r="D24" s="5">
        <f>_xlfn.MINIFS(Objects!$L$2:$L$947,Objects!$E$2:$E$947,$A24)</f>
        <v/>
      </c>
      <c r="E24" s="5">
        <f>_xlfn.MAXIFS(Objects!$L$2:$L$947,Objects!$E$2:$E$947,$A24)</f>
        <v/>
      </c>
      <c r="F24" s="5">
        <f>_xlfn.MINIFS(Objects!$M$2:$M$947,Objects!$E$2:$E$947,$A24)</f>
        <v/>
      </c>
      <c r="G24" s="5">
        <f>_xlfn.MAXIFS(Objects!$M$2:$M$947,Objects!$E$2:$E$947,$A24)</f>
        <v/>
      </c>
      <c r="H24" s="9">
        <f>IFERROR(COUNTIFS(Objects!$E$2:$E$947,$A24,Objects!$Q$2:$Q$947,"&gt;0")/$C24,0)</f>
        <v/>
      </c>
      <c r="I24" s="9">
        <f>IFERROR(COUNTIFS(Objects!$E$2:$E$947,$A24,Objects!$R$2:$R$947,1)/$C24,0)</f>
        <v/>
      </c>
      <c r="J24" s="9">
        <f>IFERROR(COUNTIFS(Objects!$E$2:$E$947,$A24,Objects!$S$2:$S$947,1)/$C24,0)</f>
        <v/>
      </c>
      <c r="K24" s="9">
        <f>IFERROR(COUNTIFS(Objects!$E$2:$E$947,$A24,Objects!$T$2:$T$947,1)/$C24,0)</f>
        <v/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  <c r="U24" s="5">
        <f>SUM(L24:T24)</f>
        <v/>
      </c>
      <c r="V24" s="9">
        <f>IFERROR(MAX(L24:T24)/U24,0)</f>
        <v/>
      </c>
      <c r="W24" s="5" t="inlineStr">
        <is>
          <t>sump_pit</t>
        </is>
      </c>
      <c r="X24" s="5" t="inlineStr">
        <is>
          <t>label vote</t>
        </is>
      </c>
      <c r="Y24" s="5" t="n">
        <v>0.66</v>
      </c>
    </row>
    <row r="25">
      <c r="A25" s="5" t="n">
        <v>23</v>
      </c>
      <c r="B25" s="5" t="inlineStr">
        <is>
          <t>outline</t>
        </is>
      </c>
      <c r="C25" s="5">
        <f>COUNTIFS(Objects!$E$2:$E$947,$A25)</f>
        <v/>
      </c>
      <c r="D25" s="5">
        <f>_xlfn.MINIFS(Objects!$L$2:$L$947,Objects!$E$2:$E$947,$A25)</f>
        <v/>
      </c>
      <c r="E25" s="5">
        <f>_xlfn.MAXIFS(Objects!$L$2:$L$947,Objects!$E$2:$E$947,$A25)</f>
        <v/>
      </c>
      <c r="F25" s="5">
        <f>_xlfn.MINIFS(Objects!$M$2:$M$947,Objects!$E$2:$E$947,$A25)</f>
        <v/>
      </c>
      <c r="G25" s="5">
        <f>_xlfn.MAXIFS(Objects!$M$2:$M$947,Objects!$E$2:$E$947,$A25)</f>
        <v/>
      </c>
      <c r="H25" s="9">
        <f>IFERROR(COUNTIFS(Objects!$E$2:$E$947,$A25,Objects!$Q$2:$Q$947,"&gt;0")/$C25,0)</f>
        <v/>
      </c>
      <c r="I25" s="9">
        <f>IFERROR(COUNTIFS(Objects!$E$2:$E$947,$A25,Objects!$R$2:$R$947,1)/$C25,0)</f>
        <v/>
      </c>
      <c r="J25" s="9">
        <f>IFERROR(COUNTIFS(Objects!$E$2:$E$947,$A25,Objects!$S$2:$S$947,1)/$C25,0)</f>
        <v/>
      </c>
      <c r="K25" s="9">
        <f>IFERROR(COUNTIFS(Objects!$E$2:$E$947,$A25,Objects!$T$2:$T$947,1)/$C25,0)</f>
        <v/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>
        <f>SUM(L25:T25)</f>
        <v/>
      </c>
      <c r="V25" s="9">
        <f>IFERROR(MAX(L25:T25)/U25,0)</f>
        <v/>
      </c>
      <c r="W25" s="5" t="inlineStr">
        <is>
          <t>combined_footing</t>
        </is>
      </c>
      <c r="X25" s="5" t="inlineStr">
        <is>
          <t>label vote</t>
        </is>
      </c>
      <c r="Y25" s="5" t="n">
        <v>0.66</v>
      </c>
    </row>
    <row r="26">
      <c r="A26" s="5" t="n">
        <v>24</v>
      </c>
      <c r="B26" s="5" t="inlineStr">
        <is>
          <t>single_hatch</t>
        </is>
      </c>
      <c r="C26" s="5">
        <f>COUNTIFS(Objects!$E$2:$E$947,$A26)</f>
        <v/>
      </c>
      <c r="D26" s="5">
        <f>_xlfn.MINIFS(Objects!$L$2:$L$947,Objects!$E$2:$E$947,$A26)</f>
        <v/>
      </c>
      <c r="E26" s="5">
        <f>_xlfn.MAXIFS(Objects!$L$2:$L$947,Objects!$E$2:$E$947,$A26)</f>
        <v/>
      </c>
      <c r="F26" s="5">
        <f>_xlfn.MINIFS(Objects!$M$2:$M$947,Objects!$E$2:$E$947,$A26)</f>
        <v/>
      </c>
      <c r="G26" s="5">
        <f>_xlfn.MAXIFS(Objects!$M$2:$M$947,Objects!$E$2:$E$947,$A26)</f>
        <v/>
      </c>
      <c r="H26" s="9">
        <f>IFERROR(COUNTIFS(Objects!$E$2:$E$947,$A26,Objects!$Q$2:$Q$947,"&gt;0")/$C26,0)</f>
        <v/>
      </c>
      <c r="I26" s="9">
        <f>IFERROR(COUNTIFS(Objects!$E$2:$E$947,$A26,Objects!$R$2:$R$947,1)/$C26,0)</f>
        <v/>
      </c>
      <c r="J26" s="9">
        <f>IFERROR(COUNTIFS(Objects!$E$2:$E$947,$A26,Objects!$S$2:$S$947,1)/$C26,0)</f>
        <v/>
      </c>
      <c r="K26" s="9">
        <f>IFERROR(COUNTIFS(Objects!$E$2:$E$947,$A26,Objects!$T$2:$T$947,1)/$C26,0)</f>
        <v/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>
        <f>SUM(L26:T26)</f>
        <v/>
      </c>
      <c r="V26" s="9">
        <f>IFERROR(MAX(L26:T26)/U26,0)</f>
        <v/>
      </c>
      <c r="W26" s="5" t="inlineStr">
        <is>
          <t>unidentified</t>
        </is>
      </c>
      <c r="X26" s="5" t="inlineStr">
        <is>
          <t>no label votes</t>
        </is>
      </c>
      <c r="Y26" s="5" t="n"/>
    </row>
    <row r="27">
      <c r="A27" s="5" t="n">
        <v>25</v>
      </c>
      <c r="B27" s="5" t="inlineStr">
        <is>
          <t>solid</t>
        </is>
      </c>
      <c r="C27" s="5">
        <f>COUNTIFS(Objects!$E$2:$E$947,$A27)</f>
        <v/>
      </c>
      <c r="D27" s="5">
        <f>_xlfn.MINIFS(Objects!$L$2:$L$947,Objects!$E$2:$E$947,$A27)</f>
        <v/>
      </c>
      <c r="E27" s="5">
        <f>_xlfn.MAXIFS(Objects!$L$2:$L$947,Objects!$E$2:$E$947,$A27)</f>
        <v/>
      </c>
      <c r="F27" s="5">
        <f>_xlfn.MINIFS(Objects!$M$2:$M$947,Objects!$E$2:$E$947,$A27)</f>
        <v/>
      </c>
      <c r="G27" s="5">
        <f>_xlfn.MAXIFS(Objects!$M$2:$M$947,Objects!$E$2:$E$947,$A27)</f>
        <v/>
      </c>
      <c r="H27" s="9">
        <f>IFERROR(COUNTIFS(Objects!$E$2:$E$947,$A27,Objects!$Q$2:$Q$947,"&gt;0")/$C27,0)</f>
        <v/>
      </c>
      <c r="I27" s="9">
        <f>IFERROR(COUNTIFS(Objects!$E$2:$E$947,$A27,Objects!$R$2:$R$947,1)/$C27,0)</f>
        <v/>
      </c>
      <c r="J27" s="9">
        <f>IFERROR(COUNTIFS(Objects!$E$2:$E$947,$A27,Objects!$S$2:$S$947,1)/$C27,0)</f>
        <v/>
      </c>
      <c r="K27" s="9">
        <f>IFERROR(COUNTIFS(Objects!$E$2:$E$947,$A27,Objects!$T$2:$T$947,1)/$C27,0)</f>
        <v/>
      </c>
      <c r="L27" s="5" t="n">
        <v>27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>
        <f>SUM(L27:T27)</f>
        <v/>
      </c>
      <c r="V27" s="9">
        <f>IFERROR(MAX(L27:T27)/U27,0)</f>
        <v/>
      </c>
      <c r="W27" s="5" t="inlineStr">
        <is>
          <t>column</t>
        </is>
      </c>
      <c r="X27" s="5" t="inlineStr">
        <is>
          <t>label vote</t>
        </is>
      </c>
      <c r="Y27" s="5" t="n">
        <v>0.408</v>
      </c>
    </row>
    <row r="28">
      <c r="A28" s="5" t="n">
        <v>26</v>
      </c>
      <c r="B28" s="5" t="inlineStr">
        <is>
          <t>solid</t>
        </is>
      </c>
      <c r="C28" s="5">
        <f>COUNTIFS(Objects!$E$2:$E$947,$A28)</f>
        <v/>
      </c>
      <c r="D28" s="5">
        <f>_xlfn.MINIFS(Objects!$L$2:$L$947,Objects!$E$2:$E$947,$A28)</f>
        <v/>
      </c>
      <c r="E28" s="5">
        <f>_xlfn.MAXIFS(Objects!$L$2:$L$947,Objects!$E$2:$E$947,$A28)</f>
        <v/>
      </c>
      <c r="F28" s="5">
        <f>_xlfn.MINIFS(Objects!$M$2:$M$947,Objects!$E$2:$E$947,$A28)</f>
        <v/>
      </c>
      <c r="G28" s="5">
        <f>_xlfn.MAXIFS(Objects!$M$2:$M$947,Objects!$E$2:$E$947,$A28)</f>
        <v/>
      </c>
      <c r="H28" s="9">
        <f>IFERROR(COUNTIFS(Objects!$E$2:$E$947,$A28,Objects!$Q$2:$Q$947,"&gt;0")/$C28,0)</f>
        <v/>
      </c>
      <c r="I28" s="9">
        <f>IFERROR(COUNTIFS(Objects!$E$2:$E$947,$A28,Objects!$R$2:$R$947,1)/$C28,0)</f>
        <v/>
      </c>
      <c r="J28" s="9">
        <f>IFERROR(COUNTIFS(Objects!$E$2:$E$947,$A28,Objects!$S$2:$S$947,1)/$C28,0)</f>
        <v/>
      </c>
      <c r="K28" s="9">
        <f>IFERROR(COUNTIFS(Objects!$E$2:$E$947,$A28,Objects!$T$2:$T$947,1)/$C28,0)</f>
        <v/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1</v>
      </c>
      <c r="U28" s="5">
        <f>SUM(L28:T28)</f>
        <v/>
      </c>
      <c r="V28" s="9">
        <f>IFERROR(MAX(L28:T28)/U28,0)</f>
        <v/>
      </c>
      <c r="W28" s="5" t="inlineStr">
        <is>
          <t>unidentified</t>
        </is>
      </c>
      <c r="X28" s="5" t="inlineStr">
        <is>
          <t>no label votes</t>
        </is>
      </c>
      <c r="Y28" s="5" t="n">
        <v>0.408</v>
      </c>
    </row>
    <row r="29">
      <c r="A29" s="5" t="n">
        <v>27</v>
      </c>
      <c r="B29" s="5" t="inlineStr">
        <is>
          <t>solid</t>
        </is>
      </c>
      <c r="C29" s="5">
        <f>COUNTIFS(Objects!$E$2:$E$947,$A29)</f>
        <v/>
      </c>
      <c r="D29" s="5">
        <f>_xlfn.MINIFS(Objects!$L$2:$L$947,Objects!$E$2:$E$947,$A29)</f>
        <v/>
      </c>
      <c r="E29" s="5">
        <f>_xlfn.MAXIFS(Objects!$L$2:$L$947,Objects!$E$2:$E$947,$A29)</f>
        <v/>
      </c>
      <c r="F29" s="5">
        <f>_xlfn.MINIFS(Objects!$M$2:$M$947,Objects!$E$2:$E$947,$A29)</f>
        <v/>
      </c>
      <c r="G29" s="5">
        <f>_xlfn.MAXIFS(Objects!$M$2:$M$947,Objects!$E$2:$E$947,$A29)</f>
        <v/>
      </c>
      <c r="H29" s="9">
        <f>IFERROR(COUNTIFS(Objects!$E$2:$E$947,$A29,Objects!$Q$2:$Q$947,"&gt;0")/$C29,0)</f>
        <v/>
      </c>
      <c r="I29" s="9">
        <f>IFERROR(COUNTIFS(Objects!$E$2:$E$947,$A29,Objects!$R$2:$R$947,1)/$C29,0)</f>
        <v/>
      </c>
      <c r="J29" s="9">
        <f>IFERROR(COUNTIFS(Objects!$E$2:$E$947,$A29,Objects!$S$2:$S$947,1)/$C29,0)</f>
        <v/>
      </c>
      <c r="K29" s="9">
        <f>IFERROR(COUNTIFS(Objects!$E$2:$E$947,$A29,Objects!$T$2:$T$947,1)/$C29,0)</f>
        <v/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2</v>
      </c>
      <c r="U29" s="5">
        <f>SUM(L29:T29)</f>
        <v/>
      </c>
      <c r="V29" s="9">
        <f>IFERROR(MAX(L29:T29)/U29,0)</f>
        <v/>
      </c>
      <c r="W29" s="5" t="inlineStr">
        <is>
          <t>shear_wall</t>
        </is>
      </c>
      <c r="X29" s="5" t="inlineStr">
        <is>
          <t>similar to cluster 29 (distance 2.85)</t>
        </is>
      </c>
      <c r="Y29" s="5" t="n">
        <v>0.408</v>
      </c>
    </row>
    <row r="30">
      <c r="A30" s="5" t="n">
        <v>28</v>
      </c>
      <c r="B30" s="5" t="inlineStr">
        <is>
          <t>solid</t>
        </is>
      </c>
      <c r="C30" s="5">
        <f>COUNTIFS(Objects!$E$2:$E$947,$A30)</f>
        <v/>
      </c>
      <c r="D30" s="5">
        <f>_xlfn.MINIFS(Objects!$L$2:$L$947,Objects!$E$2:$E$947,$A30)</f>
        <v/>
      </c>
      <c r="E30" s="5">
        <f>_xlfn.MAXIFS(Objects!$L$2:$L$947,Objects!$E$2:$E$947,$A30)</f>
        <v/>
      </c>
      <c r="F30" s="5">
        <f>_xlfn.MINIFS(Objects!$M$2:$M$947,Objects!$E$2:$E$947,$A30)</f>
        <v/>
      </c>
      <c r="G30" s="5">
        <f>_xlfn.MAXIFS(Objects!$M$2:$M$947,Objects!$E$2:$E$947,$A30)</f>
        <v/>
      </c>
      <c r="H30" s="9">
        <f>IFERROR(COUNTIFS(Objects!$E$2:$E$947,$A30,Objects!$Q$2:$Q$947,"&gt;0")/$C30,0)</f>
        <v/>
      </c>
      <c r="I30" s="9">
        <f>IFERROR(COUNTIFS(Objects!$E$2:$E$947,$A30,Objects!$R$2:$R$947,1)/$C30,0)</f>
        <v/>
      </c>
      <c r="J30" s="9">
        <f>IFERROR(COUNTIFS(Objects!$E$2:$E$947,$A30,Objects!$S$2:$S$947,1)/$C30,0)</f>
        <v/>
      </c>
      <c r="K30" s="9">
        <f>IFERROR(COUNTIFS(Objects!$E$2:$E$947,$A30,Objects!$T$2:$T$947,1)/$C30,0)</f>
        <v/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</v>
      </c>
      <c r="U30" s="5">
        <f>SUM(L30:T30)</f>
        <v/>
      </c>
      <c r="V30" s="9">
        <f>IFERROR(MAX(L30:T30)/U30,0)</f>
        <v/>
      </c>
      <c r="W30" s="5" t="inlineStr">
        <is>
          <t>shear_wall</t>
        </is>
      </c>
      <c r="X30" s="5" t="inlineStr">
        <is>
          <t>similar to cluster 33 (distance 3.55)</t>
        </is>
      </c>
      <c r="Y30" s="5" t="n">
        <v>0.408</v>
      </c>
    </row>
    <row r="31">
      <c r="A31" s="5" t="n">
        <v>29</v>
      </c>
      <c r="B31" s="5" t="inlineStr">
        <is>
          <t>solid</t>
        </is>
      </c>
      <c r="C31" s="5">
        <f>COUNTIFS(Objects!$E$2:$E$947,$A31)</f>
        <v/>
      </c>
      <c r="D31" s="5">
        <f>_xlfn.MINIFS(Objects!$L$2:$L$947,Objects!$E$2:$E$947,$A31)</f>
        <v/>
      </c>
      <c r="E31" s="5">
        <f>_xlfn.MAXIFS(Objects!$L$2:$L$947,Objects!$E$2:$E$947,$A31)</f>
        <v/>
      </c>
      <c r="F31" s="5">
        <f>_xlfn.MINIFS(Objects!$M$2:$M$947,Objects!$E$2:$E$947,$A31)</f>
        <v/>
      </c>
      <c r="G31" s="5">
        <f>_xlfn.MAXIFS(Objects!$M$2:$M$947,Objects!$E$2:$E$947,$A31)</f>
        <v/>
      </c>
      <c r="H31" s="9">
        <f>IFERROR(COUNTIFS(Objects!$E$2:$E$947,$A31,Objects!$Q$2:$Q$947,"&gt;0")/$C31,0)</f>
        <v/>
      </c>
      <c r="I31" s="9">
        <f>IFERROR(COUNTIFS(Objects!$E$2:$E$947,$A31,Objects!$R$2:$R$947,1)/$C31,0)</f>
        <v/>
      </c>
      <c r="J31" s="9">
        <f>IFERROR(COUNTIFS(Objects!$E$2:$E$947,$A31,Objects!$S$2:$S$947,1)/$C31,0)</f>
        <v/>
      </c>
      <c r="K31" s="9">
        <f>IFERROR(COUNTIFS(Objects!$E$2:$E$947,$A31,Objects!$T$2:$T$947,1)/$C31,0)</f>
        <v/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10</v>
      </c>
      <c r="U31" s="5">
        <f>SUM(L31:T31)</f>
        <v/>
      </c>
      <c r="V31" s="9">
        <f>IFERROR(MAX(L31:T31)/U31,0)</f>
        <v/>
      </c>
      <c r="W31" s="5" t="inlineStr">
        <is>
          <t>shear_wall</t>
        </is>
      </c>
      <c r="X31" s="5" t="inlineStr">
        <is>
          <t>label vote</t>
        </is>
      </c>
      <c r="Y31" s="5" t="n">
        <v>0.408</v>
      </c>
    </row>
    <row r="32">
      <c r="A32" s="5" t="n">
        <v>30</v>
      </c>
      <c r="B32" s="5" t="inlineStr">
        <is>
          <t>solid</t>
        </is>
      </c>
      <c r="C32" s="5">
        <f>COUNTIFS(Objects!$E$2:$E$947,$A32)</f>
        <v/>
      </c>
      <c r="D32" s="5">
        <f>_xlfn.MINIFS(Objects!$L$2:$L$947,Objects!$E$2:$E$947,$A32)</f>
        <v/>
      </c>
      <c r="E32" s="5">
        <f>_xlfn.MAXIFS(Objects!$L$2:$L$947,Objects!$E$2:$E$947,$A32)</f>
        <v/>
      </c>
      <c r="F32" s="5">
        <f>_xlfn.MINIFS(Objects!$M$2:$M$947,Objects!$E$2:$E$947,$A32)</f>
        <v/>
      </c>
      <c r="G32" s="5">
        <f>_xlfn.MAXIFS(Objects!$M$2:$M$947,Objects!$E$2:$E$947,$A32)</f>
        <v/>
      </c>
      <c r="H32" s="9">
        <f>IFERROR(COUNTIFS(Objects!$E$2:$E$947,$A32,Objects!$Q$2:$Q$947,"&gt;0")/$C32,0)</f>
        <v/>
      </c>
      <c r="I32" s="9">
        <f>IFERROR(COUNTIFS(Objects!$E$2:$E$947,$A32,Objects!$R$2:$R$947,1)/$C32,0)</f>
        <v/>
      </c>
      <c r="J32" s="9">
        <f>IFERROR(COUNTIFS(Objects!$E$2:$E$947,$A32,Objects!$S$2:$S$947,1)/$C32,0)</f>
        <v/>
      </c>
      <c r="K32" s="9">
        <f>IFERROR(COUNTIFS(Objects!$E$2:$E$947,$A32,Objects!$T$2:$T$947,1)/$C32,0)</f>
        <v/>
      </c>
      <c r="L32" s="5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3</v>
      </c>
      <c r="U32" s="5">
        <f>SUM(L32:T32)</f>
        <v/>
      </c>
      <c r="V32" s="9">
        <f>IFERROR(MAX(L32:T32)/U32,0)</f>
        <v/>
      </c>
      <c r="W32" s="5" t="inlineStr">
        <is>
          <t>unidentified</t>
        </is>
      </c>
      <c r="X32" s="5" t="inlineStr">
        <is>
          <t>no label votes</t>
        </is>
      </c>
      <c r="Y32" s="5" t="n">
        <v>0.408</v>
      </c>
    </row>
    <row r="33">
      <c r="A33" s="5" t="n">
        <v>31</v>
      </c>
      <c r="B33" s="5" t="inlineStr">
        <is>
          <t>solid</t>
        </is>
      </c>
      <c r="C33" s="5">
        <f>COUNTIFS(Objects!$E$2:$E$947,$A33)</f>
        <v/>
      </c>
      <c r="D33" s="5">
        <f>_xlfn.MINIFS(Objects!$L$2:$L$947,Objects!$E$2:$E$947,$A33)</f>
        <v/>
      </c>
      <c r="E33" s="5">
        <f>_xlfn.MAXIFS(Objects!$L$2:$L$947,Objects!$E$2:$E$947,$A33)</f>
        <v/>
      </c>
      <c r="F33" s="5">
        <f>_xlfn.MINIFS(Objects!$M$2:$M$947,Objects!$E$2:$E$947,$A33)</f>
        <v/>
      </c>
      <c r="G33" s="5">
        <f>_xlfn.MAXIFS(Objects!$M$2:$M$947,Objects!$E$2:$E$947,$A33)</f>
        <v/>
      </c>
      <c r="H33" s="9">
        <f>IFERROR(COUNTIFS(Objects!$E$2:$E$947,$A33,Objects!$Q$2:$Q$947,"&gt;0")/$C33,0)</f>
        <v/>
      </c>
      <c r="I33" s="9">
        <f>IFERROR(COUNTIFS(Objects!$E$2:$E$947,$A33,Objects!$R$2:$R$947,1)/$C33,0)</f>
        <v/>
      </c>
      <c r="J33" s="9">
        <f>IFERROR(COUNTIFS(Objects!$E$2:$E$947,$A33,Objects!$S$2:$S$947,1)/$C33,0)</f>
        <v/>
      </c>
      <c r="K33" s="9">
        <f>IFERROR(COUNTIFS(Objects!$E$2:$E$947,$A33,Objects!$T$2:$T$947,1)/$C33,0)</f>
        <v/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21</v>
      </c>
      <c r="U33" s="5">
        <f>SUM(L33:T33)</f>
        <v/>
      </c>
      <c r="V33" s="9">
        <f>IFERROR(MAX(L33:T33)/U33,0)</f>
        <v/>
      </c>
      <c r="W33" s="5" t="inlineStr">
        <is>
          <t>shear_wall</t>
        </is>
      </c>
      <c r="X33" s="5" t="inlineStr">
        <is>
          <t>label vote</t>
        </is>
      </c>
      <c r="Y33" s="5" t="n">
        <v>0.408</v>
      </c>
    </row>
    <row r="34">
      <c r="A34" s="5" t="n">
        <v>32</v>
      </c>
      <c r="B34" s="5" t="inlineStr">
        <is>
          <t>solid</t>
        </is>
      </c>
      <c r="C34" s="5">
        <f>COUNTIFS(Objects!$E$2:$E$947,$A34)</f>
        <v/>
      </c>
      <c r="D34" s="5">
        <f>_xlfn.MINIFS(Objects!$L$2:$L$947,Objects!$E$2:$E$947,$A34)</f>
        <v/>
      </c>
      <c r="E34" s="5">
        <f>_xlfn.MAXIFS(Objects!$L$2:$L$947,Objects!$E$2:$E$947,$A34)</f>
        <v/>
      </c>
      <c r="F34" s="5">
        <f>_xlfn.MINIFS(Objects!$M$2:$M$947,Objects!$E$2:$E$947,$A34)</f>
        <v/>
      </c>
      <c r="G34" s="5">
        <f>_xlfn.MAXIFS(Objects!$M$2:$M$947,Objects!$E$2:$E$947,$A34)</f>
        <v/>
      </c>
      <c r="H34" s="9">
        <f>IFERROR(COUNTIFS(Objects!$E$2:$E$947,$A34,Objects!$Q$2:$Q$947,"&gt;0")/$C34,0)</f>
        <v/>
      </c>
      <c r="I34" s="9">
        <f>IFERROR(COUNTIFS(Objects!$E$2:$E$947,$A34,Objects!$R$2:$R$947,1)/$C34,0)</f>
        <v/>
      </c>
      <c r="J34" s="9">
        <f>IFERROR(COUNTIFS(Objects!$E$2:$E$947,$A34,Objects!$S$2:$S$947,1)/$C34,0)</f>
        <v/>
      </c>
      <c r="K34" s="9">
        <f>IFERROR(COUNTIFS(Objects!$E$2:$E$947,$A34,Objects!$T$2:$T$947,1)/$C34,0)</f>
        <v/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>
        <f>SUM(L34:T34)</f>
        <v/>
      </c>
      <c r="V34" s="9">
        <f>IFERROR(MAX(L34:T34)/U34,0)</f>
        <v/>
      </c>
      <c r="W34" s="5" t="inlineStr">
        <is>
          <t>retaining_wall</t>
        </is>
      </c>
      <c r="X34" s="5" t="inlineStr">
        <is>
          <t>label vote</t>
        </is>
      </c>
      <c r="Y34" s="5" t="n">
        <v>0.408</v>
      </c>
    </row>
    <row r="35">
      <c r="A35" s="5" t="n">
        <v>33</v>
      </c>
      <c r="B35" s="5" t="inlineStr">
        <is>
          <t>solid</t>
        </is>
      </c>
      <c r="C35" s="5">
        <f>COUNTIFS(Objects!$E$2:$E$947,$A35)</f>
        <v/>
      </c>
      <c r="D35" s="5">
        <f>_xlfn.MINIFS(Objects!$L$2:$L$947,Objects!$E$2:$E$947,$A35)</f>
        <v/>
      </c>
      <c r="E35" s="5">
        <f>_xlfn.MAXIFS(Objects!$L$2:$L$947,Objects!$E$2:$E$947,$A35)</f>
        <v/>
      </c>
      <c r="F35" s="5">
        <f>_xlfn.MINIFS(Objects!$M$2:$M$947,Objects!$E$2:$E$947,$A35)</f>
        <v/>
      </c>
      <c r="G35" s="5">
        <f>_xlfn.MAXIFS(Objects!$M$2:$M$947,Objects!$E$2:$E$947,$A35)</f>
        <v/>
      </c>
      <c r="H35" s="9">
        <f>IFERROR(COUNTIFS(Objects!$E$2:$E$947,$A35,Objects!$Q$2:$Q$947,"&gt;0")/$C35,0)</f>
        <v/>
      </c>
      <c r="I35" s="9">
        <f>IFERROR(COUNTIFS(Objects!$E$2:$E$947,$A35,Objects!$R$2:$R$947,1)/$C35,0)</f>
        <v/>
      </c>
      <c r="J35" s="9">
        <f>IFERROR(COUNTIFS(Objects!$E$2:$E$947,$A35,Objects!$S$2:$S$947,1)/$C35,0)</f>
        <v/>
      </c>
      <c r="K35" s="9">
        <f>IFERROR(COUNTIFS(Objects!$E$2:$E$947,$A35,Objects!$T$2:$T$947,1)/$C35,0)</f>
        <v/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15</v>
      </c>
      <c r="U35" s="5">
        <f>SUM(L35:T35)</f>
        <v/>
      </c>
      <c r="V35" s="9">
        <f>IFERROR(MAX(L35:T35)/U35,0)</f>
        <v/>
      </c>
      <c r="W35" s="5" t="inlineStr">
        <is>
          <t>shear_wall</t>
        </is>
      </c>
      <c r="X35" s="5" t="inlineStr">
        <is>
          <t>label vote</t>
        </is>
      </c>
      <c r="Y35" s="5" t="n">
        <v>0.408</v>
      </c>
    </row>
    <row r="36">
      <c r="A36" s="5" t="n">
        <v>34</v>
      </c>
      <c r="B36" s="5" t="inlineStr">
        <is>
          <t>solid</t>
        </is>
      </c>
      <c r="C36" s="5">
        <f>COUNTIFS(Objects!$E$2:$E$947,$A36)</f>
        <v/>
      </c>
      <c r="D36" s="5">
        <f>_xlfn.MINIFS(Objects!$L$2:$L$947,Objects!$E$2:$E$947,$A36)</f>
        <v/>
      </c>
      <c r="E36" s="5">
        <f>_xlfn.MAXIFS(Objects!$L$2:$L$947,Objects!$E$2:$E$947,$A36)</f>
        <v/>
      </c>
      <c r="F36" s="5">
        <f>_xlfn.MINIFS(Objects!$M$2:$M$947,Objects!$E$2:$E$947,$A36)</f>
        <v/>
      </c>
      <c r="G36" s="5">
        <f>_xlfn.MAXIFS(Objects!$M$2:$M$947,Objects!$E$2:$E$947,$A36)</f>
        <v/>
      </c>
      <c r="H36" s="9">
        <f>IFERROR(COUNTIFS(Objects!$E$2:$E$947,$A36,Objects!$Q$2:$Q$947,"&gt;0")/$C36,0)</f>
        <v/>
      </c>
      <c r="I36" s="9">
        <f>IFERROR(COUNTIFS(Objects!$E$2:$E$947,$A36,Objects!$R$2:$R$947,1)/$C36,0)</f>
        <v/>
      </c>
      <c r="J36" s="9">
        <f>IFERROR(COUNTIFS(Objects!$E$2:$E$947,$A36,Objects!$S$2:$S$947,1)/$C36,0)</f>
        <v/>
      </c>
      <c r="K36" s="9">
        <f>IFERROR(COUNTIFS(Objects!$E$2:$E$947,$A36,Objects!$T$2:$T$947,1)/$C36,0)</f>
        <v/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1</v>
      </c>
      <c r="U36" s="5">
        <f>SUM(L36:T36)</f>
        <v/>
      </c>
      <c r="V36" s="9">
        <f>IFERROR(MAX(L36:T36)/U36,0)</f>
        <v/>
      </c>
      <c r="W36" s="5" t="inlineStr">
        <is>
          <t>shear_wall</t>
        </is>
      </c>
      <c r="X36" s="5" t="inlineStr">
        <is>
          <t>similar to cluster 29 (distance 3.13)</t>
        </is>
      </c>
      <c r="Y36" s="5" t="n">
        <v>0.408</v>
      </c>
    </row>
    <row r="37">
      <c r="A37" s="5" t="n">
        <v>35</v>
      </c>
      <c r="B37" s="5" t="inlineStr">
        <is>
          <t>solid</t>
        </is>
      </c>
      <c r="C37" s="5">
        <f>COUNTIFS(Objects!$E$2:$E$947,$A37)</f>
        <v/>
      </c>
      <c r="D37" s="5">
        <f>_xlfn.MINIFS(Objects!$L$2:$L$947,Objects!$E$2:$E$947,$A37)</f>
        <v/>
      </c>
      <c r="E37" s="5">
        <f>_xlfn.MAXIFS(Objects!$L$2:$L$947,Objects!$E$2:$E$947,$A37)</f>
        <v/>
      </c>
      <c r="F37" s="5">
        <f>_xlfn.MINIFS(Objects!$M$2:$M$947,Objects!$E$2:$E$947,$A37)</f>
        <v/>
      </c>
      <c r="G37" s="5">
        <f>_xlfn.MAXIFS(Objects!$M$2:$M$947,Objects!$E$2:$E$947,$A37)</f>
        <v/>
      </c>
      <c r="H37" s="9">
        <f>IFERROR(COUNTIFS(Objects!$E$2:$E$947,$A37,Objects!$Q$2:$Q$947,"&gt;0")/$C37,0)</f>
        <v/>
      </c>
      <c r="I37" s="9">
        <f>IFERROR(COUNTIFS(Objects!$E$2:$E$947,$A37,Objects!$R$2:$R$947,1)/$C37,0)</f>
        <v/>
      </c>
      <c r="J37" s="9">
        <f>IFERROR(COUNTIFS(Objects!$E$2:$E$947,$A37,Objects!$S$2:$S$947,1)/$C37,0)</f>
        <v/>
      </c>
      <c r="K37" s="9">
        <f>IFERROR(COUNTIFS(Objects!$E$2:$E$947,$A37,Objects!$T$2:$T$947,1)/$C37,0)</f>
        <v/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3</v>
      </c>
      <c r="U37" s="5">
        <f>SUM(L37:T37)</f>
        <v/>
      </c>
      <c r="V37" s="9">
        <f>IFERROR(MAX(L37:T37)/U37,0)</f>
        <v/>
      </c>
      <c r="W37" s="5" t="inlineStr">
        <is>
          <t>shear_wall</t>
        </is>
      </c>
      <c r="X37" s="5" t="inlineStr">
        <is>
          <t>similar to cluster 31 (distance 2.05)</t>
        </is>
      </c>
      <c r="Y37" s="5" t="n">
        <v>0.408</v>
      </c>
    </row>
    <row r="38">
      <c r="A38" s="5" t="n">
        <v>36</v>
      </c>
      <c r="B38" s="5" t="inlineStr">
        <is>
          <t>solid</t>
        </is>
      </c>
      <c r="C38" s="5">
        <f>COUNTIFS(Objects!$E$2:$E$947,$A38)</f>
        <v/>
      </c>
      <c r="D38" s="5">
        <f>_xlfn.MINIFS(Objects!$L$2:$L$947,Objects!$E$2:$E$947,$A38)</f>
        <v/>
      </c>
      <c r="E38" s="5">
        <f>_xlfn.MAXIFS(Objects!$L$2:$L$947,Objects!$E$2:$E$947,$A38)</f>
        <v/>
      </c>
      <c r="F38" s="5">
        <f>_xlfn.MINIFS(Objects!$M$2:$M$947,Objects!$E$2:$E$947,$A38)</f>
        <v/>
      </c>
      <c r="G38" s="5">
        <f>_xlfn.MAXIFS(Objects!$M$2:$M$947,Objects!$E$2:$E$947,$A38)</f>
        <v/>
      </c>
      <c r="H38" s="9">
        <f>IFERROR(COUNTIFS(Objects!$E$2:$E$947,$A38,Objects!$Q$2:$Q$947,"&gt;0")/$C38,0)</f>
        <v/>
      </c>
      <c r="I38" s="9">
        <f>IFERROR(COUNTIFS(Objects!$E$2:$E$947,$A38,Objects!$R$2:$R$947,1)/$C38,0)</f>
        <v/>
      </c>
      <c r="J38" s="9">
        <f>IFERROR(COUNTIFS(Objects!$E$2:$E$947,$A38,Objects!$S$2:$S$947,1)/$C38,0)</f>
        <v/>
      </c>
      <c r="K38" s="9">
        <f>IFERROR(COUNTIFS(Objects!$E$2:$E$947,$A38,Objects!$T$2:$T$947,1)/$C38,0)</f>
        <v/>
      </c>
      <c r="L38" s="5" t="n">
        <v>2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>
        <f>SUM(L38:T38)</f>
        <v/>
      </c>
      <c r="V38" s="9">
        <f>IFERROR(MAX(L38:T38)/U38,0)</f>
        <v/>
      </c>
      <c r="W38" s="5" t="inlineStr">
        <is>
          <t>column</t>
        </is>
      </c>
      <c r="X38" s="5" t="inlineStr">
        <is>
          <t>label vote</t>
        </is>
      </c>
      <c r="Y38" s="5" t="n">
        <v>0.408</v>
      </c>
    </row>
    <row r="39">
      <c r="A39" s="5" t="n">
        <v>37</v>
      </c>
      <c r="B39" s="5" t="inlineStr">
        <is>
          <t>solid</t>
        </is>
      </c>
      <c r="C39" s="5">
        <f>COUNTIFS(Objects!$E$2:$E$947,$A39)</f>
        <v/>
      </c>
      <c r="D39" s="5">
        <f>_xlfn.MINIFS(Objects!$L$2:$L$947,Objects!$E$2:$E$947,$A39)</f>
        <v/>
      </c>
      <c r="E39" s="5">
        <f>_xlfn.MAXIFS(Objects!$L$2:$L$947,Objects!$E$2:$E$947,$A39)</f>
        <v/>
      </c>
      <c r="F39" s="5">
        <f>_xlfn.MINIFS(Objects!$M$2:$M$947,Objects!$E$2:$E$947,$A39)</f>
        <v/>
      </c>
      <c r="G39" s="5">
        <f>_xlfn.MAXIFS(Objects!$M$2:$M$947,Objects!$E$2:$E$947,$A39)</f>
        <v/>
      </c>
      <c r="H39" s="9">
        <f>IFERROR(COUNTIFS(Objects!$E$2:$E$947,$A39,Objects!$Q$2:$Q$947,"&gt;0")/$C39,0)</f>
        <v/>
      </c>
      <c r="I39" s="9">
        <f>IFERROR(COUNTIFS(Objects!$E$2:$E$947,$A39,Objects!$R$2:$R$947,1)/$C39,0)</f>
        <v/>
      </c>
      <c r="J39" s="9">
        <f>IFERROR(COUNTIFS(Objects!$E$2:$E$947,$A39,Objects!$S$2:$S$947,1)/$C39,0)</f>
        <v/>
      </c>
      <c r="K39" s="9">
        <f>IFERROR(COUNTIFS(Objects!$E$2:$E$947,$A39,Objects!$T$2:$T$947,1)/$C39,0)</f>
        <v/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3</v>
      </c>
      <c r="U39" s="5">
        <f>SUM(L39:T39)</f>
        <v/>
      </c>
      <c r="V39" s="9">
        <f>IFERROR(MAX(L39:T39)/U39,0)</f>
        <v/>
      </c>
      <c r="W39" s="5" t="inlineStr">
        <is>
          <t>shear_wall</t>
        </is>
      </c>
      <c r="X39" s="5" t="inlineStr">
        <is>
          <t>similar to cluster 33 (distance 1.78)</t>
        </is>
      </c>
      <c r="Y39" s="5" t="n">
        <v>0.408</v>
      </c>
    </row>
    <row r="40">
      <c r="A40" s="5" t="n">
        <v>38</v>
      </c>
      <c r="B40" s="5" t="inlineStr">
        <is>
          <t>solid</t>
        </is>
      </c>
      <c r="C40" s="5">
        <f>COUNTIFS(Objects!$E$2:$E$947,$A40)</f>
        <v/>
      </c>
      <c r="D40" s="5">
        <f>_xlfn.MINIFS(Objects!$L$2:$L$947,Objects!$E$2:$E$947,$A40)</f>
        <v/>
      </c>
      <c r="E40" s="5">
        <f>_xlfn.MAXIFS(Objects!$L$2:$L$947,Objects!$E$2:$E$947,$A40)</f>
        <v/>
      </c>
      <c r="F40" s="5">
        <f>_xlfn.MINIFS(Objects!$M$2:$M$947,Objects!$E$2:$E$947,$A40)</f>
        <v/>
      </c>
      <c r="G40" s="5">
        <f>_xlfn.MAXIFS(Objects!$M$2:$M$947,Objects!$E$2:$E$947,$A40)</f>
        <v/>
      </c>
      <c r="H40" s="9">
        <f>IFERROR(COUNTIFS(Objects!$E$2:$E$947,$A40,Objects!$Q$2:$Q$947,"&gt;0")/$C40,0)</f>
        <v/>
      </c>
      <c r="I40" s="9">
        <f>IFERROR(COUNTIFS(Objects!$E$2:$E$947,$A40,Objects!$R$2:$R$947,1)/$C40,0)</f>
        <v/>
      </c>
      <c r="J40" s="9">
        <f>IFERROR(COUNTIFS(Objects!$E$2:$E$947,$A40,Objects!$S$2:$S$947,1)/$C40,0)</f>
        <v/>
      </c>
      <c r="K40" s="9">
        <f>IFERROR(COUNTIFS(Objects!$E$2:$E$947,$A40,Objects!$T$2:$T$947,1)/$C40,0)</f>
        <v/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13</v>
      </c>
      <c r="U40" s="5">
        <f>SUM(L40:T40)</f>
        <v/>
      </c>
      <c r="V40" s="9">
        <f>IFERROR(MAX(L40:T40)/U40,0)</f>
        <v/>
      </c>
      <c r="W40" s="5" t="inlineStr">
        <is>
          <t>shear_wall</t>
        </is>
      </c>
      <c r="X40" s="5" t="inlineStr">
        <is>
          <t>label vote</t>
        </is>
      </c>
      <c r="Y40" s="5" t="n">
        <v>0.408</v>
      </c>
    </row>
    <row r="41">
      <c r="A41" s="5" t="n">
        <v>39</v>
      </c>
      <c r="B41" s="5" t="inlineStr">
        <is>
          <t>stamped_region</t>
        </is>
      </c>
      <c r="C41" s="5">
        <f>COUNTIFS(Objects!$E$2:$E$947,$A41)</f>
        <v/>
      </c>
      <c r="D41" s="5">
        <f>_xlfn.MINIFS(Objects!$L$2:$L$947,Objects!$E$2:$E$947,$A41)</f>
        <v/>
      </c>
      <c r="E41" s="5">
        <f>_xlfn.MAXIFS(Objects!$L$2:$L$947,Objects!$E$2:$E$947,$A41)</f>
        <v/>
      </c>
      <c r="F41" s="5">
        <f>_xlfn.MINIFS(Objects!$M$2:$M$947,Objects!$E$2:$E$947,$A41)</f>
        <v/>
      </c>
      <c r="G41" s="5">
        <f>_xlfn.MAXIFS(Objects!$M$2:$M$947,Objects!$E$2:$E$947,$A41)</f>
        <v/>
      </c>
      <c r="H41" s="9">
        <f>IFERROR(COUNTIFS(Objects!$E$2:$E$947,$A41,Objects!$Q$2:$Q$947,"&gt;0")/$C41,0)</f>
        <v/>
      </c>
      <c r="I41" s="9">
        <f>IFERROR(COUNTIFS(Objects!$E$2:$E$947,$A41,Objects!$R$2:$R$947,1)/$C41,0)</f>
        <v/>
      </c>
      <c r="J41" s="9">
        <f>IFERROR(COUNTIFS(Objects!$E$2:$E$947,$A41,Objects!$S$2:$S$947,1)/$C41,0)</f>
        <v/>
      </c>
      <c r="K41" s="9">
        <f>IFERROR(COUNTIFS(Objects!$E$2:$E$947,$A41,Objects!$T$2:$T$947,1)/$C41,0)</f>
        <v/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14</v>
      </c>
      <c r="R41" s="5" t="n">
        <v>0</v>
      </c>
      <c r="S41" s="5" t="n">
        <v>0</v>
      </c>
      <c r="T41" s="5" t="n">
        <v>0</v>
      </c>
      <c r="U41" s="5">
        <f>SUM(L41:T41)</f>
        <v/>
      </c>
      <c r="V41" s="9">
        <f>IFERROR(MAX(L41:T41)/U41,0)</f>
        <v/>
      </c>
      <c r="W41" s="5" t="inlineStr">
        <is>
          <t>raft</t>
        </is>
      </c>
      <c r="X41" s="5" t="inlineStr">
        <is>
          <t>label vote</t>
        </is>
      </c>
      <c r="Y41" s="5" t="n"/>
    </row>
    <row r="43">
      <c r="A43" s="8" t="inlineStr">
        <is>
          <t>Votes are the first, neutral pass (program output). A 'VP..-SF..' label votes for the strip it sits on and for the wall standing in that strip.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  <col width="8" customWidth="1" min="5" max="5"/>
    <col width="17" customWidth="1" min="6" max="6"/>
    <col width="34" customWidth="1" min="7" max="7"/>
    <col width="26" customWidth="1" min="8" max="8"/>
    <col width="14" customWidth="1" min="9" max="9"/>
    <col width="30" customWidth="1" min="10" max="10"/>
    <col width="20" customWidth="1" min="11" max="11"/>
    <col width="9" customWidth="1" min="12" max="12"/>
    <col width="9" customWidth="1" min="13" max="13"/>
    <col width="7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14" customWidth="1" min="26" max="26"/>
    <col width="9" customWidth="1" min="27" max="27"/>
    <col width="9" customWidth="1" min="28" max="28"/>
    <col width="9" customWidth="1" min="29" max="29"/>
    <col width="9" customWidth="1" min="30" max="30"/>
    <col width="16" customWidth="1" min="31" max="31"/>
    <col width="10" customWidth="1" min="32" max="32"/>
  </cols>
  <sheetData>
    <row r="1" ht="30" customHeight="1">
      <c r="A1" s="4" t="inlineStr">
        <is>
          <t>ID</t>
        </is>
      </c>
      <c r="B1" s="4" t="inlineStr">
        <is>
          <t>Building</t>
        </is>
      </c>
      <c r="C1" s="4" t="inlineStr">
        <is>
          <t>Building from</t>
        </is>
      </c>
      <c r="D1" s="4" t="inlineStr">
        <is>
          <t>Drawing kind</t>
        </is>
      </c>
      <c r="E1" s="4" t="inlineStr">
        <is>
          <t>Cluster</t>
        </is>
      </c>
      <c r="F1" s="4" t="inlineStr">
        <is>
          <t>Class</t>
        </is>
      </c>
      <c r="G1" s="4" t="inlineStr">
        <is>
          <t>Label shown</t>
        </is>
      </c>
      <c r="H1" s="4" t="inlineStr">
        <is>
          <t>Class named by</t>
        </is>
      </c>
      <c r="I1" s="4" t="inlineStr">
        <is>
          <t>Type key</t>
        </is>
      </c>
      <c r="J1" s="4" t="inlineStr">
        <is>
          <t>Type source</t>
        </is>
      </c>
      <c r="K1" s="4" t="inlineStr">
        <is>
          <t>Label text</t>
        </is>
      </c>
      <c r="L1" s="4" t="inlineStr">
        <is>
          <t>Length (cm)</t>
        </is>
      </c>
      <c r="M1" s="4" t="inlineStr">
        <is>
          <t>Width (cm)</t>
        </is>
      </c>
      <c r="N1" s="4" t="inlineStr">
        <is>
          <t>L/W</t>
        </is>
      </c>
      <c r="O1" s="4" t="inlineStr">
        <is>
          <t>Area (m²)</t>
        </is>
      </c>
      <c r="P1" s="4" t="inlineStr">
        <is>
          <t>Angle (°)</t>
        </is>
      </c>
      <c r="Q1" s="4" t="inlineStr">
        <is>
          <t>Touches solids</t>
        </is>
      </c>
      <c r="R1" s="4" t="inlineStr">
        <is>
          <t>Inside an outline</t>
        </is>
      </c>
      <c r="S1" s="4" t="inlineStr">
        <is>
          <t>In a strip band</t>
        </is>
      </c>
      <c r="T1" s="4" t="inlineStr">
        <is>
          <t>On a stamped region</t>
        </is>
      </c>
      <c r="U1" s="4" t="inlineStr">
        <is>
          <t>On the building edge</t>
        </is>
      </c>
      <c r="V1" s="4" t="inlineStr">
        <is>
          <t>Solids inside</t>
        </is>
      </c>
      <c r="W1" s="4" t="inlineStr">
        <is>
          <t>Dots inside</t>
        </is>
      </c>
      <c r="X1" s="4" t="inlineStr">
        <is>
          <t>Beams touching</t>
        </is>
      </c>
      <c r="Y1" s="4" t="inlineStr">
        <is>
          <t>Net length (m)</t>
        </is>
      </c>
      <c r="Z1" s="4" t="inlineStr">
        <is>
          <t>Extent</t>
        </is>
      </c>
      <c r="AA1" s="4" t="inlineStr">
        <is>
          <t>bbox x0 (px)</t>
        </is>
      </c>
      <c r="AB1" s="4" t="inlineStr">
        <is>
          <t>bbox y0 (px)</t>
        </is>
      </c>
      <c r="AC1" s="4" t="inlineStr">
        <is>
          <t>bbox x1 (px)</t>
        </is>
      </c>
      <c r="AD1" s="4" t="inlineStr">
        <is>
          <t>bbox y1 (px)</t>
        </is>
      </c>
      <c r="AE1" s="4" t="inlineStr">
        <is>
          <t>(validation) verified class</t>
        </is>
      </c>
      <c r="AF1" s="4" t="inlineStr">
        <is>
          <t>(validation) agrees</t>
        </is>
      </c>
    </row>
    <row r="2">
      <c r="A2" s="5" t="n">
        <v>1</v>
      </c>
      <c r="B2" s="5" t="inlineStr">
        <is>
          <t>120</t>
        </is>
      </c>
      <c r="C2" s="5" t="inlineStr">
        <is>
          <t>own label</t>
        </is>
      </c>
      <c r="D2" s="5" t="inlineStr">
        <is>
          <t>solid</t>
        </is>
      </c>
      <c r="E2" s="5" t="n">
        <v>25</v>
      </c>
      <c r="F2" s="5" t="inlineStr">
        <is>
          <t>column</t>
        </is>
      </c>
      <c r="G2" s="5" t="inlineStr">
        <is>
          <t>Column P1/120 0.80 × 0.25 m</t>
        </is>
      </c>
      <c r="H2" s="5" t="inlineStr">
        <is>
          <t>label vote</t>
        </is>
      </c>
      <c r="I2" s="5" t="inlineStr">
        <is>
          <t>P1/120</t>
        </is>
      </c>
      <c r="J2" s="5" t="inlineStr">
        <is>
          <t>printed label</t>
        </is>
      </c>
      <c r="K2" s="5" t="inlineStr">
        <is>
          <t>P1/120/120</t>
        </is>
      </c>
      <c r="L2" s="5" t="n">
        <v>80</v>
      </c>
      <c r="M2" s="5" t="n">
        <v>25</v>
      </c>
      <c r="N2" s="10">
        <f>IF(AND(ISNUMBER(L2),M2&gt;0),L2/M2,"")</f>
        <v/>
      </c>
      <c r="O2" s="5" t="n">
        <v>0.2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/>
      <c r="Z2" s="5" t="inlineStr"/>
      <c r="AA2" s="5" t="n">
        <v>4596.9</v>
      </c>
      <c r="AB2" s="5" t="n">
        <v>792</v>
      </c>
      <c r="AC2" s="5" t="n">
        <v>4620.6</v>
      </c>
      <c r="AD2" s="5" t="n">
        <v>799.4</v>
      </c>
      <c r="AE2" s="5" t="inlineStr">
        <is>
          <t>column</t>
        </is>
      </c>
      <c r="AF2" s="5">
        <f>IF(AE2="","",IF(OR(AE2=F2,AND(AE2="crane_footing",F2="isolated_footing")),"yes","no"))</f>
        <v/>
      </c>
    </row>
    <row r="3">
      <c r="A3" s="5" t="n">
        <v>2</v>
      </c>
      <c r="B3" s="5" t="inlineStr">
        <is>
          <t>120</t>
        </is>
      </c>
      <c r="C3" s="5" t="inlineStr">
        <is>
          <t>own label</t>
        </is>
      </c>
      <c r="D3" s="5" t="inlineStr">
        <is>
          <t>solid</t>
        </is>
      </c>
      <c r="E3" s="5" t="n">
        <v>25</v>
      </c>
      <c r="F3" s="5" t="inlineStr">
        <is>
          <t>column</t>
        </is>
      </c>
      <c r="G3" s="5" t="inlineStr">
        <is>
          <t>Column P1/120 0.80 × 0.25 m</t>
        </is>
      </c>
      <c r="H3" s="5" t="inlineStr">
        <is>
          <t>label vote</t>
        </is>
      </c>
      <c r="I3" s="5" t="inlineStr">
        <is>
          <t>P1/120</t>
        </is>
      </c>
      <c r="J3" s="5" t="inlineStr">
        <is>
          <t>printed label</t>
        </is>
      </c>
      <c r="K3" s="5" t="inlineStr">
        <is>
          <t>P1/120/120</t>
        </is>
      </c>
      <c r="L3" s="5" t="n">
        <v>80</v>
      </c>
      <c r="M3" s="5" t="n">
        <v>25</v>
      </c>
      <c r="N3" s="10">
        <f>IF(AND(ISNUMBER(L3),M3&gt;0),L3/M3,"")</f>
        <v/>
      </c>
      <c r="O3" s="5" t="n">
        <v>0.2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/>
      <c r="Z3" s="5" t="inlineStr"/>
      <c r="AA3" s="5" t="n">
        <v>4704.8</v>
      </c>
      <c r="AB3" s="5" t="n">
        <v>861.4</v>
      </c>
      <c r="AC3" s="5" t="n">
        <v>4728.4</v>
      </c>
      <c r="AD3" s="5" t="n">
        <v>868.8</v>
      </c>
      <c r="AE3" s="5" t="inlineStr">
        <is>
          <t>column</t>
        </is>
      </c>
      <c r="AF3" s="5">
        <f>IF(AE3="","",IF(OR(AE3=F3,AND(AE3="crane_footing",F3="isolated_footing")),"yes","no"))</f>
        <v/>
      </c>
    </row>
    <row r="4">
      <c r="A4" s="5" t="n">
        <v>3</v>
      </c>
      <c r="B4" s="5" t="inlineStr">
        <is>
          <t>120</t>
        </is>
      </c>
      <c r="C4" s="5" t="inlineStr">
        <is>
          <t>own label</t>
        </is>
      </c>
      <c r="D4" s="5" t="inlineStr">
        <is>
          <t>solid</t>
        </is>
      </c>
      <c r="E4" s="5" t="n">
        <v>25</v>
      </c>
      <c r="F4" s="5" t="inlineStr">
        <is>
          <t>column</t>
        </is>
      </c>
      <c r="G4" s="5" t="inlineStr">
        <is>
          <t>Column P1/120 0.80 × 0.25 m</t>
        </is>
      </c>
      <c r="H4" s="5" t="inlineStr">
        <is>
          <t>label vote</t>
        </is>
      </c>
      <c r="I4" s="5" t="inlineStr">
        <is>
          <t>P1/120</t>
        </is>
      </c>
      <c r="J4" s="5" t="inlineStr">
        <is>
          <t>printed label</t>
        </is>
      </c>
      <c r="K4" s="5" t="inlineStr">
        <is>
          <t>P1/120/120</t>
        </is>
      </c>
      <c r="L4" s="5" t="n">
        <v>80</v>
      </c>
      <c r="M4" s="5" t="n">
        <v>25</v>
      </c>
      <c r="N4" s="10">
        <f>IF(AND(ISNUMBER(L4),M4&gt;0),L4/M4,"")</f>
        <v/>
      </c>
      <c r="O4" s="5" t="n">
        <v>0.2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/>
      <c r="Z4" s="5" t="inlineStr"/>
      <c r="AA4" s="5" t="n">
        <v>4596.9</v>
      </c>
      <c r="AB4" s="5" t="n">
        <v>861.4</v>
      </c>
      <c r="AC4" s="5" t="n">
        <v>4620.6</v>
      </c>
      <c r="AD4" s="5" t="n">
        <v>868.8</v>
      </c>
      <c r="AE4" s="5" t="inlineStr">
        <is>
          <t>column</t>
        </is>
      </c>
      <c r="AF4" s="5">
        <f>IF(AE4="","",IF(OR(AE4=F4,AND(AE4="crane_footing",F4="isolated_footing")),"yes","no"))</f>
        <v/>
      </c>
    </row>
    <row r="5">
      <c r="A5" s="5" t="n">
        <v>4</v>
      </c>
      <c r="B5" s="5" t="inlineStr">
        <is>
          <t>120</t>
        </is>
      </c>
      <c r="C5" s="5" t="inlineStr">
        <is>
          <t>own label</t>
        </is>
      </c>
      <c r="D5" s="5" t="inlineStr">
        <is>
          <t>solid</t>
        </is>
      </c>
      <c r="E5" s="5" t="n">
        <v>25</v>
      </c>
      <c r="F5" s="5" t="inlineStr">
        <is>
          <t>column</t>
        </is>
      </c>
      <c r="G5" s="5" t="inlineStr">
        <is>
          <t>Column P1/120 0.80 × 0.25 m</t>
        </is>
      </c>
      <c r="H5" s="5" t="inlineStr">
        <is>
          <t>label vote</t>
        </is>
      </c>
      <c r="I5" s="5" t="inlineStr">
        <is>
          <t>P1/120</t>
        </is>
      </c>
      <c r="J5" s="5" t="inlineStr">
        <is>
          <t>printed label</t>
        </is>
      </c>
      <c r="K5" s="5" t="inlineStr">
        <is>
          <t>P1/120/120</t>
        </is>
      </c>
      <c r="L5" s="5" t="n">
        <v>80</v>
      </c>
      <c r="M5" s="5" t="n">
        <v>25</v>
      </c>
      <c r="N5" s="10">
        <f>IF(AND(ISNUMBER(L5),M5&gt;0),L5/M5,"")</f>
        <v/>
      </c>
      <c r="O5" s="5" t="n">
        <v>0.2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/>
      <c r="Z5" s="5" t="inlineStr"/>
      <c r="AA5" s="5" t="n">
        <v>4704.8</v>
      </c>
      <c r="AB5" s="5" t="n">
        <v>792</v>
      </c>
      <c r="AC5" s="5" t="n">
        <v>4728.4</v>
      </c>
      <c r="AD5" s="5" t="n">
        <v>799.4</v>
      </c>
      <c r="AE5" s="5" t="inlineStr">
        <is>
          <t>column</t>
        </is>
      </c>
      <c r="AF5" s="5">
        <f>IF(AE5="","",IF(OR(AE5=F5,AND(AE5="crane_footing",F5="isolated_footing")),"yes","no"))</f>
        <v/>
      </c>
    </row>
    <row r="6">
      <c r="A6" s="5" t="n">
        <v>5</v>
      </c>
      <c r="B6" s="5" t="inlineStr">
        <is>
          <t>120</t>
        </is>
      </c>
      <c r="C6" s="5" t="inlineStr">
        <is>
          <t>own label</t>
        </is>
      </c>
      <c r="D6" s="5" t="inlineStr">
        <is>
          <t>solid</t>
        </is>
      </c>
      <c r="E6" s="5" t="n">
        <v>31</v>
      </c>
      <c r="F6" s="5" t="inlineStr">
        <is>
          <t>shear_wall</t>
        </is>
      </c>
      <c r="G6" s="5" t="inlineStr">
        <is>
          <t>Shear wall V1/120 2.00 × 0.25 m</t>
        </is>
      </c>
      <c r="H6" s="5" t="inlineStr">
        <is>
          <t>label vote</t>
        </is>
      </c>
      <c r="I6" s="5" t="inlineStr">
        <is>
          <t>V1/120</t>
        </is>
      </c>
      <c r="J6" s="5" t="inlineStr">
        <is>
          <t>printed label</t>
        </is>
      </c>
      <c r="K6" s="5" t="inlineStr">
        <is>
          <t>V1/120/120</t>
        </is>
      </c>
      <c r="L6" s="5" t="n">
        <v>200</v>
      </c>
      <c r="M6" s="5" t="n">
        <v>25</v>
      </c>
      <c r="N6" s="10">
        <f>IF(AND(ISNUMBER(L6),M6&gt;0),L6/M6,"")</f>
        <v/>
      </c>
      <c r="O6" s="5" t="n">
        <v>0.502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1</v>
      </c>
      <c r="U6" s="5" t="n">
        <v>0</v>
      </c>
      <c r="V6" s="5" t="n">
        <v>0</v>
      </c>
      <c r="W6" s="5" t="n">
        <v>2</v>
      </c>
      <c r="X6" s="5" t="n">
        <v>2</v>
      </c>
      <c r="Y6" s="5" t="n"/>
      <c r="Z6" s="5" t="inlineStr"/>
      <c r="AA6" s="5" t="n">
        <v>4521.3</v>
      </c>
      <c r="AB6" s="5" t="n">
        <v>517.4</v>
      </c>
      <c r="AC6" s="5" t="n">
        <v>4580.3</v>
      </c>
      <c r="AD6" s="5" t="n">
        <v>524.9</v>
      </c>
      <c r="AE6" s="5" t="inlineStr">
        <is>
          <t>shear_wall</t>
        </is>
      </c>
      <c r="AF6" s="5">
        <f>IF(AE6="","",IF(OR(AE6=F6,AND(AE6="crane_footing",F6="isolated_footing")),"yes","no"))</f>
        <v/>
      </c>
    </row>
    <row r="7">
      <c r="A7" s="5" t="n">
        <v>6</v>
      </c>
      <c r="B7" s="5" t="inlineStr">
        <is>
          <t>120</t>
        </is>
      </c>
      <c r="C7" s="5" t="inlineStr">
        <is>
          <t>own label</t>
        </is>
      </c>
      <c r="D7" s="5" t="inlineStr">
        <is>
          <t>solid</t>
        </is>
      </c>
      <c r="E7" s="5" t="n">
        <v>31</v>
      </c>
      <c r="F7" s="5" t="inlineStr">
        <is>
          <t>shear_wall</t>
        </is>
      </c>
      <c r="G7" s="5" t="inlineStr">
        <is>
          <t>Shear wall V1/120 2.00 × 0.25 m</t>
        </is>
      </c>
      <c r="H7" s="5" t="inlineStr">
        <is>
          <t>label vote</t>
        </is>
      </c>
      <c r="I7" s="5" t="inlineStr">
        <is>
          <t>V1/120</t>
        </is>
      </c>
      <c r="J7" s="5" t="inlineStr">
        <is>
          <t>printed label</t>
        </is>
      </c>
      <c r="K7" s="5" t="inlineStr">
        <is>
          <t>V1/120/120</t>
        </is>
      </c>
      <c r="L7" s="5" t="n">
        <v>200</v>
      </c>
      <c r="M7" s="5" t="n">
        <v>25</v>
      </c>
      <c r="N7" s="10">
        <f>IF(AND(ISNUMBER(L7),M7&gt;0),L7/M7,"")</f>
        <v/>
      </c>
      <c r="O7" s="5" t="n">
        <v>0.5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2</v>
      </c>
      <c r="X7" s="5" t="n">
        <v>2</v>
      </c>
      <c r="Y7" s="5" t="n"/>
      <c r="Z7" s="5" t="inlineStr"/>
      <c r="AA7" s="5" t="n">
        <v>4516.5</v>
      </c>
      <c r="AB7" s="5" t="n">
        <v>826.7</v>
      </c>
      <c r="AC7" s="5" t="n">
        <v>4575.6</v>
      </c>
      <c r="AD7" s="5" t="n">
        <v>834.2</v>
      </c>
      <c r="AE7" s="5" t="inlineStr">
        <is>
          <t>shear_wall</t>
        </is>
      </c>
      <c r="AF7" s="5">
        <f>IF(AE7="","",IF(OR(AE7=F7,AND(AE7="crane_footing",F7="isolated_footing")),"yes","no"))</f>
        <v/>
      </c>
    </row>
    <row r="8">
      <c r="A8" s="5" t="n">
        <v>7</v>
      </c>
      <c r="B8" s="5" t="inlineStr">
        <is>
          <t>120</t>
        </is>
      </c>
      <c r="C8" s="5" t="inlineStr">
        <is>
          <t>own label</t>
        </is>
      </c>
      <c r="D8" s="5" t="inlineStr">
        <is>
          <t>solid</t>
        </is>
      </c>
      <c r="E8" s="5" t="n">
        <v>31</v>
      </c>
      <c r="F8" s="5" t="inlineStr">
        <is>
          <t>shear_wall</t>
        </is>
      </c>
      <c r="G8" s="5" t="inlineStr">
        <is>
          <t>Shear wall V1/120 2.00 × 0.25 m</t>
        </is>
      </c>
      <c r="H8" s="5" t="inlineStr">
        <is>
          <t>label vote</t>
        </is>
      </c>
      <c r="I8" s="5" t="inlineStr">
        <is>
          <t>V1/120</t>
        </is>
      </c>
      <c r="J8" s="5" t="inlineStr">
        <is>
          <t>printed label</t>
        </is>
      </c>
      <c r="K8" s="5" t="inlineStr">
        <is>
          <t>V1/120/120</t>
        </is>
      </c>
      <c r="L8" s="5" t="n">
        <v>200</v>
      </c>
      <c r="M8" s="5" t="n">
        <v>25</v>
      </c>
      <c r="N8" s="10">
        <f>IF(AND(ISNUMBER(L8),M8&gt;0),L8/M8,"")</f>
        <v/>
      </c>
      <c r="O8" s="5" t="n">
        <v>0.5</v>
      </c>
      <c r="P8" s="5" t="n">
        <v>0</v>
      </c>
      <c r="Q8" s="5" t="n">
        <v>0</v>
      </c>
      <c r="R8" s="5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2</v>
      </c>
      <c r="X8" s="5" t="n">
        <v>2</v>
      </c>
      <c r="Y8" s="5" t="n"/>
      <c r="Z8" s="5" t="inlineStr"/>
      <c r="AA8" s="5" t="n">
        <v>4519.4</v>
      </c>
      <c r="AB8" s="5" t="n">
        <v>681.4</v>
      </c>
      <c r="AC8" s="5" t="n">
        <v>4578.4</v>
      </c>
      <c r="AD8" s="5" t="n">
        <v>688.7</v>
      </c>
      <c r="AE8" s="5" t="inlineStr">
        <is>
          <t>shear_wall</t>
        </is>
      </c>
      <c r="AF8" s="5">
        <f>IF(AE8="","",IF(OR(AE8=F8,AND(AE8="crane_footing",F8="isolated_footing")),"yes","no"))</f>
        <v/>
      </c>
    </row>
    <row r="9">
      <c r="A9" s="5" t="n">
        <v>8</v>
      </c>
      <c r="B9" s="5" t="inlineStr">
        <is>
          <t>120</t>
        </is>
      </c>
      <c r="C9" s="5" t="inlineStr">
        <is>
          <t>own label</t>
        </is>
      </c>
      <c r="D9" s="5" t="inlineStr">
        <is>
          <t>solid</t>
        </is>
      </c>
      <c r="E9" s="5" t="n">
        <v>31</v>
      </c>
      <c r="F9" s="5" t="inlineStr">
        <is>
          <t>shear_wall</t>
        </is>
      </c>
      <c r="G9" s="5" t="inlineStr">
        <is>
          <t>Shear wall V1/120 2.00 × 0.25 m</t>
        </is>
      </c>
      <c r="H9" s="5" t="inlineStr">
        <is>
          <t>label vote</t>
        </is>
      </c>
      <c r="I9" s="5" t="inlineStr">
        <is>
          <t>V1/120</t>
        </is>
      </c>
      <c r="J9" s="5" t="inlineStr">
        <is>
          <t>printed label</t>
        </is>
      </c>
      <c r="K9" s="5" t="inlineStr">
        <is>
          <t>V1/120/120</t>
        </is>
      </c>
      <c r="L9" s="5" t="n">
        <v>200</v>
      </c>
      <c r="M9" s="5" t="n">
        <v>25</v>
      </c>
      <c r="N9" s="10">
        <f>IF(AND(ISNUMBER(L9),M9&gt;0),L9/M9,"")</f>
        <v/>
      </c>
      <c r="O9" s="5" t="n">
        <v>0.499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2</v>
      </c>
      <c r="X9" s="5" t="n">
        <v>2</v>
      </c>
      <c r="Y9" s="5" t="n"/>
      <c r="Z9" s="5" t="inlineStr"/>
      <c r="AA9" s="5" t="n">
        <v>4519.5</v>
      </c>
      <c r="AB9" s="5" t="n">
        <v>972.2</v>
      </c>
      <c r="AC9" s="5" t="n">
        <v>4578.5</v>
      </c>
      <c r="AD9" s="5" t="n">
        <v>979.5</v>
      </c>
      <c r="AE9" s="5" t="inlineStr">
        <is>
          <t>shear_wall</t>
        </is>
      </c>
      <c r="AF9" s="5">
        <f>IF(AE9="","",IF(OR(AE9=F9,AND(AE9="crane_footing",F9="isolated_footing")),"yes","no"))</f>
        <v/>
      </c>
    </row>
    <row r="10">
      <c r="A10" s="5" t="n">
        <v>9</v>
      </c>
      <c r="B10" s="5" t="inlineStr">
        <is>
          <t>120</t>
        </is>
      </c>
      <c r="C10" s="5" t="inlineStr">
        <is>
          <t>own label</t>
        </is>
      </c>
      <c r="D10" s="5" t="inlineStr">
        <is>
          <t>solid</t>
        </is>
      </c>
      <c r="E10" s="5" t="n">
        <v>31</v>
      </c>
      <c r="F10" s="5" t="inlineStr">
        <is>
          <t>shear_wall</t>
        </is>
      </c>
      <c r="G10" s="5" t="inlineStr">
        <is>
          <t>Shear wall V2/120 1.25 × 0.25 m</t>
        </is>
      </c>
      <c r="H10" s="5" t="inlineStr">
        <is>
          <t>label vote</t>
        </is>
      </c>
      <c r="I10" s="5" t="inlineStr">
        <is>
          <t>V2/120</t>
        </is>
      </c>
      <c r="J10" s="5" t="inlineStr">
        <is>
          <t>printed label</t>
        </is>
      </c>
      <c r="K10" s="5" t="inlineStr">
        <is>
          <t>V2/120/120</t>
        </is>
      </c>
      <c r="L10" s="5" t="n">
        <v>125</v>
      </c>
      <c r="M10" s="5" t="n">
        <v>25</v>
      </c>
      <c r="N10" s="10">
        <f>IF(AND(ISNUMBER(L10),M10&gt;0),L10/M10,"")</f>
        <v/>
      </c>
      <c r="O10" s="5" t="n">
        <v>0.313</v>
      </c>
      <c r="P10" s="5" t="n">
        <v>179.7</v>
      </c>
      <c r="Q10" s="5" t="n">
        <v>0</v>
      </c>
      <c r="R10" s="5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2</v>
      </c>
      <c r="X10" s="5" t="n">
        <v>2</v>
      </c>
      <c r="Y10" s="5" t="n"/>
      <c r="Z10" s="5" t="inlineStr"/>
      <c r="AA10" s="5" t="n">
        <v>4516.6</v>
      </c>
      <c r="AB10" s="5" t="n">
        <v>1323</v>
      </c>
      <c r="AC10" s="5" t="n">
        <v>4553.6</v>
      </c>
      <c r="AD10" s="5" t="n">
        <v>1330.6</v>
      </c>
      <c r="AE10" s="5" t="inlineStr">
        <is>
          <t>shear_wall</t>
        </is>
      </c>
      <c r="AF10" s="5">
        <f>IF(AE10="","",IF(OR(AE10=F10,AND(AE10="crane_footing",F10="isolated_footing")),"yes","no"))</f>
        <v/>
      </c>
    </row>
    <row r="11">
      <c r="A11" s="5" t="n">
        <v>10</v>
      </c>
      <c r="B11" s="5" t="inlineStr">
        <is>
          <t>120</t>
        </is>
      </c>
      <c r="C11" s="5" t="inlineStr">
        <is>
          <t>own label</t>
        </is>
      </c>
      <c r="D11" s="5" t="inlineStr">
        <is>
          <t>solid</t>
        </is>
      </c>
      <c r="E11" s="5" t="n">
        <v>33</v>
      </c>
      <c r="F11" s="5" t="inlineStr">
        <is>
          <t>shear_wall</t>
        </is>
      </c>
      <c r="G11" s="5" t="inlineStr">
        <is>
          <t>Shear wall V2/120 1.25 × 0.25 m</t>
        </is>
      </c>
      <c r="H11" s="5" t="inlineStr">
        <is>
          <t>label vote</t>
        </is>
      </c>
      <c r="I11" s="5" t="inlineStr">
        <is>
          <t>V2/120</t>
        </is>
      </c>
      <c r="J11" s="5" t="inlineStr">
        <is>
          <t>printed label</t>
        </is>
      </c>
      <c r="K11" s="5" t="inlineStr">
        <is>
          <t>V2/120/120</t>
        </is>
      </c>
      <c r="L11" s="5" t="n">
        <v>125</v>
      </c>
      <c r="M11" s="5" t="n">
        <v>25</v>
      </c>
      <c r="N11" s="10">
        <f>IF(AND(ISNUMBER(L11),M11&gt;0),L11/M11,"")</f>
        <v/>
      </c>
      <c r="O11" s="5" t="n">
        <v>0.312</v>
      </c>
      <c r="P11" s="5" t="n">
        <v>0</v>
      </c>
      <c r="Q11" s="5" t="n">
        <v>1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2</v>
      </c>
      <c r="Y11" s="5" t="n"/>
      <c r="Z11" s="5" t="inlineStr"/>
      <c r="AA11" s="5" t="n">
        <v>4749.1</v>
      </c>
      <c r="AB11" s="5" t="n">
        <v>1323.2</v>
      </c>
      <c r="AC11" s="5" t="n">
        <v>4786.1</v>
      </c>
      <c r="AD11" s="5" t="n">
        <v>1330.5</v>
      </c>
      <c r="AE11" s="5" t="inlineStr"/>
      <c r="AF11" s="5">
        <f>IF(AE11="","",IF(OR(AE11=F11,AND(AE11="crane_footing",F11="isolated_footing")),"yes","no"))</f>
        <v/>
      </c>
    </row>
    <row r="12">
      <c r="A12" s="5" t="n">
        <v>11</v>
      </c>
      <c r="B12" s="5" t="inlineStr">
        <is>
          <t>120</t>
        </is>
      </c>
      <c r="C12" s="5" t="inlineStr">
        <is>
          <t>own label</t>
        </is>
      </c>
      <c r="D12" s="5" t="inlineStr">
        <is>
          <t>solid</t>
        </is>
      </c>
      <c r="E12" s="5" t="n">
        <v>31</v>
      </c>
      <c r="F12" s="5" t="inlineStr">
        <is>
          <t>shear_wall</t>
        </is>
      </c>
      <c r="G12" s="5" t="inlineStr">
        <is>
          <t>Shear wall V3/120 1.25 × 0.25 m</t>
        </is>
      </c>
      <c r="H12" s="5" t="inlineStr">
        <is>
          <t>label vote</t>
        </is>
      </c>
      <c r="I12" s="5" t="inlineStr">
        <is>
          <t>V3/120</t>
        </is>
      </c>
      <c r="J12" s="5" t="inlineStr">
        <is>
          <t>printed label</t>
        </is>
      </c>
      <c r="K12" s="5" t="inlineStr">
        <is>
          <t>V3/120/120</t>
        </is>
      </c>
      <c r="L12" s="5" t="n">
        <v>125</v>
      </c>
      <c r="M12" s="5" t="n">
        <v>25</v>
      </c>
      <c r="N12" s="10">
        <f>IF(AND(ISNUMBER(L12),M12&gt;0),L12/M12,"")</f>
        <v/>
      </c>
      <c r="O12" s="5" t="n">
        <v>0.314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2</v>
      </c>
      <c r="X12" s="5" t="n">
        <v>2</v>
      </c>
      <c r="Y12" s="5" t="n"/>
      <c r="Z12" s="5" t="inlineStr"/>
      <c r="AA12" s="5" t="n">
        <v>4285</v>
      </c>
      <c r="AB12" s="5" t="n">
        <v>864.7</v>
      </c>
      <c r="AC12" s="5" t="n">
        <v>4321.9</v>
      </c>
      <c r="AD12" s="5" t="n">
        <v>872.1</v>
      </c>
      <c r="AE12" s="5" t="inlineStr">
        <is>
          <t>shear_wall</t>
        </is>
      </c>
      <c r="AF12" s="5">
        <f>IF(AE12="","",IF(OR(AE12=F12,AND(AE12="crane_footing",F12="isolated_footing")),"yes","no"))</f>
        <v/>
      </c>
    </row>
    <row r="13">
      <c r="A13" s="5" t="n">
        <v>12</v>
      </c>
      <c r="B13" s="5" t="inlineStr">
        <is>
          <t>120</t>
        </is>
      </c>
      <c r="C13" s="5" t="inlineStr">
        <is>
          <t>own label</t>
        </is>
      </c>
      <c r="D13" s="5" t="inlineStr">
        <is>
          <t>solid</t>
        </is>
      </c>
      <c r="E13" s="5" t="n">
        <v>31</v>
      </c>
      <c r="F13" s="5" t="inlineStr">
        <is>
          <t>shear_wall</t>
        </is>
      </c>
      <c r="G13" s="5" t="inlineStr">
        <is>
          <t>Shear wall V3/120 1.25 × 0.25 m</t>
        </is>
      </c>
      <c r="H13" s="5" t="inlineStr">
        <is>
          <t>label vote</t>
        </is>
      </c>
      <c r="I13" s="5" t="inlineStr">
        <is>
          <t>V3/120</t>
        </is>
      </c>
      <c r="J13" s="5" t="inlineStr">
        <is>
          <t>printed label</t>
        </is>
      </c>
      <c r="K13" s="5" t="inlineStr">
        <is>
          <t>V3/120/120</t>
        </is>
      </c>
      <c r="L13" s="5" t="n">
        <v>125</v>
      </c>
      <c r="M13" s="5" t="n">
        <v>25</v>
      </c>
      <c r="N13" s="10">
        <f>IF(AND(ISNUMBER(L13),M13&gt;0),L13/M13,"")</f>
        <v/>
      </c>
      <c r="O13" s="5" t="n">
        <v>0.313</v>
      </c>
      <c r="P13" s="5" t="n">
        <v>0.1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2</v>
      </c>
      <c r="X13" s="5" t="n">
        <v>2</v>
      </c>
      <c r="Y13" s="5" t="n"/>
      <c r="Z13" s="5" t="inlineStr"/>
      <c r="AA13" s="5" t="n">
        <v>4253.5</v>
      </c>
      <c r="AB13" s="5" t="n">
        <v>1323.1</v>
      </c>
      <c r="AC13" s="5" t="n">
        <v>4290.5</v>
      </c>
      <c r="AD13" s="5" t="n">
        <v>1330.5</v>
      </c>
      <c r="AE13" s="5" t="inlineStr">
        <is>
          <t>shear_wall</t>
        </is>
      </c>
      <c r="AF13" s="5">
        <f>IF(AE13="","",IF(OR(AE13=F13,AND(AE13="crane_footing",F13="isolated_footing")),"yes","no"))</f>
        <v/>
      </c>
    </row>
    <row r="14">
      <c r="A14" s="5" t="n">
        <v>13</v>
      </c>
      <c r="B14" s="5" t="inlineStr">
        <is>
          <t>120</t>
        </is>
      </c>
      <c r="C14" s="5" t="inlineStr">
        <is>
          <t>own label</t>
        </is>
      </c>
      <c r="D14" s="5" t="inlineStr">
        <is>
          <t>solid</t>
        </is>
      </c>
      <c r="E14" s="5" t="n">
        <v>31</v>
      </c>
      <c r="F14" s="5" t="inlineStr">
        <is>
          <t>shear_wall</t>
        </is>
      </c>
      <c r="G14" s="5" t="inlineStr">
        <is>
          <t>Shear wall V3/120 1.25 × 0.25 m</t>
        </is>
      </c>
      <c r="H14" s="5" t="inlineStr">
        <is>
          <t>label vote</t>
        </is>
      </c>
      <c r="I14" s="5" t="inlineStr">
        <is>
          <t>V3/120</t>
        </is>
      </c>
      <c r="J14" s="5" t="inlineStr">
        <is>
          <t>printed label</t>
        </is>
      </c>
      <c r="K14" s="5" t="inlineStr">
        <is>
          <t>V3/120/120</t>
        </is>
      </c>
      <c r="L14" s="5" t="n">
        <v>125</v>
      </c>
      <c r="M14" s="5" t="n">
        <v>25</v>
      </c>
      <c r="N14" s="10">
        <f>IF(AND(ISNUMBER(L14),M14&gt;0),L14/M14,"")</f>
        <v/>
      </c>
      <c r="O14" s="5" t="n">
        <v>0.313</v>
      </c>
      <c r="P14" s="5" t="n">
        <v>0.1</v>
      </c>
      <c r="Q14" s="5" t="n">
        <v>0</v>
      </c>
      <c r="R14" s="5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2</v>
      </c>
      <c r="Y14" s="5" t="n"/>
      <c r="Z14" s="5" t="inlineStr"/>
      <c r="AA14" s="5" t="n">
        <v>4284.8</v>
      </c>
      <c r="AB14" s="5" t="n">
        <v>1094.2</v>
      </c>
      <c r="AC14" s="5" t="n">
        <v>4321.7</v>
      </c>
      <c r="AD14" s="5" t="n">
        <v>1101.6</v>
      </c>
      <c r="AE14" s="5" t="inlineStr">
        <is>
          <t>shear_wall</t>
        </is>
      </c>
      <c r="AF14" s="5">
        <f>IF(AE14="","",IF(OR(AE14=F14,AND(AE14="crane_footing",F14="isolated_footing")),"yes","no"))</f>
        <v/>
      </c>
    </row>
    <row r="15">
      <c r="A15" s="5" t="n">
        <v>14</v>
      </c>
      <c r="B15" s="5" t="inlineStr">
        <is>
          <t>120</t>
        </is>
      </c>
      <c r="C15" s="5" t="inlineStr">
        <is>
          <t>own label</t>
        </is>
      </c>
      <c r="D15" s="5" t="inlineStr">
        <is>
          <t>solid</t>
        </is>
      </c>
      <c r="E15" s="5" t="n">
        <v>31</v>
      </c>
      <c r="F15" s="5" t="inlineStr">
        <is>
          <t>shear_wall</t>
        </is>
      </c>
      <c r="G15" s="5" t="inlineStr">
        <is>
          <t>Shear wall V3/120 1.25 × 0.25 m</t>
        </is>
      </c>
      <c r="H15" s="5" t="inlineStr">
        <is>
          <t>label vote</t>
        </is>
      </c>
      <c r="I15" s="5" t="inlineStr">
        <is>
          <t>V3/120</t>
        </is>
      </c>
      <c r="J15" s="5" t="inlineStr">
        <is>
          <t>printed label</t>
        </is>
      </c>
      <c r="K15" s="5" t="inlineStr">
        <is>
          <t>V3/120120</t>
        </is>
      </c>
      <c r="L15" s="5" t="n">
        <v>125</v>
      </c>
      <c r="M15" s="5" t="n">
        <v>25</v>
      </c>
      <c r="N15" s="10">
        <f>IF(AND(ISNUMBER(L15),M15&gt;0),L15/M15,"")</f>
        <v/>
      </c>
      <c r="O15" s="5" t="n">
        <v>0.313</v>
      </c>
      <c r="P15" s="5" t="n">
        <v>0.1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3</v>
      </c>
      <c r="X15" s="5" t="n">
        <v>2</v>
      </c>
      <c r="Y15" s="5" t="n"/>
      <c r="Z15" s="5" t="inlineStr"/>
      <c r="AA15" s="5" t="n">
        <v>4285.2</v>
      </c>
      <c r="AB15" s="5" t="n">
        <v>635.6</v>
      </c>
      <c r="AC15" s="5" t="n">
        <v>4322.1</v>
      </c>
      <c r="AD15" s="5" t="n">
        <v>643</v>
      </c>
      <c r="AE15" s="5" t="inlineStr">
        <is>
          <t>shear_wall</t>
        </is>
      </c>
      <c r="AF15" s="5">
        <f>IF(AE15="","",IF(OR(AE15=F15,AND(AE15="crane_footing",F15="isolated_footing")),"yes","no"))</f>
        <v/>
      </c>
    </row>
    <row r="16">
      <c r="A16" s="5" t="n">
        <v>15</v>
      </c>
      <c r="B16" s="5" t="inlineStr">
        <is>
          <t>120</t>
        </is>
      </c>
      <c r="C16" s="5" t="inlineStr">
        <is>
          <t>own label</t>
        </is>
      </c>
      <c r="D16" s="5" t="inlineStr">
        <is>
          <t>solid</t>
        </is>
      </c>
      <c r="E16" s="5" t="n">
        <v>29</v>
      </c>
      <c r="F16" s="5" t="inlineStr">
        <is>
          <t>shear_wall</t>
        </is>
      </c>
      <c r="G16" s="5" t="inlineStr">
        <is>
          <t>Shear wall V4/120 2.00 × 0.25 m</t>
        </is>
      </c>
      <c r="H16" s="5" t="inlineStr">
        <is>
          <t>label vote</t>
        </is>
      </c>
      <c r="I16" s="5" t="inlineStr">
        <is>
          <t>V4/120</t>
        </is>
      </c>
      <c r="J16" s="5" t="inlineStr">
        <is>
          <t>printed label</t>
        </is>
      </c>
      <c r="K16" s="5" t="inlineStr">
        <is>
          <t>V4/120/120</t>
        </is>
      </c>
      <c r="L16" s="5" t="n">
        <v>200</v>
      </c>
      <c r="M16" s="5" t="n">
        <v>25</v>
      </c>
      <c r="N16" s="10">
        <f>IF(AND(ISNUMBER(L16),M16&gt;0),L16/M16,"")</f>
        <v/>
      </c>
      <c r="O16" s="5" t="n">
        <v>0.5</v>
      </c>
      <c r="P16" s="5" t="n">
        <v>90.09999999999999</v>
      </c>
      <c r="Q16" s="5" t="n">
        <v>1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0</v>
      </c>
      <c r="W16" s="5" t="n">
        <v>1</v>
      </c>
      <c r="X16" s="5" t="n">
        <v>0</v>
      </c>
      <c r="Y16" s="5" t="n"/>
      <c r="Z16" s="5" t="inlineStr"/>
      <c r="AA16" s="5" t="n">
        <v>4763.6</v>
      </c>
      <c r="AB16" s="5" t="n">
        <v>416.7</v>
      </c>
      <c r="AC16" s="5" t="n">
        <v>4771.1</v>
      </c>
      <c r="AD16" s="5" t="n">
        <v>475.8</v>
      </c>
      <c r="AE16" s="5" t="inlineStr"/>
      <c r="AF16" s="5">
        <f>IF(AE16="","",IF(OR(AE16=F16,AND(AE16="crane_footing",F16="isolated_footing")),"yes","no"))</f>
        <v/>
      </c>
    </row>
    <row r="17">
      <c r="A17" s="5" t="n">
        <v>16</v>
      </c>
      <c r="B17" s="5" t="inlineStr">
        <is>
          <t>120</t>
        </is>
      </c>
      <c r="C17" s="5" t="inlineStr">
        <is>
          <t>own label</t>
        </is>
      </c>
      <c r="D17" s="5" t="inlineStr">
        <is>
          <t>solid</t>
        </is>
      </c>
      <c r="E17" s="5" t="n">
        <v>31</v>
      </c>
      <c r="F17" s="5" t="inlineStr">
        <is>
          <t>shear_wall</t>
        </is>
      </c>
      <c r="G17" s="5" t="inlineStr">
        <is>
          <t>Shear wall V4/120 2.00 × 0.25 m</t>
        </is>
      </c>
      <c r="H17" s="5" t="inlineStr">
        <is>
          <t>label vote</t>
        </is>
      </c>
      <c r="I17" s="5" t="inlineStr">
        <is>
          <t>V4/120</t>
        </is>
      </c>
      <c r="J17" s="5" t="inlineStr">
        <is>
          <t>printed label</t>
        </is>
      </c>
      <c r="K17" s="5" t="inlineStr">
        <is>
          <t>V4/120/120</t>
        </is>
      </c>
      <c r="L17" s="5" t="n">
        <v>200</v>
      </c>
      <c r="M17" s="5" t="n">
        <v>25</v>
      </c>
      <c r="N17" s="10">
        <f>IF(AND(ISNUMBER(L17),M17&gt;0),L17/M17,"")</f>
        <v/>
      </c>
      <c r="O17" s="5" t="n">
        <v>0.5</v>
      </c>
      <c r="P17" s="5" t="n">
        <v>90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2</v>
      </c>
      <c r="X17" s="5" t="n">
        <v>0</v>
      </c>
      <c r="Y17" s="5" t="n"/>
      <c r="Z17" s="5" t="inlineStr"/>
      <c r="AA17" s="5" t="n">
        <v>4644.1</v>
      </c>
      <c r="AB17" s="5" t="n">
        <v>425.8</v>
      </c>
      <c r="AC17" s="5" t="n">
        <v>4651.4</v>
      </c>
      <c r="AD17" s="5" t="n">
        <v>484.9</v>
      </c>
      <c r="AE17" s="5" t="inlineStr">
        <is>
          <t>shear_wall</t>
        </is>
      </c>
      <c r="AF17" s="5">
        <f>IF(AE17="","",IF(OR(AE17=F17,AND(AE17="crane_footing",F17="isolated_footing")),"yes","no"))</f>
        <v/>
      </c>
    </row>
    <row r="18">
      <c r="A18" s="5" t="n">
        <v>17</v>
      </c>
      <c r="B18" s="5" t="inlineStr">
        <is>
          <t>120</t>
        </is>
      </c>
      <c r="C18" s="5" t="inlineStr">
        <is>
          <t>own label</t>
        </is>
      </c>
      <c r="D18" s="5" t="inlineStr">
        <is>
          <t>solid</t>
        </is>
      </c>
      <c r="E18" s="5" t="n">
        <v>27</v>
      </c>
      <c r="F18" s="5" t="inlineStr">
        <is>
          <t>shear_wall</t>
        </is>
      </c>
      <c r="G18" s="5" t="inlineStr">
        <is>
          <t>Shear wall V5/120 3.00 × 0.25 m</t>
        </is>
      </c>
      <c r="H18" s="5" t="inlineStr">
        <is>
          <t>similar to cluster 29 (distance 2.85)</t>
        </is>
      </c>
      <c r="I18" s="5" t="inlineStr">
        <is>
          <t>V5/120</t>
        </is>
      </c>
      <c r="J18" s="5" t="inlineStr">
        <is>
          <t>printed label</t>
        </is>
      </c>
      <c r="K18" s="5" t="inlineStr">
        <is>
          <t>V5/120/120</t>
        </is>
      </c>
      <c r="L18" s="5" t="n">
        <v>300</v>
      </c>
      <c r="M18" s="5" t="n">
        <v>25</v>
      </c>
      <c r="N18" s="10">
        <f>IF(AND(ISNUMBER(L18),M18&gt;0),L18/M18,"")</f>
        <v/>
      </c>
      <c r="O18" s="5" t="n">
        <v>0.752</v>
      </c>
      <c r="P18" s="5" t="n">
        <v>90</v>
      </c>
      <c r="Q18" s="5" t="n">
        <v>1</v>
      </c>
      <c r="R18" s="5" t="n">
        <v>1</v>
      </c>
      <c r="S18" s="5" t="n">
        <v>0</v>
      </c>
      <c r="T18" s="5" t="n">
        <v>0</v>
      </c>
      <c r="U18" s="5" t="n">
        <v>1</v>
      </c>
      <c r="V18" s="5" t="n">
        <v>0</v>
      </c>
      <c r="W18" s="5" t="n">
        <v>2</v>
      </c>
      <c r="X18" s="5" t="n">
        <v>0</v>
      </c>
      <c r="Y18" s="5" t="n"/>
      <c r="Z18" s="5" t="inlineStr"/>
      <c r="AA18" s="5" t="n">
        <v>4763.8</v>
      </c>
      <c r="AB18" s="5" t="n">
        <v>1046.6</v>
      </c>
      <c r="AC18" s="5" t="n">
        <v>4771.2</v>
      </c>
      <c r="AD18" s="5" t="n">
        <v>1135.2</v>
      </c>
      <c r="AE18" s="5" t="inlineStr"/>
      <c r="AF18" s="5">
        <f>IF(AE18="","",IF(OR(AE18=F18,AND(AE18="crane_footing",F18="isolated_footing")),"yes","no"))</f>
        <v/>
      </c>
    </row>
    <row r="19">
      <c r="A19" s="5" t="n">
        <v>18</v>
      </c>
      <c r="B19" s="5" t="inlineStr">
        <is>
          <t>120</t>
        </is>
      </c>
      <c r="C19" s="5" t="inlineStr">
        <is>
          <t>own label</t>
        </is>
      </c>
      <c r="D19" s="5" t="inlineStr">
        <is>
          <t>solid</t>
        </is>
      </c>
      <c r="E19" s="5" t="n">
        <v>29</v>
      </c>
      <c r="F19" s="5" t="inlineStr">
        <is>
          <t>shear_wall</t>
        </is>
      </c>
      <c r="G19" s="5" t="inlineStr">
        <is>
          <t>Shear wall V8/120 2.50 × 0.25 m</t>
        </is>
      </c>
      <c r="H19" s="5" t="inlineStr">
        <is>
          <t>label vote</t>
        </is>
      </c>
      <c r="I19" s="5" t="inlineStr">
        <is>
          <t>V8/120</t>
        </is>
      </c>
      <c r="J19" s="5" t="inlineStr">
        <is>
          <t>printed label</t>
        </is>
      </c>
      <c r="K19" s="5" t="inlineStr">
        <is>
          <t>V8/120/120</t>
        </is>
      </c>
      <c r="L19" s="5" t="n">
        <v>250</v>
      </c>
      <c r="M19" s="5" t="n">
        <v>25</v>
      </c>
      <c r="N19" s="10">
        <f>IF(AND(ISNUMBER(L19),M19&gt;0),L19/M19,"")</f>
        <v/>
      </c>
      <c r="O19" s="5" t="n">
        <v>0.625</v>
      </c>
      <c r="P19" s="5" t="n">
        <v>90.09999999999999</v>
      </c>
      <c r="Q19" s="5" t="n">
        <v>1</v>
      </c>
      <c r="R19" s="5" t="n">
        <v>1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1</v>
      </c>
      <c r="X19" s="5" t="n">
        <v>0</v>
      </c>
      <c r="Y19" s="5" t="n"/>
      <c r="Z19" s="5" t="inlineStr"/>
      <c r="AA19" s="5" t="n">
        <v>4763.7</v>
      </c>
      <c r="AB19" s="5" t="n">
        <v>561.5</v>
      </c>
      <c r="AC19" s="5" t="n">
        <v>4771.2</v>
      </c>
      <c r="AD19" s="5" t="n">
        <v>635.3</v>
      </c>
      <c r="AE19" s="5" t="inlineStr"/>
      <c r="AF19" s="5">
        <f>IF(AE19="","",IF(OR(AE19=F19,AND(AE19="crane_footing",F19="isolated_footing")),"yes","no"))</f>
        <v/>
      </c>
    </row>
    <row r="20">
      <c r="A20" s="5" t="n">
        <v>19</v>
      </c>
      <c r="B20" s="5" t="inlineStr">
        <is>
          <t>120</t>
        </is>
      </c>
      <c r="C20" s="5" t="inlineStr">
        <is>
          <t>own label</t>
        </is>
      </c>
      <c r="D20" s="5" t="inlineStr">
        <is>
          <t>solid</t>
        </is>
      </c>
      <c r="E20" s="5" t="n">
        <v>38</v>
      </c>
      <c r="F20" s="5" t="inlineStr">
        <is>
          <t>shear_wall</t>
        </is>
      </c>
      <c r="G20" s="5" t="inlineStr">
        <is>
          <t>Shear wall V9/120 2.00 × 0.30 m</t>
        </is>
      </c>
      <c r="H20" s="5" t="inlineStr">
        <is>
          <t>label vote</t>
        </is>
      </c>
      <c r="I20" s="5" t="inlineStr">
        <is>
          <t>V9/120</t>
        </is>
      </c>
      <c r="J20" s="5" t="inlineStr">
        <is>
          <t>printed label</t>
        </is>
      </c>
      <c r="K20" s="5" t="inlineStr">
        <is>
          <t>V9/120/120</t>
        </is>
      </c>
      <c r="L20" s="5" t="n">
        <v>200</v>
      </c>
      <c r="M20" s="5" t="n">
        <v>30</v>
      </c>
      <c r="N20" s="10">
        <f>IF(AND(ISNUMBER(L20),M20&gt;0),L20/M20,"")</f>
        <v/>
      </c>
      <c r="O20" s="5" t="n">
        <v>0.601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2</v>
      </c>
      <c r="X20" s="5" t="n">
        <v>2</v>
      </c>
      <c r="Y20" s="5" t="n"/>
      <c r="Z20" s="5" t="inlineStr"/>
      <c r="AA20" s="5" t="n">
        <v>4516.6</v>
      </c>
      <c r="AB20" s="5" t="n">
        <v>1139.7</v>
      </c>
      <c r="AC20" s="5" t="n">
        <v>4575.6</v>
      </c>
      <c r="AD20" s="5" t="n">
        <v>1148.6</v>
      </c>
      <c r="AE20" s="5" t="inlineStr">
        <is>
          <t>shear_wall</t>
        </is>
      </c>
      <c r="AF20" s="5">
        <f>IF(AE20="","",IF(OR(AE20=F20,AND(AE20="crane_footing",F20="isolated_footing")),"yes","no"))</f>
        <v/>
      </c>
    </row>
    <row r="21">
      <c r="A21" s="5" t="n">
        <v>20</v>
      </c>
      <c r="B21" s="5" t="inlineStr">
        <is>
          <t>120</t>
        </is>
      </c>
      <c r="C21" s="5" t="inlineStr">
        <is>
          <t>region between joints</t>
        </is>
      </c>
      <c r="D21" s="5" t="inlineStr">
        <is>
          <t>solid</t>
        </is>
      </c>
      <c r="E21" s="5" t="n">
        <v>26</v>
      </c>
      <c r="F21" s="5" t="inlineStr">
        <is>
          <t>core_wall</t>
        </is>
      </c>
      <c r="G21" s="5" t="inlineStr">
        <is>
          <t>Core wall 1.10 × 0.20 m</t>
        </is>
      </c>
      <c r="H21" s="5" t="inlineStr">
        <is>
          <t>rule: unlabelled interior wall, no V type of its size</t>
        </is>
      </c>
      <c r="I21" s="5" t="inlineStr">
        <is>
          <t>(none)</t>
        </is>
      </c>
      <c r="J21" s="5" t="inlineStr"/>
      <c r="K21" s="5" t="inlineStr"/>
      <c r="L21" s="5" t="n">
        <v>110</v>
      </c>
      <c r="M21" s="5" t="n">
        <v>20</v>
      </c>
      <c r="N21" s="10">
        <f>IF(AND(ISNUMBER(L21),M21&gt;0),L21/M21,"")</f>
        <v/>
      </c>
      <c r="O21" s="5" t="n">
        <v>0.209</v>
      </c>
      <c r="P21" s="5" t="n">
        <v>90</v>
      </c>
      <c r="Q21" s="5" t="n">
        <v>1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2</v>
      </c>
      <c r="X21" s="5" t="n">
        <v>0</v>
      </c>
      <c r="Y21" s="5" t="n"/>
      <c r="Z21" s="5" t="inlineStr"/>
      <c r="AA21" s="5" t="n">
        <v>4818.4</v>
      </c>
      <c r="AB21" s="5" t="n">
        <v>868.7</v>
      </c>
      <c r="AC21" s="5" t="n">
        <v>4824.2</v>
      </c>
      <c r="AD21" s="5" t="n">
        <v>901.3</v>
      </c>
      <c r="AE21" s="5" t="inlineStr"/>
      <c r="AF21" s="5">
        <f>IF(AE21="","",IF(OR(AE21=F21,AND(AE21="crane_footing",F21="isolated_footing")),"yes","no"))</f>
        <v/>
      </c>
    </row>
    <row r="22">
      <c r="A22" s="5" t="n">
        <v>21</v>
      </c>
      <c r="B22" s="5" t="inlineStr">
        <is>
          <t>120</t>
        </is>
      </c>
      <c r="C22" s="5" t="inlineStr">
        <is>
          <t>region between joints</t>
        </is>
      </c>
      <c r="D22" s="5" t="inlineStr">
        <is>
          <t>solid</t>
        </is>
      </c>
      <c r="E22" s="5" t="n">
        <v>28</v>
      </c>
      <c r="F22" s="5" t="inlineStr">
        <is>
          <t>core_wall</t>
        </is>
      </c>
      <c r="G22" s="5" t="inlineStr">
        <is>
          <t>Core wall 2.87 × 0.25 m</t>
        </is>
      </c>
      <c r="H22" s="5" t="inlineStr">
        <is>
          <t>rule: unlabelled interior wall, no V type of its size</t>
        </is>
      </c>
      <c r="I22" s="5" t="inlineStr">
        <is>
          <t>(none)</t>
        </is>
      </c>
      <c r="J22" s="5" t="inlineStr">
        <is>
          <t>no shear_wall type in its building has this size</t>
        </is>
      </c>
      <c r="K22" s="5" t="inlineStr"/>
      <c r="L22" s="5" t="n">
        <v>287</v>
      </c>
      <c r="M22" s="5" t="n">
        <v>25</v>
      </c>
      <c r="N22" s="10">
        <f>IF(AND(ISNUMBER(L22),M22&gt;0),L22/M22,"")</f>
        <v/>
      </c>
      <c r="O22" s="5" t="n">
        <v>0.722</v>
      </c>
      <c r="P22" s="5" t="n">
        <v>180</v>
      </c>
      <c r="Q22" s="5" t="n">
        <v>2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4</v>
      </c>
      <c r="X22" s="5" t="n">
        <v>0</v>
      </c>
      <c r="Y22" s="5" t="n"/>
      <c r="Z22" s="5" t="inlineStr"/>
      <c r="AA22" s="5" t="n">
        <v>4771.3</v>
      </c>
      <c r="AB22" s="5" t="n">
        <v>749.2</v>
      </c>
      <c r="AC22" s="5" t="n">
        <v>4856.1</v>
      </c>
      <c r="AD22" s="5" t="n">
        <v>756.6</v>
      </c>
      <c r="AE22" s="5" t="inlineStr"/>
      <c r="AF22" s="5">
        <f>IF(AE22="","",IF(OR(AE22=F22,AND(AE22="crane_footing",F22="isolated_footing")),"yes","no"))</f>
        <v/>
      </c>
    </row>
    <row r="23">
      <c r="A23" s="5" t="n">
        <v>22</v>
      </c>
      <c r="B23" s="5" t="inlineStr">
        <is>
          <t>120</t>
        </is>
      </c>
      <c r="C23" s="5" t="inlineStr">
        <is>
          <t>region between joints</t>
        </is>
      </c>
      <c r="D23" s="5" t="inlineStr">
        <is>
          <t>solid</t>
        </is>
      </c>
      <c r="E23" s="5" t="n">
        <v>26</v>
      </c>
      <c r="F23" s="5" t="inlineStr">
        <is>
          <t>core_wall</t>
        </is>
      </c>
      <c r="G23" s="5" t="inlineStr">
        <is>
          <t>Core wall 1.75 × 0.25 m</t>
        </is>
      </c>
      <c r="H23" s="5" t="inlineStr">
        <is>
          <t>rule: unlabelled interior wall, no V type of its size</t>
        </is>
      </c>
      <c r="I23" s="5" t="inlineStr">
        <is>
          <t>(none)</t>
        </is>
      </c>
      <c r="J23" s="5" t="inlineStr"/>
      <c r="K23" s="5" t="inlineStr"/>
      <c r="L23" s="5" t="n">
        <v>175</v>
      </c>
      <c r="M23" s="5" t="n">
        <v>25</v>
      </c>
      <c r="N23" s="10">
        <f>IF(AND(ISNUMBER(L23),M23&gt;0),L23/M23,"")</f>
        <v/>
      </c>
      <c r="O23" s="5" t="n">
        <v>0.441</v>
      </c>
      <c r="P23" s="5" t="n">
        <v>89.90000000000001</v>
      </c>
      <c r="Q23" s="5" t="n">
        <v>1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1</v>
      </c>
      <c r="X23" s="5" t="n">
        <v>0</v>
      </c>
      <c r="Y23" s="5" t="n"/>
      <c r="Z23" s="5" t="inlineStr"/>
      <c r="AA23" s="5" t="n">
        <v>4763.8</v>
      </c>
      <c r="AB23" s="5" t="n">
        <v>756.6</v>
      </c>
      <c r="AC23" s="5" t="n">
        <v>4771.3</v>
      </c>
      <c r="AD23" s="5" t="n">
        <v>808.2</v>
      </c>
      <c r="AE23" s="5" t="inlineStr"/>
      <c r="AF23" s="5">
        <f>IF(AE23="","",IF(OR(AE23=F23,AND(AE23="crane_footing",F23="isolated_footing")),"yes","no"))</f>
        <v/>
      </c>
    </row>
    <row r="24">
      <c r="A24" s="5" t="n">
        <v>23</v>
      </c>
      <c r="B24" s="5" t="inlineStr">
        <is>
          <t>120</t>
        </is>
      </c>
      <c r="C24" s="5" t="inlineStr">
        <is>
          <t>region between joints</t>
        </is>
      </c>
      <c r="D24" s="5" t="inlineStr">
        <is>
          <t>solid</t>
        </is>
      </c>
      <c r="E24" s="5" t="n">
        <v>26</v>
      </c>
      <c r="F24" s="5" t="inlineStr">
        <is>
          <t>core_wall</t>
        </is>
      </c>
      <c r="G24" s="5" t="inlineStr">
        <is>
          <t>Core wall 1.58 × 0.25 m</t>
        </is>
      </c>
      <c r="H24" s="5" t="inlineStr">
        <is>
          <t>rule: unlabelled interior wall, no V type of its size</t>
        </is>
      </c>
      <c r="I24" s="5" t="inlineStr">
        <is>
          <t>(none)</t>
        </is>
      </c>
      <c r="J24" s="5" t="inlineStr"/>
      <c r="K24" s="5" t="inlineStr"/>
      <c r="L24" s="5" t="n">
        <v>158</v>
      </c>
      <c r="M24" s="5" t="n">
        <v>25</v>
      </c>
      <c r="N24" s="10">
        <f>IF(AND(ISNUMBER(L24),M24&gt;0),L24/M24,"")</f>
        <v/>
      </c>
      <c r="O24" s="5" t="n">
        <v>0.402</v>
      </c>
      <c r="P24" s="5" t="n">
        <v>89.90000000000001</v>
      </c>
      <c r="Q24" s="5" t="n">
        <v>1</v>
      </c>
      <c r="R24" s="5" t="n">
        <v>0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v>1</v>
      </c>
      <c r="X24" s="5" t="n">
        <v>0</v>
      </c>
      <c r="Y24" s="5" t="n"/>
      <c r="Z24" s="5" t="inlineStr"/>
      <c r="AA24" s="5" t="n">
        <v>4870.7</v>
      </c>
      <c r="AB24" s="5" t="n">
        <v>781.7</v>
      </c>
      <c r="AC24" s="5" t="n">
        <v>4878.3</v>
      </c>
      <c r="AD24" s="5" t="n">
        <v>828.2</v>
      </c>
      <c r="AE24" s="5" t="inlineStr"/>
      <c r="AF24" s="5">
        <f>IF(AE24="","",IF(OR(AE24=F24,AND(AE24="crane_footing",F24="isolated_footing")),"yes","no"))</f>
        <v/>
      </c>
    </row>
    <row r="25">
      <c r="A25" s="5" t="n">
        <v>24</v>
      </c>
      <c r="B25" s="5" t="inlineStr">
        <is>
          <t>120</t>
        </is>
      </c>
      <c r="C25" s="5" t="inlineStr">
        <is>
          <t>region between joints</t>
        </is>
      </c>
      <c r="D25" s="5" t="inlineStr">
        <is>
          <t>solid</t>
        </is>
      </c>
      <c r="E25" s="5" t="n">
        <v>25</v>
      </c>
      <c r="F25" s="5" t="inlineStr">
        <is>
          <t>core_wall</t>
        </is>
      </c>
      <c r="G25" s="5" t="inlineStr">
        <is>
          <t>Core wall 0.47 × 0.26 m</t>
        </is>
      </c>
      <c r="H25" s="5" t="inlineStr">
        <is>
          <t>rule: column-shaped piece drawn like a wall (outline pen or continuity)</t>
        </is>
      </c>
      <c r="I25" s="5" t="inlineStr">
        <is>
          <t>(none)</t>
        </is>
      </c>
      <c r="J25" s="5" t="inlineStr"/>
      <c r="K25" s="5" t="inlineStr"/>
      <c r="L25" s="5" t="n">
        <v>47</v>
      </c>
      <c r="M25" s="5" t="n">
        <v>26</v>
      </c>
      <c r="N25" s="10">
        <f>IF(AND(ISNUMBER(L25),M25&gt;0),L25/M25,"")</f>
        <v/>
      </c>
      <c r="O25" s="5" t="n">
        <v>0.122</v>
      </c>
      <c r="P25" s="5" t="n">
        <v>89.90000000000001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/>
      <c r="Z25" s="5" t="inlineStr"/>
      <c r="AA25" s="5" t="n">
        <v>4870.7</v>
      </c>
      <c r="AB25" s="5" t="n">
        <v>760.3</v>
      </c>
      <c r="AC25" s="5" t="n">
        <v>4878.3</v>
      </c>
      <c r="AD25" s="5" t="n">
        <v>774.3</v>
      </c>
      <c r="AE25" s="5" t="inlineStr"/>
      <c r="AF25" s="5">
        <f>IF(AE25="","",IF(OR(AE25=F25,AND(AE25="crane_footing",F25="isolated_footing")),"yes","no"))</f>
        <v/>
      </c>
    </row>
    <row r="26">
      <c r="A26" s="5" t="n">
        <v>25</v>
      </c>
      <c r="B26" s="5" t="inlineStr">
        <is>
          <t>120</t>
        </is>
      </c>
      <c r="C26" s="5" t="inlineStr">
        <is>
          <t>region between joints</t>
        </is>
      </c>
      <c r="D26" s="5" t="inlineStr">
        <is>
          <t>cross_hatch</t>
        </is>
      </c>
      <c r="E26" s="5" t="n">
        <v>10</v>
      </c>
      <c r="F26" s="5" t="inlineStr">
        <is>
          <t>core_wall</t>
        </is>
      </c>
      <c r="G26" s="5" t="inlineStr">
        <is>
          <t>Core wall 2.41 × 0.20 m</t>
        </is>
      </c>
      <c r="H26" s="5" t="inlineStr">
        <is>
          <t>rule: unlabelled interior wall, no V type of its size</t>
        </is>
      </c>
      <c r="I26" s="5" t="inlineStr">
        <is>
          <t>(none)</t>
        </is>
      </c>
      <c r="J26" s="5" t="inlineStr"/>
      <c r="K26" s="5" t="inlineStr"/>
      <c r="L26" s="5" t="n">
        <v>241</v>
      </c>
      <c r="M26" s="5" t="n">
        <v>20</v>
      </c>
      <c r="N26" s="10">
        <f>IF(AND(ISNUMBER(L26),M26&gt;0),L26/M26,"")</f>
        <v/>
      </c>
      <c r="O26" s="5" t="n">
        <v>0.5669999999999999</v>
      </c>
      <c r="P26" s="5" t="n">
        <v>0</v>
      </c>
      <c r="Q26" s="5" t="n">
        <v>2</v>
      </c>
      <c r="R26" s="5" t="n">
        <v>0</v>
      </c>
      <c r="S26" s="5" t="n">
        <v>0</v>
      </c>
      <c r="T26" s="5" t="n">
        <v>1</v>
      </c>
      <c r="U26" s="5" t="n">
        <v>0</v>
      </c>
      <c r="V26" s="5" t="n">
        <v>0</v>
      </c>
      <c r="W26" s="5" t="n">
        <v>6</v>
      </c>
      <c r="X26" s="5" t="n">
        <v>0</v>
      </c>
      <c r="Y26" s="5" t="n"/>
      <c r="Z26" s="5" t="inlineStr"/>
      <c r="AA26" s="5" t="n">
        <v>4620.6</v>
      </c>
      <c r="AB26" s="5" t="n">
        <v>862.9</v>
      </c>
      <c r="AC26" s="5" t="n">
        <v>4704.8</v>
      </c>
      <c r="AD26" s="5" t="n">
        <v>868.8</v>
      </c>
      <c r="AE26" s="5" t="inlineStr"/>
      <c r="AF26" s="5">
        <f>IF(AE26="","",IF(OR(AE26=F26,AND(AE26="crane_footing",F26="isolated_footing")),"yes","no"))</f>
        <v/>
      </c>
    </row>
    <row r="27">
      <c r="A27" s="5" t="n">
        <v>26</v>
      </c>
      <c r="B27" s="5" t="inlineStr">
        <is>
          <t>120</t>
        </is>
      </c>
      <c r="C27" s="5" t="inlineStr">
        <is>
          <t>region between joints</t>
        </is>
      </c>
      <c r="D27" s="5" t="inlineStr">
        <is>
          <t>cross_hatch</t>
        </is>
      </c>
      <c r="E27" s="5" t="n">
        <v>10</v>
      </c>
      <c r="F27" s="5" t="inlineStr">
        <is>
          <t>core_wall</t>
        </is>
      </c>
      <c r="G27" s="5" t="inlineStr">
        <is>
          <t>Core wall 1.63 × 0.20 m</t>
        </is>
      </c>
      <c r="H27" s="5" t="inlineStr">
        <is>
          <t>rule: unlabelled interior wall, no V type of its size</t>
        </is>
      </c>
      <c r="I27" s="5" t="inlineStr">
        <is>
          <t>(none)</t>
        </is>
      </c>
      <c r="J27" s="5" t="inlineStr"/>
      <c r="K27" s="5" t="inlineStr"/>
      <c r="L27" s="5" t="n">
        <v>163</v>
      </c>
      <c r="M27" s="5" t="n">
        <v>20</v>
      </c>
      <c r="N27" s="10">
        <f>IF(AND(ISNUMBER(L27),M27&gt;0),L27/M27,"")</f>
        <v/>
      </c>
      <c r="O27" s="5" t="n">
        <v>0.671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3</v>
      </c>
      <c r="X27" s="5" t="n">
        <v>0</v>
      </c>
      <c r="Y27" s="5" t="n"/>
      <c r="Z27" s="5" t="inlineStr"/>
      <c r="AA27" s="5" t="n">
        <v>4771.2</v>
      </c>
      <c r="AB27" s="5" t="n">
        <v>802.4</v>
      </c>
      <c r="AC27" s="5" t="n">
        <v>4870.8</v>
      </c>
      <c r="AD27" s="5" t="n">
        <v>808.2</v>
      </c>
      <c r="AE27" s="5" t="inlineStr"/>
      <c r="AF27" s="5">
        <f>IF(AE27="","",IF(OR(AE27=F27,AND(AE27="crane_footing",F27="isolated_footing")),"yes","no"))</f>
        <v/>
      </c>
    </row>
    <row r="28">
      <c r="A28" s="5" t="n">
        <v>27</v>
      </c>
      <c r="B28" s="5" t="inlineStr">
        <is>
          <t>120</t>
        </is>
      </c>
      <c r="C28" s="5" t="inlineStr">
        <is>
          <t>region between joints</t>
        </is>
      </c>
      <c r="D28" s="5" t="inlineStr">
        <is>
          <t>outline</t>
        </is>
      </c>
      <c r="E28" s="5" t="n">
        <v>17</v>
      </c>
      <c r="F28" s="5" t="inlineStr">
        <is>
          <t>core_wall</t>
        </is>
      </c>
      <c r="G28" s="5" t="inlineStr">
        <is>
          <t>Core wall 2.10 × 0.20 m</t>
        </is>
      </c>
      <c r="H28" s="5" t="inlineStr">
        <is>
          <t>rule: unlabelled interior wall, no V type of its size (drawn as an outline with a pattern inside)</t>
        </is>
      </c>
      <c r="I28" s="5" t="inlineStr">
        <is>
          <t>(none)</t>
        </is>
      </c>
      <c r="J28" s="5" t="inlineStr"/>
      <c r="K28" s="5" t="inlineStr"/>
      <c r="L28" s="5" t="n">
        <v>210</v>
      </c>
      <c r="M28" s="5" t="n">
        <v>20</v>
      </c>
      <c r="N28" s="10">
        <f>IF(AND(ISNUMBER(L28),M28&gt;0),L28/M28,"")</f>
        <v/>
      </c>
      <c r="O28" s="5" t="n">
        <v>0.42</v>
      </c>
      <c r="P28" s="5" t="n">
        <v>90.09999999999999</v>
      </c>
      <c r="Q28" s="5" t="n">
        <v>2</v>
      </c>
      <c r="R28" s="5" t="n">
        <v>0</v>
      </c>
      <c r="S28" s="5" t="n">
        <v>0</v>
      </c>
      <c r="T28" s="5" t="n">
        <v>1</v>
      </c>
      <c r="U28" s="5" t="n">
        <v>0</v>
      </c>
      <c r="V28" s="5" t="n">
        <v>0</v>
      </c>
      <c r="W28" s="5" t="n">
        <v>3</v>
      </c>
      <c r="X28" s="5" t="n">
        <v>0</v>
      </c>
      <c r="Y28" s="5" t="n"/>
      <c r="Z28" s="5" t="inlineStr"/>
      <c r="AA28" s="5" t="n">
        <v>4722.4</v>
      </c>
      <c r="AB28" s="5" t="n">
        <v>799.4</v>
      </c>
      <c r="AC28" s="5" t="n">
        <v>4728.4</v>
      </c>
      <c r="AD28" s="5" t="n">
        <v>861.4</v>
      </c>
      <c r="AE28" s="5" t="inlineStr"/>
      <c r="AF28" s="5">
        <f>IF(AE28="","",IF(OR(AE28=F28,AND(AE28="crane_footing",F28="isolated_footing")),"yes","no"))</f>
        <v/>
      </c>
    </row>
    <row r="29">
      <c r="A29" s="5" t="n">
        <v>28</v>
      </c>
      <c r="B29" s="5" t="inlineStr">
        <is>
          <t>120</t>
        </is>
      </c>
      <c r="C29" s="5" t="inlineStr">
        <is>
          <t>region between joints</t>
        </is>
      </c>
      <c r="D29" s="5" t="inlineStr">
        <is>
          <t>outline</t>
        </is>
      </c>
      <c r="E29" s="5" t="n">
        <v>18</v>
      </c>
      <c r="F29" s="5" t="inlineStr">
        <is>
          <t>core_wall</t>
        </is>
      </c>
      <c r="G29" s="5" t="inlineStr">
        <is>
          <t>Core wall 1.20 × 0.20 m</t>
        </is>
      </c>
      <c r="H29" s="5" t="inlineStr">
        <is>
          <t>rule: unlabelled interior wall, no V type of its size (drawn as an outline with a pattern inside)</t>
        </is>
      </c>
      <c r="I29" s="5" t="inlineStr">
        <is>
          <t>(none)</t>
        </is>
      </c>
      <c r="J29" s="5" t="inlineStr"/>
      <c r="K29" s="5" t="inlineStr"/>
      <c r="L29" s="5" t="n">
        <v>120</v>
      </c>
      <c r="M29" s="5" t="n">
        <v>20</v>
      </c>
      <c r="N29" s="10">
        <f>IF(AND(ISNUMBER(L29),M29&gt;0),L29/M29,"")</f>
        <v/>
      </c>
      <c r="O29" s="5" t="n">
        <v>0.239</v>
      </c>
      <c r="P29" s="5" t="n">
        <v>0.1</v>
      </c>
      <c r="Q29" s="5" t="n">
        <v>2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5</v>
      </c>
      <c r="X29" s="5" t="n">
        <v>0</v>
      </c>
      <c r="Y29" s="5" t="n"/>
      <c r="Z29" s="5" t="inlineStr"/>
      <c r="AA29" s="5" t="n">
        <v>4728.3</v>
      </c>
      <c r="AB29" s="5" t="n">
        <v>792</v>
      </c>
      <c r="AC29" s="5" t="n">
        <v>4763.7</v>
      </c>
      <c r="AD29" s="5" t="n">
        <v>798</v>
      </c>
      <c r="AE29" s="5" t="inlineStr"/>
      <c r="AF29" s="5">
        <f>IF(AE29="","",IF(OR(AE29=F29,AND(AE29="crane_footing",F29="isolated_footing")),"yes","no"))</f>
        <v/>
      </c>
    </row>
    <row r="30">
      <c r="A30" s="5" t="n">
        <v>29</v>
      </c>
      <c r="B30" s="5" t="inlineStr">
        <is>
          <t>120</t>
        </is>
      </c>
      <c r="C30" s="5" t="inlineStr">
        <is>
          <t>region between joints</t>
        </is>
      </c>
      <c r="D30" s="5" t="inlineStr">
        <is>
          <t>outline</t>
        </is>
      </c>
      <c r="E30" s="5" t="n">
        <v>18</v>
      </c>
      <c r="F30" s="5" t="inlineStr">
        <is>
          <t>core_wall</t>
        </is>
      </c>
      <c r="G30" s="5" t="inlineStr">
        <is>
          <t>Core wall 1.12 × 0.20 m</t>
        </is>
      </c>
      <c r="H30" s="5" t="inlineStr">
        <is>
          <t>rule: unlabelled interior wall, no V type of its size (drawn as an outline with a pattern inside)</t>
        </is>
      </c>
      <c r="I30" s="5" t="inlineStr">
        <is>
          <t>(none)</t>
        </is>
      </c>
      <c r="J30" s="5" t="inlineStr"/>
      <c r="K30" s="5" t="inlineStr"/>
      <c r="L30" s="5" t="n">
        <v>112</v>
      </c>
      <c r="M30" s="5" t="n">
        <v>20</v>
      </c>
      <c r="N30" s="10">
        <f>IF(AND(ISNUMBER(L30),M30&gt;0),L30/M30,"")</f>
        <v/>
      </c>
      <c r="O30" s="5" t="n">
        <v>0.225</v>
      </c>
      <c r="P30" s="5" t="n">
        <v>90</v>
      </c>
      <c r="Q30" s="5" t="n">
        <v>2</v>
      </c>
      <c r="R30" s="5" t="n">
        <v>0</v>
      </c>
      <c r="S30" s="5" t="n">
        <v>0</v>
      </c>
      <c r="T30" s="5" t="n">
        <v>1</v>
      </c>
      <c r="U30" s="5" t="n">
        <v>0</v>
      </c>
      <c r="V30" s="5" t="n">
        <v>0</v>
      </c>
      <c r="W30" s="5" t="n">
        <v>3</v>
      </c>
      <c r="X30" s="5" t="n">
        <v>0</v>
      </c>
      <c r="Y30" s="5" t="n"/>
      <c r="Z30" s="5" t="inlineStr"/>
      <c r="AA30" s="5" t="n">
        <v>4870.8</v>
      </c>
      <c r="AB30" s="5" t="n">
        <v>828.2</v>
      </c>
      <c r="AC30" s="5" t="n">
        <v>4876.7</v>
      </c>
      <c r="AD30" s="5" t="n">
        <v>861.4</v>
      </c>
      <c r="AE30" s="5" t="inlineStr"/>
      <c r="AF30" s="5">
        <f>IF(AE30="","",IF(OR(AE30=F30,AND(AE30="crane_footing",F30="isolated_footing")),"yes","no"))</f>
        <v/>
      </c>
    </row>
    <row r="31">
      <c r="A31" s="5" t="n">
        <v>30</v>
      </c>
      <c r="B31" s="5" t="inlineStr">
        <is>
          <t>120</t>
        </is>
      </c>
      <c r="C31" s="5" t="inlineStr">
        <is>
          <t>region between joints</t>
        </is>
      </c>
      <c r="D31" s="5" t="inlineStr">
        <is>
          <t>cross_hatch</t>
        </is>
      </c>
      <c r="E31" s="5" t="n">
        <v>10</v>
      </c>
      <c r="F31" s="5" t="inlineStr">
        <is>
          <t>core_wall</t>
        </is>
      </c>
      <c r="G31" s="5" t="inlineStr">
        <is>
          <t>Core wall 2.85 × 0.20 m</t>
        </is>
      </c>
      <c r="H31" s="5" t="inlineStr">
        <is>
          <t>rule: unlabelled interior wall, no V type of its size</t>
        </is>
      </c>
      <c r="I31" s="5" t="inlineStr">
        <is>
          <t>(none)</t>
        </is>
      </c>
      <c r="J31" s="5" t="inlineStr"/>
      <c r="K31" s="5" t="inlineStr"/>
      <c r="L31" s="5" t="n">
        <v>285</v>
      </c>
      <c r="M31" s="5" t="n">
        <v>20</v>
      </c>
      <c r="N31" s="10">
        <f>IF(AND(ISNUMBER(L31),M31&gt;0),L31/M31,"")</f>
        <v/>
      </c>
      <c r="O31" s="5" t="n">
        <v>0.57</v>
      </c>
      <c r="P31" s="5" t="n">
        <v>0</v>
      </c>
      <c r="Q31" s="5" t="n">
        <v>2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6</v>
      </c>
      <c r="X31" s="5" t="n">
        <v>0</v>
      </c>
      <c r="Y31" s="5" t="n"/>
      <c r="Z31" s="5" t="inlineStr"/>
      <c r="AA31" s="5" t="n">
        <v>4620.6</v>
      </c>
      <c r="AB31" s="5" t="n">
        <v>792</v>
      </c>
      <c r="AC31" s="5" t="n">
        <v>4704.7</v>
      </c>
      <c r="AD31" s="5" t="n">
        <v>797.9</v>
      </c>
      <c r="AE31" s="5" t="inlineStr"/>
      <c r="AF31" s="5">
        <f>IF(AE31="","",IF(OR(AE31=F31,AND(AE31="crane_footing",F31="isolated_footing")),"yes","no"))</f>
        <v/>
      </c>
    </row>
    <row r="32">
      <c r="A32" s="5" t="n">
        <v>31</v>
      </c>
      <c r="B32" s="5" t="inlineStr">
        <is>
          <t>120</t>
        </is>
      </c>
      <c r="C32" s="5" t="inlineStr">
        <is>
          <t>region between joints</t>
        </is>
      </c>
      <c r="D32" s="5" t="inlineStr">
        <is>
          <t>cross_hatch</t>
        </is>
      </c>
      <c r="E32" s="5" t="n">
        <v>10</v>
      </c>
      <c r="F32" s="5" t="inlineStr">
        <is>
          <t>core_wall</t>
        </is>
      </c>
      <c r="G32" s="5" t="inlineStr">
        <is>
          <t>Core wall 2.10 × 0.20 m</t>
        </is>
      </c>
      <c r="H32" s="5" t="inlineStr">
        <is>
          <t>rule: unlabelled interior wall, no V type of its size</t>
        </is>
      </c>
      <c r="I32" s="5" t="inlineStr">
        <is>
          <t>(none)</t>
        </is>
      </c>
      <c r="J32" s="5" t="inlineStr"/>
      <c r="K32" s="5" t="inlineStr"/>
      <c r="L32" s="5" t="n">
        <v>210</v>
      </c>
      <c r="M32" s="5" t="n">
        <v>20</v>
      </c>
      <c r="N32" s="10">
        <f>IF(AND(ISNUMBER(L32),M32&gt;0),L32/M32,"")</f>
        <v/>
      </c>
      <c r="O32" s="5" t="n">
        <v>0.42</v>
      </c>
      <c r="P32" s="5" t="n">
        <v>90</v>
      </c>
      <c r="Q32" s="5" t="n">
        <v>2</v>
      </c>
      <c r="R32" s="5" t="n">
        <v>0</v>
      </c>
      <c r="S32" s="5" t="n">
        <v>0</v>
      </c>
      <c r="T32" s="5" t="n">
        <v>1</v>
      </c>
      <c r="U32" s="5" t="n">
        <v>0</v>
      </c>
      <c r="V32" s="5" t="n">
        <v>0</v>
      </c>
      <c r="W32" s="5" t="n">
        <v>3</v>
      </c>
      <c r="X32" s="5" t="n">
        <v>0</v>
      </c>
      <c r="Y32" s="5" t="n"/>
      <c r="Z32" s="5" t="inlineStr"/>
      <c r="AA32" s="5" t="n">
        <v>4597</v>
      </c>
      <c r="AB32" s="5" t="n">
        <v>799.4</v>
      </c>
      <c r="AC32" s="5" t="n">
        <v>4602.9</v>
      </c>
      <c r="AD32" s="5" t="n">
        <v>861.4</v>
      </c>
      <c r="AE32" s="5" t="inlineStr"/>
      <c r="AF32" s="5">
        <f>IF(AE32="","",IF(OR(AE32=F32,AND(AE32="crane_footing",F32="isolated_footing")),"yes","no"))</f>
        <v/>
      </c>
    </row>
    <row r="33">
      <c r="A33" s="5" t="n">
        <v>32</v>
      </c>
      <c r="B33" s="5" t="inlineStr">
        <is>
          <t>120</t>
        </is>
      </c>
      <c r="C33" s="5" t="inlineStr">
        <is>
          <t>region between joints</t>
        </is>
      </c>
      <c r="D33" s="5" t="inlineStr">
        <is>
          <t>cross_hatch</t>
        </is>
      </c>
      <c r="E33" s="5" t="n">
        <v>10</v>
      </c>
      <c r="F33" s="5" t="inlineStr">
        <is>
          <t>core_wall</t>
        </is>
      </c>
      <c r="G33" s="5" t="inlineStr">
        <is>
          <t>Core wall 4.82 × 0.20 m</t>
        </is>
      </c>
      <c r="H33" s="5" t="inlineStr">
        <is>
          <t>rule: unlabelled interior wall, no V type of its size</t>
        </is>
      </c>
      <c r="I33" s="5" t="inlineStr">
        <is>
          <t>(none)</t>
        </is>
      </c>
      <c r="J33" s="5" t="inlineStr"/>
      <c r="K33" s="5" t="inlineStr"/>
      <c r="L33" s="5" t="n">
        <v>482</v>
      </c>
      <c r="M33" s="5" t="n">
        <v>20</v>
      </c>
      <c r="N33" s="10">
        <f>IF(AND(ISNUMBER(L33),M33&gt;0),L33/M33,"")</f>
        <v/>
      </c>
      <c r="O33" s="5" t="n">
        <v>0.965</v>
      </c>
      <c r="P33" s="5" t="n">
        <v>180</v>
      </c>
      <c r="Q33" s="5" t="n">
        <v>3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8</v>
      </c>
      <c r="X33" s="5" t="n">
        <v>0</v>
      </c>
      <c r="Y33" s="5" t="n"/>
      <c r="Z33" s="5" t="inlineStr"/>
      <c r="AA33" s="5" t="n">
        <v>4728.4</v>
      </c>
      <c r="AB33" s="5" t="n">
        <v>862.8</v>
      </c>
      <c r="AC33" s="5" t="n">
        <v>4870.8</v>
      </c>
      <c r="AD33" s="5" t="n">
        <v>868.8</v>
      </c>
      <c r="AE33" s="5" t="inlineStr"/>
      <c r="AF33" s="5">
        <f>IF(AE33="","",IF(OR(AE33=F33,AND(AE33="crane_footing",F33="isolated_footing")),"yes","no"))</f>
        <v/>
      </c>
    </row>
    <row r="34">
      <c r="A34" s="5" t="n">
        <v>33</v>
      </c>
      <c r="B34" s="5" t="inlineStr">
        <is>
          <t>120</t>
        </is>
      </c>
      <c r="C34" s="5" t="inlineStr">
        <is>
          <t>region between joints</t>
        </is>
      </c>
      <c r="D34" s="5" t="inlineStr">
        <is>
          <t>solid</t>
        </is>
      </c>
      <c r="E34" s="5" t="n">
        <v>32</v>
      </c>
      <c r="F34" s="5" t="inlineStr">
        <is>
          <t>retaining_wall</t>
        </is>
      </c>
      <c r="G34" s="5" t="inlineStr">
        <is>
          <t>Retaining wall ~VP20 28.69 × 0.20 m</t>
        </is>
      </c>
      <c r="H34" s="5" t="inlineStr">
        <is>
          <t>rule: unlabelled wall along the building edge or on a strip footing</t>
        </is>
      </c>
      <c r="I34" s="5" t="inlineStr">
        <is>
          <t>VP20</t>
        </is>
      </c>
      <c r="J34" s="5" t="inlineStr">
        <is>
          <t>inferred: the thickness of this retaining-wall type</t>
        </is>
      </c>
      <c r="K34" s="5" t="inlineStr"/>
      <c r="L34" s="5" t="n">
        <v>2869</v>
      </c>
      <c r="M34" s="5" t="n">
        <v>20</v>
      </c>
      <c r="N34" s="10">
        <f>IF(AND(ISNUMBER(L34),M34&gt;0),L34/M34,"")</f>
        <v/>
      </c>
      <c r="O34" s="5" t="n">
        <v>5.7</v>
      </c>
      <c r="P34" s="5" t="n">
        <v>90</v>
      </c>
      <c r="Q34" s="5" t="n">
        <v>1</v>
      </c>
      <c r="R34" s="5" t="n">
        <v>0</v>
      </c>
      <c r="S34" s="5" t="n">
        <v>1</v>
      </c>
      <c r="T34" s="5" t="n">
        <v>0</v>
      </c>
      <c r="U34" s="5" t="n">
        <v>1</v>
      </c>
      <c r="V34" s="5" t="n">
        <v>0</v>
      </c>
      <c r="W34" s="5" t="n">
        <v>48</v>
      </c>
      <c r="X34" s="5" t="n">
        <v>5</v>
      </c>
      <c r="Y34" s="5" t="n"/>
      <c r="Z34" s="5" t="inlineStr"/>
      <c r="AA34" s="5" t="n">
        <v>4159.1</v>
      </c>
      <c r="AB34" s="5" t="n">
        <v>483.6</v>
      </c>
      <c r="AC34" s="5" t="n">
        <v>4165.5</v>
      </c>
      <c r="AD34" s="5" t="n">
        <v>1330.7</v>
      </c>
      <c r="AE34" s="5" t="inlineStr"/>
      <c r="AF34" s="5">
        <f>IF(AE34="","",IF(OR(AE34=F34,AND(AE34="crane_footing",F34="isolated_footing")),"yes","no"))</f>
        <v/>
      </c>
    </row>
    <row r="35">
      <c r="A35" s="5" t="n">
        <v>34</v>
      </c>
      <c r="B35" s="5" t="inlineStr">
        <is>
          <t>120</t>
        </is>
      </c>
      <c r="C35" s="5" t="inlineStr">
        <is>
          <t>region between joints</t>
        </is>
      </c>
      <c r="D35" s="5" t="inlineStr">
        <is>
          <t>solid</t>
        </is>
      </c>
      <c r="E35" s="5" t="n">
        <v>32</v>
      </c>
      <c r="F35" s="5" t="inlineStr">
        <is>
          <t>retaining_wall</t>
        </is>
      </c>
      <c r="G35" s="5" t="inlineStr">
        <is>
          <t>Retaining wall ~VP20 20.55 × 0.20 m</t>
        </is>
      </c>
      <c r="H35" s="5" t="inlineStr">
        <is>
          <t>label vote</t>
        </is>
      </c>
      <c r="I35" s="5" t="inlineStr">
        <is>
          <t>VP20</t>
        </is>
      </c>
      <c r="J35" s="5" t="inlineStr">
        <is>
          <t>inferred: the only retaining_wall type with this size</t>
        </is>
      </c>
      <c r="K35" s="5" t="inlineStr"/>
      <c r="L35" s="5" t="n">
        <v>2055</v>
      </c>
      <c r="M35" s="5" t="n">
        <v>20</v>
      </c>
      <c r="N35" s="10">
        <f>IF(AND(ISNUMBER(L35),M35&gt;0),L35/M35,"")</f>
        <v/>
      </c>
      <c r="O35" s="5" t="n">
        <v>4.06</v>
      </c>
      <c r="P35" s="5" t="n">
        <v>172.6</v>
      </c>
      <c r="Q35" s="5" t="n">
        <v>1</v>
      </c>
      <c r="R35" s="5" t="n">
        <v>0</v>
      </c>
      <c r="S35" s="5" t="n">
        <v>1</v>
      </c>
      <c r="T35" s="5" t="n">
        <v>0</v>
      </c>
      <c r="U35" s="5" t="n">
        <v>1</v>
      </c>
      <c r="V35" s="5" t="n">
        <v>0</v>
      </c>
      <c r="W35" s="5" t="n">
        <v>2</v>
      </c>
      <c r="X35" s="5" t="n">
        <v>1</v>
      </c>
      <c r="Y35" s="5" t="n"/>
      <c r="Z35" s="5" t="inlineStr"/>
      <c r="AA35" s="5" t="n">
        <v>4159.6</v>
      </c>
      <c r="AB35" s="5" t="n">
        <v>404.5</v>
      </c>
      <c r="AC35" s="5" t="n">
        <v>4761.8</v>
      </c>
      <c r="AD35" s="5" t="n">
        <v>486.5</v>
      </c>
      <c r="AE35" s="5" t="inlineStr"/>
      <c r="AF35" s="5">
        <f>IF(AE35="","",IF(OR(AE35=F35,AND(AE35="crane_footing",F35="isolated_footing")),"yes","no"))</f>
        <v/>
      </c>
    </row>
    <row r="36">
      <c r="A36" s="5" t="n">
        <v>35</v>
      </c>
      <c r="B36" s="5" t="inlineStr">
        <is>
          <t>120</t>
        </is>
      </c>
      <c r="C36" s="5" t="inlineStr">
        <is>
          <t>region between joints</t>
        </is>
      </c>
      <c r="D36" s="5" t="inlineStr">
        <is>
          <t>solid</t>
        </is>
      </c>
      <c r="E36" s="5" t="n">
        <v>30</v>
      </c>
      <c r="F36" s="5" t="inlineStr">
        <is>
          <t>retaining_wall</t>
        </is>
      </c>
      <c r="G36" s="5" t="inlineStr">
        <is>
          <t>Retaining wall ~VP20 11.29 × 0.20 m</t>
        </is>
      </c>
      <c r="H36" s="5" t="inlineStr">
        <is>
          <t>rule: unlabelled wall along the building edge or on a strip footing</t>
        </is>
      </c>
      <c r="I36" s="5" t="inlineStr">
        <is>
          <t>VP20</t>
        </is>
      </c>
      <c r="J36" s="5" t="inlineStr">
        <is>
          <t>inferred: the thickness of this retaining-wall type</t>
        </is>
      </c>
      <c r="K36" s="5" t="inlineStr"/>
      <c r="L36" s="5" t="n">
        <v>1129</v>
      </c>
      <c r="M36" s="5" t="n">
        <v>20</v>
      </c>
      <c r="N36" s="10">
        <f>IF(AND(ISNUMBER(L36),M36&gt;0),L36/M36,"")</f>
        <v/>
      </c>
      <c r="O36" s="5" t="n">
        <v>2.246</v>
      </c>
      <c r="P36" s="5" t="n">
        <v>90</v>
      </c>
      <c r="Q36" s="5" t="n">
        <v>3</v>
      </c>
      <c r="R36" s="5" t="n">
        <v>0</v>
      </c>
      <c r="S36" s="5" t="n">
        <v>0</v>
      </c>
      <c r="T36" s="5" t="n">
        <v>0</v>
      </c>
      <c r="U36" s="5" t="n">
        <v>1</v>
      </c>
      <c r="V36" s="5" t="n">
        <v>2</v>
      </c>
      <c r="W36" s="5" t="n">
        <v>26</v>
      </c>
      <c r="X36" s="5" t="n">
        <v>2</v>
      </c>
      <c r="Y36" s="5" t="n"/>
      <c r="Z36" s="5" t="inlineStr"/>
      <c r="AA36" s="5" t="n">
        <v>4765.2</v>
      </c>
      <c r="AB36" s="5" t="n">
        <v>415.9</v>
      </c>
      <c r="AC36" s="5" t="n">
        <v>4771.1</v>
      </c>
      <c r="AD36" s="5" t="n">
        <v>749.2</v>
      </c>
      <c r="AE36" s="5" t="inlineStr"/>
      <c r="AF36" s="5">
        <f>IF(AE36="","",IF(OR(AE36=F36,AND(AE36="crane_footing",F36="isolated_footing")),"yes","no"))</f>
        <v/>
      </c>
    </row>
    <row r="37">
      <c r="A37" s="5" t="n">
        <v>36</v>
      </c>
      <c r="B37" s="5" t="inlineStr">
        <is>
          <t>120</t>
        </is>
      </c>
      <c r="C37" s="5" t="inlineStr">
        <is>
          <t>region between joints</t>
        </is>
      </c>
      <c r="D37" s="5" t="inlineStr">
        <is>
          <t>solid</t>
        </is>
      </c>
      <c r="E37" s="5" t="n">
        <v>26</v>
      </c>
      <c r="F37" s="5" t="inlineStr">
        <is>
          <t>retaining_wall</t>
        </is>
      </c>
      <c r="G37" s="5" t="inlineStr">
        <is>
          <t>Retaining wall ~VP20 2.45 × 0.20 m</t>
        </is>
      </c>
      <c r="H37" s="5" t="inlineStr">
        <is>
          <t>rule: unlabelled wall along the building edge or on a strip footing</t>
        </is>
      </c>
      <c r="I37" s="5" t="inlineStr">
        <is>
          <t>VP20</t>
        </is>
      </c>
      <c r="J37" s="5" t="inlineStr">
        <is>
          <t>inferred: the thickness of this retaining-wall type</t>
        </is>
      </c>
      <c r="K37" s="5" t="inlineStr"/>
      <c r="L37" s="5" t="n">
        <v>245</v>
      </c>
      <c r="M37" s="5" t="n">
        <v>20</v>
      </c>
      <c r="N37" s="10">
        <f>IF(AND(ISNUMBER(L37),M37&gt;0),L37/M37,"")</f>
        <v/>
      </c>
      <c r="O37" s="5" t="n">
        <v>0.489</v>
      </c>
      <c r="P37" s="5" t="n">
        <v>90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2</v>
      </c>
      <c r="X37" s="5" t="n">
        <v>0</v>
      </c>
      <c r="Y37" s="5" t="n"/>
      <c r="Z37" s="5" t="inlineStr"/>
      <c r="AA37" s="5" t="n">
        <v>4818.3</v>
      </c>
      <c r="AB37" s="5" t="n">
        <v>901.3</v>
      </c>
      <c r="AC37" s="5" t="n">
        <v>4824.3</v>
      </c>
      <c r="AD37" s="5" t="n">
        <v>973.5</v>
      </c>
      <c r="AE37" s="5" t="inlineStr"/>
      <c r="AF37" s="5">
        <f>IF(AE37="","",IF(OR(AE37=F37,AND(AE37="crane_footing",F37="isolated_footing")),"yes","no"))</f>
        <v/>
      </c>
    </row>
    <row r="38">
      <c r="A38" s="5" t="n">
        <v>37</v>
      </c>
      <c r="B38" s="5" t="inlineStr">
        <is>
          <t>120</t>
        </is>
      </c>
      <c r="C38" s="5" t="inlineStr">
        <is>
          <t>region between joints</t>
        </is>
      </c>
      <c r="D38" s="5" t="inlineStr">
        <is>
          <t>solid</t>
        </is>
      </c>
      <c r="E38" s="5" t="n">
        <v>30</v>
      </c>
      <c r="F38" s="5" t="inlineStr">
        <is>
          <t>retaining_wall</t>
        </is>
      </c>
      <c r="G38" s="5" t="inlineStr">
        <is>
          <t>Retaining wall ~VP20 18.49 × 0.20 m</t>
        </is>
      </c>
      <c r="H38" s="5" t="inlineStr">
        <is>
          <t>rule: unlabelled wall along the building edge or on a strip footing</t>
        </is>
      </c>
      <c r="I38" s="5" t="inlineStr">
        <is>
          <t>VP20</t>
        </is>
      </c>
      <c r="J38" s="5" t="inlineStr">
        <is>
          <t>inferred: the thickness of this retaining-wall type</t>
        </is>
      </c>
      <c r="K38" s="5" t="inlineStr"/>
      <c r="L38" s="5" t="n">
        <v>1849</v>
      </c>
      <c r="M38" s="5" t="n">
        <v>20</v>
      </c>
      <c r="N38" s="10">
        <f>IF(AND(ISNUMBER(L38),M38&gt;0),L38/M38,"")</f>
        <v/>
      </c>
      <c r="O38" s="5" t="n">
        <v>3.705</v>
      </c>
      <c r="P38" s="5" t="n">
        <v>90</v>
      </c>
      <c r="Q38" s="5" t="n">
        <v>3</v>
      </c>
      <c r="R38" s="5" t="n">
        <v>0</v>
      </c>
      <c r="S38" s="5" t="n">
        <v>0</v>
      </c>
      <c r="T38" s="5" t="n">
        <v>0</v>
      </c>
      <c r="U38" s="5" t="n">
        <v>1</v>
      </c>
      <c r="V38" s="5" t="n">
        <v>1</v>
      </c>
      <c r="W38" s="5" t="n">
        <v>37</v>
      </c>
      <c r="X38" s="5" t="n">
        <v>5</v>
      </c>
      <c r="Y38" s="5" t="n"/>
      <c r="Z38" s="5" t="inlineStr"/>
      <c r="AA38" s="5" t="n">
        <v>4765.5</v>
      </c>
      <c r="AB38" s="5" t="n">
        <v>976.5</v>
      </c>
      <c r="AC38" s="5" t="n">
        <v>4771.5</v>
      </c>
      <c r="AD38" s="5" t="n">
        <v>1522.5</v>
      </c>
      <c r="AE38" s="5" t="inlineStr"/>
      <c r="AF38" s="5">
        <f>IF(AE38="","",IF(OR(AE38=F38,AND(AE38="crane_footing",F38="isolated_footing")),"yes","no"))</f>
        <v/>
      </c>
    </row>
    <row r="39">
      <c r="A39" s="5" t="n">
        <v>38</v>
      </c>
      <c r="B39" s="5" t="inlineStr">
        <is>
          <t>120</t>
        </is>
      </c>
      <c r="C39" s="5" t="inlineStr">
        <is>
          <t>region between joints</t>
        </is>
      </c>
      <c r="D39" s="5" t="inlineStr">
        <is>
          <t>solid</t>
        </is>
      </c>
      <c r="E39" s="5" t="n">
        <v>27</v>
      </c>
      <c r="F39" s="5" t="inlineStr">
        <is>
          <t>retaining_wall</t>
        </is>
      </c>
      <c r="G39" s="5" t="inlineStr">
        <is>
          <t>Retaining wall ~VP25 4.74 × 0.25 m</t>
        </is>
      </c>
      <c r="H39" s="5" t="inlineStr">
        <is>
          <t>rule: unlabelled wall along the building edge or on a strip footing</t>
        </is>
      </c>
      <c r="I39" s="5" t="inlineStr">
        <is>
          <t>VP25</t>
        </is>
      </c>
      <c r="J39" s="5" t="inlineStr">
        <is>
          <t>inferred: the thickness of this retaining-wall type</t>
        </is>
      </c>
      <c r="K39" s="5" t="inlineStr"/>
      <c r="L39" s="5" t="n">
        <v>474</v>
      </c>
      <c r="M39" s="5" t="n">
        <v>25</v>
      </c>
      <c r="N39" s="10">
        <f>IF(AND(ISNUMBER(L39),M39&gt;0),L39/M39,"")</f>
        <v/>
      </c>
      <c r="O39" s="5" t="n">
        <v>1.188</v>
      </c>
      <c r="P39" s="5" t="n">
        <v>180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1</v>
      </c>
      <c r="V39" s="5" t="n">
        <v>0</v>
      </c>
      <c r="W39" s="5" t="n">
        <v>4</v>
      </c>
      <c r="X39" s="5" t="n">
        <v>0</v>
      </c>
      <c r="Y39" s="5" t="n"/>
      <c r="Z39" s="5" t="inlineStr"/>
      <c r="AA39" s="5" t="n">
        <v>4870.8</v>
      </c>
      <c r="AB39" s="5" t="n">
        <v>861.3</v>
      </c>
      <c r="AC39" s="5" t="n">
        <v>5010.9</v>
      </c>
      <c r="AD39" s="5" t="n">
        <v>868.7</v>
      </c>
      <c r="AE39" s="5" t="inlineStr"/>
      <c r="AF39" s="5">
        <f>IF(AE39="","",IF(OR(AE39=F39,AND(AE39="crane_footing",F39="isolated_footing")),"yes","no"))</f>
        <v/>
      </c>
    </row>
    <row r="40">
      <c r="A40" s="5" t="n">
        <v>39</v>
      </c>
      <c r="B40" s="5" t="inlineStr">
        <is>
          <t>120</t>
        </is>
      </c>
      <c r="C40" s="5" t="inlineStr">
        <is>
          <t>region between joints</t>
        </is>
      </c>
      <c r="D40" s="5" t="inlineStr">
        <is>
          <t>solid</t>
        </is>
      </c>
      <c r="E40" s="5" t="n">
        <v>27</v>
      </c>
      <c r="F40" s="5" t="inlineStr">
        <is>
          <t>retaining_wall</t>
        </is>
      </c>
      <c r="G40" s="5" t="inlineStr">
        <is>
          <t>Retaining wall ~VP25 2.70 × 0.25 m</t>
        </is>
      </c>
      <c r="H40" s="5" t="inlineStr">
        <is>
          <t>rule: unlabelled wall along the building edge or on a strip footing</t>
        </is>
      </c>
      <c r="I40" s="5" t="inlineStr">
        <is>
          <t>VP25</t>
        </is>
      </c>
      <c r="J40" s="5" t="inlineStr">
        <is>
          <t>inferred: the thickness of this retaining-wall type</t>
        </is>
      </c>
      <c r="K40" s="5" t="inlineStr"/>
      <c r="L40" s="5" t="n">
        <v>270</v>
      </c>
      <c r="M40" s="5" t="n">
        <v>25</v>
      </c>
      <c r="N40" s="10">
        <f>IF(AND(ISNUMBER(L40),M40&gt;0),L40/M40,"")</f>
        <v/>
      </c>
      <c r="O40" s="5" t="n">
        <v>0.6840000000000001</v>
      </c>
      <c r="P40" s="5" t="n">
        <v>90</v>
      </c>
      <c r="Q40" s="5" t="n">
        <v>1</v>
      </c>
      <c r="R40" s="5" t="n">
        <v>0</v>
      </c>
      <c r="S40" s="5" t="n">
        <v>0</v>
      </c>
      <c r="T40" s="5" t="n">
        <v>1</v>
      </c>
      <c r="U40" s="5" t="n">
        <v>1</v>
      </c>
      <c r="V40" s="5" t="n">
        <v>0</v>
      </c>
      <c r="W40" s="5" t="n">
        <v>6</v>
      </c>
      <c r="X40" s="5" t="n">
        <v>0</v>
      </c>
      <c r="Y40" s="5" t="n"/>
      <c r="Z40" s="5" t="inlineStr"/>
      <c r="AA40" s="5" t="n">
        <v>5011</v>
      </c>
      <c r="AB40" s="5" t="n">
        <v>781.6</v>
      </c>
      <c r="AC40" s="5" t="n">
        <v>5018.5</v>
      </c>
      <c r="AD40" s="5" t="n">
        <v>861.3</v>
      </c>
      <c r="AE40" s="5" t="inlineStr"/>
      <c r="AF40" s="5">
        <f>IF(AE40="","",IF(OR(AE40=F40,AND(AE40="crane_footing",F40="isolated_footing")),"yes","no"))</f>
        <v/>
      </c>
    </row>
    <row r="41">
      <c r="A41" s="5" t="n">
        <v>40</v>
      </c>
      <c r="B41" s="5" t="inlineStr">
        <is>
          <t>120</t>
        </is>
      </c>
      <c r="C41" s="5" t="inlineStr">
        <is>
          <t>region between joints</t>
        </is>
      </c>
      <c r="D41" s="5" t="inlineStr">
        <is>
          <t>solid</t>
        </is>
      </c>
      <c r="E41" s="5" t="n">
        <v>27</v>
      </c>
      <c r="F41" s="5" t="inlineStr">
        <is>
          <t>retaining_wall</t>
        </is>
      </c>
      <c r="G41" s="5" t="inlineStr">
        <is>
          <t>Retaining wall ~VP25 4.24 × 0.25 m</t>
        </is>
      </c>
      <c r="H41" s="5" t="inlineStr">
        <is>
          <t>rule: unlabelled wall along the building edge or on a strip footing</t>
        </is>
      </c>
      <c r="I41" s="5" t="inlineStr">
        <is>
          <t>VP25</t>
        </is>
      </c>
      <c r="J41" s="5" t="inlineStr">
        <is>
          <t>inferred: the thickness of this retaining-wall type</t>
        </is>
      </c>
      <c r="K41" s="5" t="inlineStr"/>
      <c r="L41" s="5" t="n">
        <v>424</v>
      </c>
      <c r="M41" s="5" t="n">
        <v>25</v>
      </c>
      <c r="N41" s="10">
        <f>IF(AND(ISNUMBER(L41),M41&gt;0),L41/M41,"")</f>
        <v/>
      </c>
      <c r="O41" s="5" t="n">
        <v>1.062</v>
      </c>
      <c r="P41" s="5" t="n">
        <v>180</v>
      </c>
      <c r="Q41" s="5" t="n">
        <v>2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0</v>
      </c>
      <c r="W41" s="5" t="n">
        <v>4</v>
      </c>
      <c r="X41" s="5" t="n">
        <v>0</v>
      </c>
      <c r="Y41" s="5" t="n"/>
      <c r="Z41" s="5" t="inlineStr"/>
      <c r="AA41" s="5" t="n">
        <v>4878.4</v>
      </c>
      <c r="AB41" s="5" t="n">
        <v>774.2</v>
      </c>
      <c r="AC41" s="5" t="n">
        <v>5003.8</v>
      </c>
      <c r="AD41" s="5" t="n">
        <v>781.7</v>
      </c>
      <c r="AE41" s="5" t="inlineStr"/>
      <c r="AF41" s="5">
        <f>IF(AE41="","",IF(OR(AE41=F41,AND(AE41="crane_footing",F41="isolated_footing")),"yes","no"))</f>
        <v/>
      </c>
    </row>
    <row r="42">
      <c r="A42" s="5" t="n">
        <v>41</v>
      </c>
      <c r="B42" s="5" t="inlineStr">
        <is>
          <t>120</t>
        </is>
      </c>
      <c r="C42" s="5" t="inlineStr">
        <is>
          <t>own label</t>
        </is>
      </c>
      <c r="D42" s="5" t="inlineStr">
        <is>
          <t>outline</t>
        </is>
      </c>
      <c r="E42" s="5" t="n">
        <v>12</v>
      </c>
      <c r="F42" s="5" t="inlineStr">
        <is>
          <t>isolated_footing</t>
        </is>
      </c>
      <c r="G42" s="5" t="inlineStr">
        <is>
          <t>Isolated footing S1 2.80 × 2.80 m</t>
        </is>
      </c>
      <c r="H42" s="5" t="inlineStr">
        <is>
          <t>label vote</t>
        </is>
      </c>
      <c r="I42" s="5" t="inlineStr">
        <is>
          <t>S1</t>
        </is>
      </c>
      <c r="J42" s="5" t="inlineStr">
        <is>
          <t>printed label</t>
        </is>
      </c>
      <c r="K42" s="5" t="inlineStr">
        <is>
          <t>S1-120120</t>
        </is>
      </c>
      <c r="L42" s="5" t="n">
        <v>280</v>
      </c>
      <c r="M42" s="5" t="n">
        <v>280</v>
      </c>
      <c r="N42" s="10">
        <f>IF(AND(ISNUMBER(L42),M42&gt;0),L42/M42,"")</f>
        <v/>
      </c>
      <c r="O42" s="5" t="n">
        <v>7.843</v>
      </c>
      <c r="P42" s="5" t="n">
        <v>90</v>
      </c>
      <c r="Q42" s="5" t="n">
        <v>3</v>
      </c>
      <c r="R42" s="5" t="n">
        <v>0</v>
      </c>
      <c r="S42" s="5" t="n">
        <v>0</v>
      </c>
      <c r="T42" s="5" t="n">
        <v>0</v>
      </c>
      <c r="U42" s="5" t="n">
        <v>1</v>
      </c>
      <c r="V42" s="5" t="n">
        <v>1</v>
      </c>
      <c r="W42" s="5" t="n">
        <v>34</v>
      </c>
      <c r="X42" s="5" t="n">
        <v>0</v>
      </c>
      <c r="Y42" s="5" t="n"/>
      <c r="Z42" s="5" t="inlineStr"/>
      <c r="AA42" s="5" t="n">
        <v>4726</v>
      </c>
      <c r="AB42" s="5" t="n">
        <v>404.9</v>
      </c>
      <c r="AC42" s="5" t="n">
        <v>4808.7</v>
      </c>
      <c r="AD42" s="5" t="n">
        <v>487.6</v>
      </c>
      <c r="AE42" s="5" t="inlineStr">
        <is>
          <t>isolated_footing</t>
        </is>
      </c>
      <c r="AF42" s="5">
        <f>IF(AE42="","",IF(OR(AE42=F42,AND(AE42="crane_footing",F42="isolated_footing")),"yes","no"))</f>
        <v/>
      </c>
    </row>
    <row r="43">
      <c r="A43" s="5" t="n">
        <v>42</v>
      </c>
      <c r="B43" s="5" t="inlineStr">
        <is>
          <t>120</t>
        </is>
      </c>
      <c r="C43" s="5" t="inlineStr">
        <is>
          <t>own label</t>
        </is>
      </c>
      <c r="D43" s="5" t="inlineStr">
        <is>
          <t>outline</t>
        </is>
      </c>
      <c r="E43" s="5" t="n">
        <v>12</v>
      </c>
      <c r="F43" s="5" t="inlineStr">
        <is>
          <t>isolated_footing</t>
        </is>
      </c>
      <c r="G43" s="5" t="inlineStr">
        <is>
          <t>Isolated footing S2 3.50 × 2.00 m</t>
        </is>
      </c>
      <c r="H43" s="5" t="inlineStr">
        <is>
          <t>label vote</t>
        </is>
      </c>
      <c r="I43" s="5" t="inlineStr">
        <is>
          <t>S2</t>
        </is>
      </c>
      <c r="J43" s="5" t="inlineStr">
        <is>
          <t>printed label</t>
        </is>
      </c>
      <c r="K43" s="5" t="inlineStr">
        <is>
          <t>S2-120120</t>
        </is>
      </c>
      <c r="L43" s="5" t="n">
        <v>350</v>
      </c>
      <c r="M43" s="5" t="n">
        <v>200</v>
      </c>
      <c r="N43" s="10">
        <f>IF(AND(ISNUMBER(L43),M43&gt;0),L43/M43,"")</f>
        <v/>
      </c>
      <c r="O43" s="5" t="n">
        <v>7.001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40</v>
      </c>
      <c r="X43" s="5" t="n">
        <v>2</v>
      </c>
      <c r="Y43" s="5" t="n"/>
      <c r="Z43" s="5" t="inlineStr"/>
      <c r="AA43" s="5" t="n">
        <v>4248.2</v>
      </c>
      <c r="AB43" s="5" t="n">
        <v>610.5</v>
      </c>
      <c r="AC43" s="5" t="n">
        <v>4351.6</v>
      </c>
      <c r="AD43" s="5" t="n">
        <v>669.6</v>
      </c>
      <c r="AE43" s="5" t="inlineStr">
        <is>
          <t>isolated_footing</t>
        </is>
      </c>
      <c r="AF43" s="5">
        <f>IF(AE43="","",IF(OR(AE43=F43,AND(AE43="crane_footing",F43="isolated_footing")),"yes","no"))</f>
        <v/>
      </c>
    </row>
    <row r="44">
      <c r="A44" s="5" t="n">
        <v>43</v>
      </c>
      <c r="B44" s="5" t="inlineStr">
        <is>
          <t>120</t>
        </is>
      </c>
      <c r="C44" s="5" t="inlineStr">
        <is>
          <t>own label</t>
        </is>
      </c>
      <c r="D44" s="5" t="inlineStr">
        <is>
          <t>outline</t>
        </is>
      </c>
      <c r="E44" s="5" t="n">
        <v>12</v>
      </c>
      <c r="F44" s="5" t="inlineStr">
        <is>
          <t>isolated_footing</t>
        </is>
      </c>
      <c r="G44" s="5" t="inlineStr">
        <is>
          <t>Isolated footing S2 3.50 × 2.00 m</t>
        </is>
      </c>
      <c r="H44" s="5" t="inlineStr">
        <is>
          <t>label vote</t>
        </is>
      </c>
      <c r="I44" s="5" t="inlineStr">
        <is>
          <t>S2</t>
        </is>
      </c>
      <c r="J44" s="5" t="inlineStr">
        <is>
          <t>printed label</t>
        </is>
      </c>
      <c r="K44" s="5" t="inlineStr">
        <is>
          <t>S2-120120</t>
        </is>
      </c>
      <c r="L44" s="5" t="n">
        <v>350</v>
      </c>
      <c r="M44" s="5" t="n">
        <v>200</v>
      </c>
      <c r="N44" s="10">
        <f>IF(AND(ISNUMBER(L44),M44&gt;0),L44/M44,"")</f>
        <v/>
      </c>
      <c r="O44" s="5" t="n">
        <v>7.001</v>
      </c>
      <c r="P44" s="5" t="n">
        <v>0</v>
      </c>
      <c r="Q44" s="5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1</v>
      </c>
      <c r="W44" s="5" t="n">
        <v>36</v>
      </c>
      <c r="X44" s="5" t="n">
        <v>3</v>
      </c>
      <c r="Y44" s="5" t="n"/>
      <c r="Z44" s="5" t="inlineStr"/>
      <c r="AA44" s="5" t="n">
        <v>4248.1</v>
      </c>
      <c r="AB44" s="5" t="n">
        <v>835.2</v>
      </c>
      <c r="AC44" s="5" t="n">
        <v>4351.5</v>
      </c>
      <c r="AD44" s="5" t="n">
        <v>894.4</v>
      </c>
      <c r="AE44" s="5" t="inlineStr">
        <is>
          <t>isolated_footing</t>
        </is>
      </c>
      <c r="AF44" s="5">
        <f>IF(AE44="","",IF(OR(AE44=F44,AND(AE44="crane_footing",F44="isolated_footing")),"yes","no"))</f>
        <v/>
      </c>
    </row>
    <row r="45">
      <c r="A45" s="5" t="n">
        <v>44</v>
      </c>
      <c r="B45" s="5" t="inlineStr">
        <is>
          <t>120</t>
        </is>
      </c>
      <c r="C45" s="5" t="inlineStr">
        <is>
          <t>own label</t>
        </is>
      </c>
      <c r="D45" s="5" t="inlineStr">
        <is>
          <t>outline</t>
        </is>
      </c>
      <c r="E45" s="5" t="n">
        <v>12</v>
      </c>
      <c r="F45" s="5" t="inlineStr">
        <is>
          <t>isolated_footing</t>
        </is>
      </c>
      <c r="G45" s="5" t="inlineStr">
        <is>
          <t>Isolated footing S2 3.50 × 2.00 m</t>
        </is>
      </c>
      <c r="H45" s="5" t="inlineStr">
        <is>
          <t>label vote</t>
        </is>
      </c>
      <c r="I45" s="5" t="inlineStr">
        <is>
          <t>S2</t>
        </is>
      </c>
      <c r="J45" s="5" t="inlineStr">
        <is>
          <t>printed label</t>
        </is>
      </c>
      <c r="K45" s="5" t="inlineStr">
        <is>
          <t>S2-120120</t>
        </is>
      </c>
      <c r="L45" s="5" t="n">
        <v>350</v>
      </c>
      <c r="M45" s="5" t="n">
        <v>200</v>
      </c>
      <c r="N45" s="10">
        <f>IF(AND(ISNUMBER(L45),M45&gt;0),L45/M45,"")</f>
        <v/>
      </c>
      <c r="O45" s="5" t="n">
        <v>7.001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55</v>
      </c>
      <c r="X45" s="5" t="n">
        <v>2</v>
      </c>
      <c r="Y45" s="5" t="n"/>
      <c r="Z45" s="5" t="inlineStr"/>
      <c r="AA45" s="5" t="n">
        <v>4247.9</v>
      </c>
      <c r="AB45" s="5" t="n">
        <v>1067.9</v>
      </c>
      <c r="AC45" s="5" t="n">
        <v>4351.3</v>
      </c>
      <c r="AD45" s="5" t="n">
        <v>1127</v>
      </c>
      <c r="AE45" s="5" t="inlineStr">
        <is>
          <t>isolated_footing</t>
        </is>
      </c>
      <c r="AF45" s="5">
        <f>IF(AE45="","",IF(OR(AE45=F45,AND(AE45="crane_footing",F45="isolated_footing")),"yes","no"))</f>
        <v/>
      </c>
    </row>
    <row r="46">
      <c r="A46" s="5" t="n">
        <v>45</v>
      </c>
      <c r="B46" s="5" t="inlineStr">
        <is>
          <t>120</t>
        </is>
      </c>
      <c r="C46" s="5" t="inlineStr">
        <is>
          <t>own label</t>
        </is>
      </c>
      <c r="D46" s="5" t="inlineStr">
        <is>
          <t>outline</t>
        </is>
      </c>
      <c r="E46" s="5" t="n">
        <v>12</v>
      </c>
      <c r="F46" s="5" t="inlineStr">
        <is>
          <t>isolated_footing</t>
        </is>
      </c>
      <c r="G46" s="5" t="inlineStr">
        <is>
          <t>Isolated footing S3 3.20 × 3.20 m</t>
        </is>
      </c>
      <c r="H46" s="5" t="inlineStr">
        <is>
          <t>label vote</t>
        </is>
      </c>
      <c r="I46" s="5" t="inlineStr">
        <is>
          <t>S3</t>
        </is>
      </c>
      <c r="J46" s="5" t="inlineStr">
        <is>
          <t>printed label</t>
        </is>
      </c>
      <c r="K46" s="5" t="inlineStr">
        <is>
          <t>S3-120120</t>
        </is>
      </c>
      <c r="L46" s="5" t="n">
        <v>320</v>
      </c>
      <c r="M46" s="5" t="n">
        <v>320</v>
      </c>
      <c r="N46" s="10">
        <f>IF(AND(ISNUMBER(L46),M46&gt;0),L46/M46,"")</f>
        <v/>
      </c>
      <c r="O46" s="5" t="n">
        <v>10.244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1</v>
      </c>
      <c r="W46" s="5" t="n">
        <v>11</v>
      </c>
      <c r="X46" s="5" t="n">
        <v>0</v>
      </c>
      <c r="Y46" s="5" t="n"/>
      <c r="Z46" s="5" t="inlineStr"/>
      <c r="AA46" s="5" t="n">
        <v>4720.2</v>
      </c>
      <c r="AB46" s="5" t="n">
        <v>551.1</v>
      </c>
      <c r="AC46" s="5" t="n">
        <v>4814.7</v>
      </c>
      <c r="AD46" s="5" t="n">
        <v>645.7</v>
      </c>
      <c r="AE46" s="5" t="inlineStr">
        <is>
          <t>isolated_footing</t>
        </is>
      </c>
      <c r="AF46" s="5">
        <f>IF(AE46="","",IF(OR(AE46=F46,AND(AE46="crane_footing",F46="isolated_footing")),"yes","no"))</f>
        <v/>
      </c>
    </row>
    <row r="47">
      <c r="A47" s="5" t="n">
        <v>46</v>
      </c>
      <c r="B47" s="5" t="inlineStr">
        <is>
          <t>120</t>
        </is>
      </c>
      <c r="C47" s="5" t="inlineStr">
        <is>
          <t>own label</t>
        </is>
      </c>
      <c r="D47" s="5" t="inlineStr">
        <is>
          <t>outline</t>
        </is>
      </c>
      <c r="E47" s="5" t="n">
        <v>13</v>
      </c>
      <c r="F47" s="5" t="inlineStr">
        <is>
          <t>isolated_footing</t>
        </is>
      </c>
      <c r="G47" s="5" t="inlineStr">
        <is>
          <t>Isolated footing S5 4.50 × 4.00 m</t>
        </is>
      </c>
      <c r="H47" s="5" t="inlineStr">
        <is>
          <t>label vote</t>
        </is>
      </c>
      <c r="I47" s="5" t="inlineStr">
        <is>
          <t>S5</t>
        </is>
      </c>
      <c r="J47" s="5" t="inlineStr">
        <is>
          <t>printed label</t>
        </is>
      </c>
      <c r="K47" s="5" t="inlineStr">
        <is>
          <t>S5-120120</t>
        </is>
      </c>
      <c r="L47" s="5" t="n">
        <v>450</v>
      </c>
      <c r="M47" s="5" t="n">
        <v>400</v>
      </c>
      <c r="N47" s="10">
        <f>IF(AND(ISNUMBER(L47),M47&gt;0),L47/M47,"")</f>
        <v/>
      </c>
      <c r="O47" s="5" t="n">
        <v>18.004</v>
      </c>
      <c r="P47" s="5" t="n">
        <v>0.1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54</v>
      </c>
      <c r="X47" s="5" t="n">
        <v>3</v>
      </c>
      <c r="Y47" s="5" t="n"/>
      <c r="Z47" s="5" t="inlineStr"/>
      <c r="AA47" s="5" t="n">
        <v>4479.6</v>
      </c>
      <c r="AB47" s="5" t="n">
        <v>1085</v>
      </c>
      <c r="AC47" s="5" t="n">
        <v>4612.6</v>
      </c>
      <c r="AD47" s="5" t="n">
        <v>1203.4</v>
      </c>
      <c r="AE47" s="5" t="inlineStr">
        <is>
          <t>isolated_footing</t>
        </is>
      </c>
      <c r="AF47" s="5">
        <f>IF(AE47="","",IF(OR(AE47=F47,AND(AE47="crane_footing",F47="isolated_footing")),"yes","no"))</f>
        <v/>
      </c>
    </row>
    <row r="48">
      <c r="A48" s="5" t="n">
        <v>47</v>
      </c>
      <c r="B48" s="5" t="inlineStr">
        <is>
          <t>120</t>
        </is>
      </c>
      <c r="C48" s="5" t="inlineStr">
        <is>
          <t>own label (region says 121)</t>
        </is>
      </c>
      <c r="D48" s="5" t="inlineStr">
        <is>
          <t>outline</t>
        </is>
      </c>
      <c r="E48" s="5" t="n">
        <v>13</v>
      </c>
      <c r="F48" s="5" t="inlineStr">
        <is>
          <t>isolated_footing</t>
        </is>
      </c>
      <c r="G48" s="5" t="inlineStr">
        <is>
          <t>Isolated footing S6 5.00 × 4.50 m</t>
        </is>
      </c>
      <c r="H48" s="5" t="inlineStr">
        <is>
          <t>label vote</t>
        </is>
      </c>
      <c r="I48" s="5" t="inlineStr">
        <is>
          <t>S6</t>
        </is>
      </c>
      <c r="J48" s="5" t="inlineStr">
        <is>
          <t>printed label</t>
        </is>
      </c>
      <c r="K48" s="5" t="inlineStr">
        <is>
          <t>S6-120120</t>
        </is>
      </c>
      <c r="L48" s="5" t="n">
        <v>500</v>
      </c>
      <c r="M48" s="5" t="n">
        <v>450</v>
      </c>
      <c r="N48" s="10">
        <f>IF(AND(ISNUMBER(L48),M48&gt;0),L48/M48,"")</f>
        <v/>
      </c>
      <c r="O48" s="5" t="n">
        <v>22.506</v>
      </c>
      <c r="P48" s="5" t="n">
        <v>0.2</v>
      </c>
      <c r="Q48" s="5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1</v>
      </c>
      <c r="W48" s="5" t="n">
        <v>32</v>
      </c>
      <c r="X48" s="5" t="n">
        <v>2</v>
      </c>
      <c r="Y48" s="5" t="n"/>
      <c r="Z48" s="5" t="inlineStr"/>
      <c r="AA48" s="5" t="n">
        <v>4481.1</v>
      </c>
      <c r="AB48" s="5" t="n">
        <v>1877.9</v>
      </c>
      <c r="AC48" s="5" t="n">
        <v>4629.1</v>
      </c>
      <c r="AD48" s="5" t="n">
        <v>2011.2</v>
      </c>
      <c r="AE48" s="5" t="inlineStr">
        <is>
          <t>isolated_footing</t>
        </is>
      </c>
      <c r="AF48" s="5">
        <f>IF(AE48="","",IF(OR(AE48=F48,AND(AE48="crane_footing",F48="isolated_footing")),"yes","no"))</f>
        <v/>
      </c>
    </row>
    <row r="49">
      <c r="A49" s="5" t="n">
        <v>48</v>
      </c>
      <c r="B49" s="5" t="inlineStr">
        <is>
          <t>120</t>
        </is>
      </c>
      <c r="C49" s="5" t="inlineStr">
        <is>
          <t>own label</t>
        </is>
      </c>
      <c r="D49" s="5" t="inlineStr">
        <is>
          <t>outline</t>
        </is>
      </c>
      <c r="E49" s="5" t="n">
        <v>13</v>
      </c>
      <c r="F49" s="5" t="inlineStr">
        <is>
          <t>isolated_footing</t>
        </is>
      </c>
      <c r="G49" s="5" t="inlineStr">
        <is>
          <t>Isolated footing S6 5.00 × 4.50 m</t>
        </is>
      </c>
      <c r="H49" s="5" t="inlineStr">
        <is>
          <t>label vote</t>
        </is>
      </c>
      <c r="I49" s="5" t="inlineStr">
        <is>
          <t>S6</t>
        </is>
      </c>
      <c r="J49" s="5" t="inlineStr">
        <is>
          <t>printed label</t>
        </is>
      </c>
      <c r="K49" s="5" t="inlineStr">
        <is>
          <t>S6-120120</t>
        </is>
      </c>
      <c r="L49" s="5" t="n">
        <v>500</v>
      </c>
      <c r="M49" s="5" t="n">
        <v>450</v>
      </c>
      <c r="N49" s="10">
        <f>IF(AND(ISNUMBER(L49),M49&gt;0),L49/M49,"")</f>
        <v/>
      </c>
      <c r="O49" s="5" t="n">
        <v>22.481</v>
      </c>
      <c r="P49" s="5" t="n">
        <v>90</v>
      </c>
      <c r="Q49" s="5" t="n">
        <v>2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1</v>
      </c>
      <c r="W49" s="5" t="n">
        <v>66</v>
      </c>
      <c r="X49" s="5" t="n">
        <v>1</v>
      </c>
      <c r="Y49" s="5" t="n"/>
      <c r="Z49" s="5" t="inlineStr"/>
      <c r="AA49" s="5" t="n">
        <v>4701.1</v>
      </c>
      <c r="AB49" s="5" t="n">
        <v>1016.7</v>
      </c>
      <c r="AC49" s="5" t="n">
        <v>4834.1</v>
      </c>
      <c r="AD49" s="5" t="n">
        <v>1164.3</v>
      </c>
      <c r="AE49" s="5" t="inlineStr">
        <is>
          <t>isolated_footing</t>
        </is>
      </c>
      <c r="AF49" s="5">
        <f>IF(AE49="","",IF(OR(AE49=F49,AND(AE49="crane_footing",F49="isolated_footing")),"yes","no"))</f>
        <v/>
      </c>
    </row>
    <row r="50">
      <c r="A50" s="5" t="n">
        <v>49</v>
      </c>
      <c r="B50" s="5" t="inlineStr">
        <is>
          <t>120</t>
        </is>
      </c>
      <c r="C50" s="5" t="inlineStr">
        <is>
          <t>own label</t>
        </is>
      </c>
      <c r="D50" s="5" t="inlineStr">
        <is>
          <t>outline</t>
        </is>
      </c>
      <c r="E50" s="5" t="n">
        <v>13</v>
      </c>
      <c r="F50" s="5" t="inlineStr">
        <is>
          <t>isolated_footing</t>
        </is>
      </c>
      <c r="G50" s="5" t="inlineStr">
        <is>
          <t>Isolated footing S7 4.50 × 3.50 m</t>
        </is>
      </c>
      <c r="H50" s="5" t="inlineStr">
        <is>
          <t>label vote</t>
        </is>
      </c>
      <c r="I50" s="5" t="inlineStr">
        <is>
          <t>S7</t>
        </is>
      </c>
      <c r="J50" s="5" t="inlineStr">
        <is>
          <t>printed label</t>
        </is>
      </c>
      <c r="K50" s="5" t="inlineStr">
        <is>
          <t>S7-120120</t>
        </is>
      </c>
      <c r="L50" s="5" t="n">
        <v>450</v>
      </c>
      <c r="M50" s="5" t="n">
        <v>350</v>
      </c>
      <c r="N50" s="10">
        <f>IF(AND(ISNUMBER(L50),M50&gt;0),L50/M50,"")</f>
        <v/>
      </c>
      <c r="O50" s="5" t="n">
        <v>15.756</v>
      </c>
      <c r="P50" s="5" t="n">
        <v>0.1</v>
      </c>
      <c r="Q50" s="5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1</v>
      </c>
      <c r="W50" s="5" t="n">
        <v>31</v>
      </c>
      <c r="X50" s="5" t="n">
        <v>3</v>
      </c>
      <c r="Y50" s="5" t="n"/>
      <c r="Z50" s="5" t="inlineStr"/>
      <c r="AA50" s="5" t="n">
        <v>4482.4</v>
      </c>
      <c r="AB50" s="5" t="n">
        <v>633.2</v>
      </c>
      <c r="AC50" s="5" t="n">
        <v>4615.4</v>
      </c>
      <c r="AD50" s="5" t="n">
        <v>736.9</v>
      </c>
      <c r="AE50" s="5" t="inlineStr">
        <is>
          <t>isolated_footing</t>
        </is>
      </c>
      <c r="AF50" s="5">
        <f>IF(AE50="","",IF(OR(AE50=F50,AND(AE50="crane_footing",F50="isolated_footing")),"yes","no"))</f>
        <v/>
      </c>
    </row>
    <row r="51">
      <c r="A51" s="5" t="n">
        <v>50</v>
      </c>
      <c r="B51" s="5" t="inlineStr">
        <is>
          <t>120</t>
        </is>
      </c>
      <c r="C51" s="5" t="inlineStr">
        <is>
          <t>own label</t>
        </is>
      </c>
      <c r="D51" s="5" t="inlineStr">
        <is>
          <t>outline</t>
        </is>
      </c>
      <c r="E51" s="5" t="n">
        <v>13</v>
      </c>
      <c r="F51" s="5" t="inlineStr">
        <is>
          <t>isolated_footing</t>
        </is>
      </c>
      <c r="G51" s="5" t="inlineStr">
        <is>
          <t>Isolated footing S7 4.50 × 3.50 m</t>
        </is>
      </c>
      <c r="H51" s="5" t="inlineStr">
        <is>
          <t>label vote</t>
        </is>
      </c>
      <c r="I51" s="5" t="inlineStr">
        <is>
          <t>S7</t>
        </is>
      </c>
      <c r="J51" s="5" t="inlineStr">
        <is>
          <t>printed label</t>
        </is>
      </c>
      <c r="K51" s="5" t="inlineStr">
        <is>
          <t>S7-120120</t>
        </is>
      </c>
      <c r="L51" s="5" t="n">
        <v>450</v>
      </c>
      <c r="M51" s="5" t="n">
        <v>350</v>
      </c>
      <c r="N51" s="10">
        <f>IF(AND(ISNUMBER(L51),M51&gt;0),L51/M51,"")</f>
        <v/>
      </c>
      <c r="O51" s="5" t="n">
        <v>15.756</v>
      </c>
      <c r="P51" s="5" t="n">
        <v>0.1</v>
      </c>
      <c r="Q51" s="5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1</v>
      </c>
      <c r="W51" s="5" t="n">
        <v>23</v>
      </c>
      <c r="X51" s="5" t="n">
        <v>3</v>
      </c>
      <c r="Y51" s="5" t="n"/>
      <c r="Z51" s="5" t="inlineStr"/>
      <c r="AA51" s="5" t="n">
        <v>4482.4</v>
      </c>
      <c r="AB51" s="5" t="n">
        <v>924</v>
      </c>
      <c r="AC51" s="5" t="n">
        <v>4615.6</v>
      </c>
      <c r="AD51" s="5" t="n">
        <v>1027.7</v>
      </c>
      <c r="AE51" s="5" t="inlineStr">
        <is>
          <t>isolated_footing</t>
        </is>
      </c>
      <c r="AF51" s="5">
        <f>IF(AE51="","",IF(OR(AE51=F51,AND(AE51="crane_footing",F51="isolated_footing")),"yes","no"))</f>
        <v/>
      </c>
    </row>
    <row r="52">
      <c r="A52" s="5" t="n">
        <v>51</v>
      </c>
      <c r="B52" s="5" t="inlineStr">
        <is>
          <t>120</t>
        </is>
      </c>
      <c r="C52" s="5" t="inlineStr">
        <is>
          <t>nearest labels</t>
        </is>
      </c>
      <c r="D52" s="5" t="inlineStr">
        <is>
          <t>outline</t>
        </is>
      </c>
      <c r="E52" s="5" t="n">
        <v>14</v>
      </c>
      <c r="F52" s="5" t="inlineStr">
        <is>
          <t>combined_footing</t>
        </is>
      </c>
      <c r="G52" s="5" t="inlineStr">
        <is>
          <t>Combined footing SC3 5.00 × 4.50 m</t>
        </is>
      </c>
      <c r="H52" s="5" t="inlineStr">
        <is>
          <t>label vote</t>
        </is>
      </c>
      <c r="I52" s="5" t="inlineStr">
        <is>
          <t>SC3</t>
        </is>
      </c>
      <c r="J52" s="5" t="inlineStr">
        <is>
          <t>printed label</t>
        </is>
      </c>
      <c r="K52" s="5" t="inlineStr">
        <is>
          <t>SC3-</t>
        </is>
      </c>
      <c r="L52" s="5" t="n">
        <v>500</v>
      </c>
      <c r="M52" s="5" t="n">
        <v>450</v>
      </c>
      <c r="N52" s="10">
        <f>IF(AND(ISNUMBER(L52),M52&gt;0),L52/M52,"")</f>
        <v/>
      </c>
      <c r="O52" s="5" t="n">
        <v>22.501</v>
      </c>
      <c r="P52" s="5" t="n">
        <v>179.9</v>
      </c>
      <c r="Q52" s="5" t="n">
        <v>2</v>
      </c>
      <c r="R52" s="5" t="n">
        <v>0</v>
      </c>
      <c r="S52" s="5" t="n">
        <v>0</v>
      </c>
      <c r="T52" s="5" t="n">
        <v>0</v>
      </c>
      <c r="U52" s="5" t="n">
        <v>1</v>
      </c>
      <c r="V52" s="5" t="n">
        <v>2</v>
      </c>
      <c r="W52" s="5" t="n">
        <v>45</v>
      </c>
      <c r="X52" s="5" t="n">
        <v>6</v>
      </c>
      <c r="Y52" s="5" t="n"/>
      <c r="Z52" s="5" t="inlineStr"/>
      <c r="AA52" s="5" t="n">
        <v>4463.4</v>
      </c>
      <c r="AB52" s="5" t="n">
        <v>1264</v>
      </c>
      <c r="AC52" s="5" t="n">
        <v>4611.3</v>
      </c>
      <c r="AD52" s="5" t="n">
        <v>1397.2</v>
      </c>
      <c r="AE52" s="5" t="inlineStr">
        <is>
          <t>combined_footing</t>
        </is>
      </c>
      <c r="AF52" s="5">
        <f>IF(AE52="","",IF(OR(AE52=F52,AND(AE52="crane_footing",F52="isolated_footing")),"yes","no"))</f>
        <v/>
      </c>
    </row>
    <row r="53">
      <c r="A53" s="5" t="n">
        <v>52</v>
      </c>
      <c r="B53" s="5" t="inlineStr">
        <is>
          <t>120</t>
        </is>
      </c>
      <c r="C53" s="5" t="inlineStr">
        <is>
          <t>region between joints</t>
        </is>
      </c>
      <c r="D53" s="5" t="inlineStr">
        <is>
          <t>band</t>
        </is>
      </c>
      <c r="E53" s="5" t="n">
        <v>5</v>
      </c>
      <c r="F53" s="5" t="inlineStr">
        <is>
          <t>strip_footing</t>
        </is>
      </c>
      <c r="G53" s="5" t="inlineStr">
        <is>
          <t>Strip footing 2.15 × 0.80 m</t>
        </is>
      </c>
      <c r="H53" s="5" t="inlineStr">
        <is>
          <t>label vote</t>
        </is>
      </c>
      <c r="I53" s="5" t="inlineStr">
        <is>
          <t>(none)</t>
        </is>
      </c>
      <c r="J53" s="5" t="inlineStr"/>
      <c r="K53" s="5" t="inlineStr"/>
      <c r="L53" s="5" t="n">
        <v>215</v>
      </c>
      <c r="M53" s="5" t="n">
        <v>80</v>
      </c>
      <c r="N53" s="10">
        <f>IF(AND(ISNUMBER(L53),M53&gt;0),L53/M53,"")</f>
        <v/>
      </c>
      <c r="O53" s="5" t="n">
        <v>1.72</v>
      </c>
      <c r="P53" s="5" t="n">
        <v>90.09999999999999</v>
      </c>
      <c r="Q53" s="5" t="n">
        <v>1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16</v>
      </c>
      <c r="X53" s="5" t="n">
        <v>1</v>
      </c>
      <c r="Y53" s="5" t="n">
        <v>2.15</v>
      </c>
      <c r="Z53" s="5" t="inlineStr"/>
      <c r="AA53" s="5" t="n">
        <v>4756.4</v>
      </c>
      <c r="AB53" s="5" t="n">
        <v>487.6</v>
      </c>
      <c r="AC53" s="5" t="n">
        <v>4780.1</v>
      </c>
      <c r="AD53" s="5" t="n">
        <v>551.1</v>
      </c>
      <c r="AE53" s="5" t="inlineStr"/>
      <c r="AF53" s="5">
        <f>IF(AE53="","",IF(OR(AE53=F53,AND(AE53="crane_footing",F53="isolated_footing")),"yes","no"))</f>
        <v/>
      </c>
    </row>
    <row r="54">
      <c r="A54" s="5" t="n">
        <v>53</v>
      </c>
      <c r="B54" s="5" t="inlineStr">
        <is>
          <t>120</t>
        </is>
      </c>
      <c r="C54" s="5" t="inlineStr">
        <is>
          <t>region between joints</t>
        </is>
      </c>
      <c r="D54" s="5" t="inlineStr">
        <is>
          <t>band</t>
        </is>
      </c>
      <c r="E54" s="5" t="n">
        <v>5</v>
      </c>
      <c r="F54" s="5" t="inlineStr">
        <is>
          <t>strip_footing</t>
        </is>
      </c>
      <c r="G54" s="5" t="inlineStr">
        <is>
          <t>Strip footing 1.26 × 0.80 m</t>
        </is>
      </c>
      <c r="H54" s="5" t="inlineStr">
        <is>
          <t>label vote</t>
        </is>
      </c>
      <c r="I54" s="5" t="inlineStr">
        <is>
          <t>(none)</t>
        </is>
      </c>
      <c r="J54" s="5" t="inlineStr"/>
      <c r="K54" s="5" t="inlineStr"/>
      <c r="L54" s="5" t="n">
        <v>126</v>
      </c>
      <c r="M54" s="5" t="n">
        <v>80</v>
      </c>
      <c r="N54" s="10">
        <f>IF(AND(ISNUMBER(L54),M54&gt;0),L54/M54,"")</f>
        <v/>
      </c>
      <c r="O54" s="5" t="n">
        <v>1.009</v>
      </c>
      <c r="P54" s="5" t="n">
        <v>172.7</v>
      </c>
      <c r="Q54" s="5" t="n">
        <v>1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2</v>
      </c>
      <c r="X54" s="5" t="n">
        <v>0</v>
      </c>
      <c r="Y54" s="5" t="n">
        <v>1.26</v>
      </c>
      <c r="Z54" s="5" t="inlineStr"/>
      <c r="AA54" s="5" t="n">
        <v>4686.1</v>
      </c>
      <c r="AB54" s="5" t="n">
        <v>399.6</v>
      </c>
      <c r="AC54" s="5" t="n">
        <v>4726</v>
      </c>
      <c r="AD54" s="5" t="n">
        <v>427.7</v>
      </c>
      <c r="AE54" s="5" t="inlineStr"/>
      <c r="AF54" s="5">
        <f>IF(AE54="","",IF(OR(AE54=F54,AND(AE54="crane_footing",F54="isolated_footing")),"yes","no"))</f>
        <v/>
      </c>
    </row>
    <row r="55">
      <c r="A55" s="5" t="n">
        <v>54</v>
      </c>
      <c r="B55" s="5" t="inlineStr">
        <is>
          <t>120</t>
        </is>
      </c>
      <c r="C55" s="5" t="inlineStr">
        <is>
          <t>region between joints</t>
        </is>
      </c>
      <c r="D55" s="5" t="inlineStr">
        <is>
          <t>band</t>
        </is>
      </c>
      <c r="E55" s="5" t="n">
        <v>5</v>
      </c>
      <c r="F55" s="5" t="inlineStr">
        <is>
          <t>strip_footing</t>
        </is>
      </c>
      <c r="G55" s="5" t="inlineStr">
        <is>
          <t>Strip footing 0.99 × 0.80 m</t>
        </is>
      </c>
      <c r="H55" s="5" t="inlineStr">
        <is>
          <t>label vote</t>
        </is>
      </c>
      <c r="I55" s="5" t="inlineStr">
        <is>
          <t>(none)</t>
        </is>
      </c>
      <c r="J55" s="5" t="inlineStr"/>
      <c r="K55" s="5" t="inlineStr"/>
      <c r="L55" s="5" t="n">
        <v>99</v>
      </c>
      <c r="M55" s="5" t="n">
        <v>80</v>
      </c>
      <c r="N55" s="10">
        <f>IF(AND(ISNUMBER(L55),M55&gt;0),L55/M55,"")</f>
        <v/>
      </c>
      <c r="O55" s="5" t="n">
        <v>0.793</v>
      </c>
      <c r="P55" s="5" t="n">
        <v>179.9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2</v>
      </c>
      <c r="X55" s="5" t="n">
        <v>0</v>
      </c>
      <c r="Y55" s="5" t="n">
        <v>0.99</v>
      </c>
      <c r="Z55" s="5" t="inlineStr"/>
      <c r="AA55" s="5" t="n">
        <v>4780.2</v>
      </c>
      <c r="AB55" s="5" t="n">
        <v>964.7</v>
      </c>
      <c r="AC55" s="5" t="n">
        <v>4809.5</v>
      </c>
      <c r="AD55" s="5" t="n">
        <v>988.4</v>
      </c>
      <c r="AE55" s="5" t="inlineStr"/>
      <c r="AF55" s="5">
        <f>IF(AE55="","",IF(OR(AE55=F55,AND(AE55="crane_footing",F55="isolated_footing")),"yes","no"))</f>
        <v/>
      </c>
    </row>
    <row r="56">
      <c r="A56" s="5" t="n">
        <v>55</v>
      </c>
      <c r="B56" s="5" t="inlineStr">
        <is>
          <t>120</t>
        </is>
      </c>
      <c r="C56" s="5" t="inlineStr">
        <is>
          <t>region between joints</t>
        </is>
      </c>
      <c r="D56" s="5" t="inlineStr">
        <is>
          <t>band</t>
        </is>
      </c>
      <c r="E56" s="5" t="n">
        <v>5</v>
      </c>
      <c r="F56" s="5" t="inlineStr">
        <is>
          <t>strip_footing</t>
        </is>
      </c>
      <c r="G56" s="5" t="inlineStr">
        <is>
          <t>Strip footing 0.96 × 0.80 m</t>
        </is>
      </c>
      <c r="H56" s="5" t="inlineStr">
        <is>
          <t>label vote</t>
        </is>
      </c>
      <c r="I56" s="5" t="inlineStr">
        <is>
          <t>(none)</t>
        </is>
      </c>
      <c r="J56" s="5" t="inlineStr"/>
      <c r="K56" s="5" t="inlineStr"/>
      <c r="L56" s="5" t="n">
        <v>96</v>
      </c>
      <c r="M56" s="5" t="n">
        <v>80</v>
      </c>
      <c r="N56" s="10">
        <f>IF(AND(ISNUMBER(L56),M56&gt;0),L56/M56,"")</f>
        <v/>
      </c>
      <c r="O56" s="5" t="n">
        <v>0.769</v>
      </c>
      <c r="P56" s="5" t="n">
        <v>90</v>
      </c>
      <c r="Q56" s="5" t="n">
        <v>1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1</v>
      </c>
      <c r="X56" s="5" t="n">
        <v>0</v>
      </c>
      <c r="Y56" s="5" t="n">
        <v>0.96</v>
      </c>
      <c r="Z56" s="5" t="inlineStr"/>
      <c r="AA56" s="5" t="n">
        <v>4756.6</v>
      </c>
      <c r="AB56" s="5" t="n">
        <v>988.4</v>
      </c>
      <c r="AC56" s="5" t="n">
        <v>4780.2</v>
      </c>
      <c r="AD56" s="5" t="n">
        <v>1016.7</v>
      </c>
      <c r="AE56" s="5" t="inlineStr"/>
      <c r="AF56" s="5">
        <f>IF(AE56="","",IF(OR(AE56=F56,AND(AE56="crane_footing",F56="isolated_footing")),"yes","no"))</f>
        <v/>
      </c>
    </row>
    <row r="57">
      <c r="A57" s="5" t="n">
        <v>56</v>
      </c>
      <c r="B57" s="5" t="inlineStr">
        <is>
          <t>120</t>
        </is>
      </c>
      <c r="C57" s="5" t="inlineStr">
        <is>
          <t>region between joints</t>
        </is>
      </c>
      <c r="D57" s="5" t="inlineStr">
        <is>
          <t>band</t>
        </is>
      </c>
      <c r="E57" s="5" t="n">
        <v>5</v>
      </c>
      <c r="F57" s="5" t="inlineStr">
        <is>
          <t>strip_footing</t>
        </is>
      </c>
      <c r="G57" s="5" t="inlineStr">
        <is>
          <t>Strip footing SF1 27.64 × 0.80 m</t>
        </is>
      </c>
      <c r="H57" s="5" t="inlineStr">
        <is>
          <t>label vote</t>
        </is>
      </c>
      <c r="I57" s="5" t="inlineStr">
        <is>
          <t>SF1</t>
        </is>
      </c>
      <c r="J57" s="5" t="inlineStr">
        <is>
          <t>printed label</t>
        </is>
      </c>
      <c r="K57" s="5" t="inlineStr">
        <is>
          <t>SF1-80x25</t>
        </is>
      </c>
      <c r="L57" s="5" t="n">
        <v>2764</v>
      </c>
      <c r="M57" s="5" t="n">
        <v>80</v>
      </c>
      <c r="N57" s="10">
        <f>IF(AND(ISNUMBER(L57),M57&gt;0),L57/M57,"")</f>
        <v/>
      </c>
      <c r="O57" s="5" t="n">
        <v>22.109</v>
      </c>
      <c r="P57" s="5" t="n">
        <v>90</v>
      </c>
      <c r="Q57" s="5" t="n">
        <v>1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1</v>
      </c>
      <c r="W57" s="5" t="n">
        <v>45</v>
      </c>
      <c r="X57" s="5" t="n">
        <v>3</v>
      </c>
      <c r="Y57" s="5" t="n">
        <v>27.64</v>
      </c>
      <c r="Z57" s="5" t="inlineStr"/>
      <c r="AA57" s="5" t="n">
        <v>4150.2</v>
      </c>
      <c r="AB57" s="5" t="n">
        <v>494.3</v>
      </c>
      <c r="AC57" s="5" t="n">
        <v>4174.4</v>
      </c>
      <c r="AD57" s="5" t="n">
        <v>1310.4</v>
      </c>
      <c r="AE57" s="5" t="inlineStr"/>
      <c r="AF57" s="5">
        <f>IF(AE57="","",IF(OR(AE57=F57,AND(AE57="crane_footing",F57="isolated_footing")),"yes","no"))</f>
        <v/>
      </c>
    </row>
    <row r="58">
      <c r="A58" s="5" t="n">
        <v>57</v>
      </c>
      <c r="B58" s="5" t="inlineStr">
        <is>
          <t>120</t>
        </is>
      </c>
      <c r="C58" s="5" t="inlineStr">
        <is>
          <t>region between joints</t>
        </is>
      </c>
      <c r="D58" s="5" t="inlineStr">
        <is>
          <t>band</t>
        </is>
      </c>
      <c r="E58" s="5" t="n">
        <v>5</v>
      </c>
      <c r="F58" s="5" t="inlineStr">
        <is>
          <t>strip_footing</t>
        </is>
      </c>
      <c r="G58" s="5" t="inlineStr">
        <is>
          <t>Strip footing SF1 14.76 × 0.80 m</t>
        </is>
      </c>
      <c r="H58" s="5" t="inlineStr">
        <is>
          <t>label vote</t>
        </is>
      </c>
      <c r="I58" s="5" t="inlineStr">
        <is>
          <t>SF1</t>
        </is>
      </c>
      <c r="J58" s="5" t="inlineStr">
        <is>
          <t>printed label</t>
        </is>
      </c>
      <c r="K58" s="5" t="inlineStr">
        <is>
          <t>SF1 80x25</t>
        </is>
      </c>
      <c r="L58" s="5" t="n">
        <v>1476</v>
      </c>
      <c r="M58" s="5" t="n">
        <v>80</v>
      </c>
      <c r="N58" s="10">
        <f>IF(AND(ISNUMBER(L58),M58&gt;0),L58/M58,"")</f>
        <v/>
      </c>
      <c r="O58" s="5" t="n">
        <v>11.805</v>
      </c>
      <c r="P58" s="5" t="n">
        <v>172.6</v>
      </c>
      <c r="Q58" s="5" t="n">
        <v>1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</v>
      </c>
      <c r="W58" s="5" t="n">
        <v>5</v>
      </c>
      <c r="X58" s="5" t="n">
        <v>1</v>
      </c>
      <c r="Y58" s="5" t="n">
        <v>14.76</v>
      </c>
      <c r="Z58" s="5" t="inlineStr"/>
      <c r="AA58" s="5" t="n">
        <v>4171.3</v>
      </c>
      <c r="AB58" s="5" t="n">
        <v>414.9</v>
      </c>
      <c r="AC58" s="5" t="n">
        <v>4606.4</v>
      </c>
      <c r="AD58" s="5" t="n">
        <v>494.4</v>
      </c>
      <c r="AE58" s="5" t="inlineStr"/>
      <c r="AF58" s="5">
        <f>IF(AE58="","",IF(OR(AE58=F58,AND(AE58="crane_footing",F58="isolated_footing")),"yes","no"))</f>
        <v/>
      </c>
    </row>
    <row r="59">
      <c r="A59" s="5" t="n">
        <v>58</v>
      </c>
      <c r="B59" s="5" t="inlineStr">
        <is>
          <t>120</t>
        </is>
      </c>
      <c r="C59" s="5" t="inlineStr">
        <is>
          <t>region between joints</t>
        </is>
      </c>
      <c r="D59" s="5" t="inlineStr">
        <is>
          <t>band</t>
        </is>
      </c>
      <c r="E59" s="5" t="n">
        <v>5</v>
      </c>
      <c r="F59" s="5" t="inlineStr">
        <is>
          <t>strip_footing</t>
        </is>
      </c>
      <c r="G59" s="5" t="inlineStr">
        <is>
          <t>Strip footing SF1 3.88 × 0.80 m</t>
        </is>
      </c>
      <c r="H59" s="5" t="inlineStr">
        <is>
          <t>label vote</t>
        </is>
      </c>
      <c r="I59" s="5" t="inlineStr">
        <is>
          <t>SF1</t>
        </is>
      </c>
      <c r="J59" s="5" t="inlineStr">
        <is>
          <t>printed label</t>
        </is>
      </c>
      <c r="K59" s="5" t="inlineStr">
        <is>
          <t>SF1 80x25</t>
        </is>
      </c>
      <c r="L59" s="5" t="n">
        <v>388</v>
      </c>
      <c r="M59" s="5" t="n">
        <v>80</v>
      </c>
      <c r="N59" s="10">
        <f>IF(AND(ISNUMBER(L59),M59&gt;0),L59/M59,"")</f>
        <v/>
      </c>
      <c r="O59" s="5" t="n">
        <v>3.105</v>
      </c>
      <c r="P59" s="5" t="n">
        <v>90</v>
      </c>
      <c r="Q59" s="5" t="n">
        <v>1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2</v>
      </c>
      <c r="X59" s="5" t="n">
        <v>0</v>
      </c>
      <c r="Y59" s="5" t="n">
        <v>3.88</v>
      </c>
      <c r="Z59" s="5" t="inlineStr"/>
      <c r="AA59" s="5" t="n">
        <v>4756.7</v>
      </c>
      <c r="AB59" s="5" t="n">
        <v>1164.2</v>
      </c>
      <c r="AC59" s="5" t="n">
        <v>4780.3</v>
      </c>
      <c r="AD59" s="5" t="n">
        <v>1278.9</v>
      </c>
      <c r="AE59" s="5" t="inlineStr"/>
      <c r="AF59" s="5">
        <f>IF(AE59="","",IF(OR(AE59=F59,AND(AE59="crane_footing",F59="isolated_footing")),"yes","no"))</f>
        <v/>
      </c>
    </row>
    <row r="60">
      <c r="A60" s="5" t="n">
        <v>59</v>
      </c>
      <c r="B60" s="5" t="inlineStr">
        <is>
          <t>120</t>
        </is>
      </c>
      <c r="C60" s="5" t="inlineStr">
        <is>
          <t>region between joints</t>
        </is>
      </c>
      <c r="D60" s="5" t="inlineStr">
        <is>
          <t>band</t>
        </is>
      </c>
      <c r="E60" s="5" t="n">
        <v>5</v>
      </c>
      <c r="F60" s="5" t="inlineStr">
        <is>
          <t>strip_footing</t>
        </is>
      </c>
      <c r="G60" s="5" t="inlineStr">
        <is>
          <t>Strip footing SF1 2.96 × 0.80 m</t>
        </is>
      </c>
      <c r="H60" s="5" t="inlineStr">
        <is>
          <t>label vote</t>
        </is>
      </c>
      <c r="I60" s="5" t="inlineStr">
        <is>
          <t>SF1</t>
        </is>
      </c>
      <c r="J60" s="5" t="inlineStr">
        <is>
          <t>printed label</t>
        </is>
      </c>
      <c r="K60" s="5" t="inlineStr">
        <is>
          <t>SF1 80x25</t>
        </is>
      </c>
      <c r="L60" s="5" t="n">
        <v>296</v>
      </c>
      <c r="M60" s="5" t="n">
        <v>80</v>
      </c>
      <c r="N60" s="10">
        <f>IF(AND(ISNUMBER(L60),M60&gt;0),L60/M60,"")</f>
        <v/>
      </c>
      <c r="O60" s="5" t="n">
        <v>2.366</v>
      </c>
      <c r="P60" s="5" t="n">
        <v>90</v>
      </c>
      <c r="Q60" s="5" t="n">
        <v>1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17</v>
      </c>
      <c r="X60" s="5" t="n">
        <v>1</v>
      </c>
      <c r="Y60" s="5" t="n">
        <v>2.96</v>
      </c>
      <c r="Z60" s="5" t="inlineStr"/>
      <c r="AA60" s="5" t="n">
        <v>4756.3</v>
      </c>
      <c r="AB60" s="5" t="n">
        <v>645.6</v>
      </c>
      <c r="AC60" s="5" t="n">
        <v>4780</v>
      </c>
      <c r="AD60" s="5" t="n">
        <v>732.9</v>
      </c>
      <c r="AE60" s="5" t="inlineStr"/>
      <c r="AF60" s="5">
        <f>IF(AE60="","",IF(OR(AE60=F60,AND(AE60="crane_footing",F60="isolated_footing")),"yes","no"))</f>
        <v/>
      </c>
    </row>
    <row r="61">
      <c r="A61" s="5" t="n">
        <v>60</v>
      </c>
      <c r="B61" s="5" t="inlineStr">
        <is>
          <t>120</t>
        </is>
      </c>
      <c r="C61" s="5" t="inlineStr">
        <is>
          <t>region between joints</t>
        </is>
      </c>
      <c r="D61" s="5" t="inlineStr">
        <is>
          <t>band</t>
        </is>
      </c>
      <c r="E61" s="5" t="n">
        <v>5</v>
      </c>
      <c r="F61" s="5" t="inlineStr">
        <is>
          <t>strip_footing</t>
        </is>
      </c>
      <c r="G61" s="5" t="inlineStr">
        <is>
          <t>Strip footing SF1 2.25 × 0.80 m</t>
        </is>
      </c>
      <c r="H61" s="5" t="inlineStr">
        <is>
          <t>label vote</t>
        </is>
      </c>
      <c r="I61" s="5" t="inlineStr">
        <is>
          <t>SF1</t>
        </is>
      </c>
      <c r="J61" s="5" t="inlineStr">
        <is>
          <t>printed label</t>
        </is>
      </c>
      <c r="K61" s="5" t="inlineStr">
        <is>
          <t>SF1 80x25</t>
        </is>
      </c>
      <c r="L61" s="5" t="n">
        <v>225</v>
      </c>
      <c r="M61" s="5" t="n">
        <v>80</v>
      </c>
      <c r="N61" s="10">
        <f>IF(AND(ISNUMBER(L61),M61&gt;0),L61/M61,"")</f>
        <v/>
      </c>
      <c r="O61" s="5" t="n">
        <v>1.798</v>
      </c>
      <c r="P61" s="5" t="n">
        <v>90</v>
      </c>
      <c r="Q61" s="5" t="n">
        <v>2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1</v>
      </c>
      <c r="W61" s="5" t="n">
        <v>3</v>
      </c>
      <c r="X61" s="5" t="n">
        <v>0</v>
      </c>
      <c r="Y61" s="5" t="n">
        <v>2.25</v>
      </c>
      <c r="Z61" s="5" t="inlineStr"/>
      <c r="AA61" s="5" t="n">
        <v>4809.5</v>
      </c>
      <c r="AB61" s="5" t="n">
        <v>898.4</v>
      </c>
      <c r="AC61" s="5" t="n">
        <v>4833.2</v>
      </c>
      <c r="AD61" s="5" t="n">
        <v>964.7</v>
      </c>
      <c r="AE61" s="5" t="inlineStr"/>
      <c r="AF61" s="5">
        <f>IF(AE61="","",IF(OR(AE61=F61,AND(AE61="crane_footing",F61="isolated_footing")),"yes","no"))</f>
        <v/>
      </c>
    </row>
    <row r="62">
      <c r="A62" s="5" t="n">
        <v>61</v>
      </c>
      <c r="B62" s="5" t="inlineStr">
        <is>
          <t>120</t>
        </is>
      </c>
      <c r="C62" s="5" t="inlineStr">
        <is>
          <t>region between joints</t>
        </is>
      </c>
      <c r="D62" s="5" t="inlineStr">
        <is>
          <t>band</t>
        </is>
      </c>
      <c r="E62" s="5" t="n">
        <v>3</v>
      </c>
      <c r="F62" s="5" t="inlineStr">
        <is>
          <t>grade_beam</t>
        </is>
      </c>
      <c r="G62" s="5" t="inlineStr">
        <is>
          <t>Grade beam LG40x15 28.75 × 0.40 m</t>
        </is>
      </c>
      <c r="H62" s="5" t="inlineStr">
        <is>
          <t>label vote</t>
        </is>
      </c>
      <c r="I62" s="5" t="inlineStr">
        <is>
          <t>LG40x15</t>
        </is>
      </c>
      <c r="J62" s="5" t="inlineStr">
        <is>
          <t>printed label</t>
        </is>
      </c>
      <c r="K62" s="5" t="inlineStr">
        <is>
          <t>LG-40x15</t>
        </is>
      </c>
      <c r="L62" s="5" t="n">
        <v>2875</v>
      </c>
      <c r="M62" s="5" t="n">
        <v>40</v>
      </c>
      <c r="N62" s="10">
        <f>IF(AND(ISNUMBER(L62),M62&gt;0),L62/M62,"")</f>
        <v/>
      </c>
      <c r="O62" s="5" t="n">
        <v>11.499</v>
      </c>
      <c r="P62" s="5" t="n">
        <v>90</v>
      </c>
      <c r="Q62" s="5" t="n">
        <v>4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125</v>
      </c>
      <c r="X62" s="5" t="n">
        <v>7</v>
      </c>
      <c r="Y62" s="5" t="n">
        <v>21.55</v>
      </c>
      <c r="Z62" s="5" t="inlineStr"/>
      <c r="AA62" s="5" t="n">
        <v>4293.5</v>
      </c>
      <c r="AB62" s="5" t="n">
        <v>469.9</v>
      </c>
      <c r="AC62" s="5" t="n">
        <v>4305.9</v>
      </c>
      <c r="AD62" s="5" t="n">
        <v>1318.7</v>
      </c>
      <c r="AE62" s="5" t="inlineStr"/>
      <c r="AF62" s="5">
        <f>IF(AE62="","",IF(OR(AE62=F62,AND(AE62="crane_footing",F62="isolated_footing")),"yes","no"))</f>
        <v/>
      </c>
    </row>
    <row r="63">
      <c r="A63" s="5" t="n">
        <v>62</v>
      </c>
      <c r="B63" s="5" t="inlineStr">
        <is>
          <t>120</t>
        </is>
      </c>
      <c r="C63" s="5" t="inlineStr">
        <is>
          <t>region between joints</t>
        </is>
      </c>
      <c r="D63" s="5" t="inlineStr">
        <is>
          <t>band</t>
        </is>
      </c>
      <c r="E63" s="5" t="n">
        <v>3</v>
      </c>
      <c r="F63" s="5" t="inlineStr">
        <is>
          <t>grade_beam</t>
        </is>
      </c>
      <c r="G63" s="5" t="inlineStr">
        <is>
          <t>Grade beam LG40x15 26.89 × 0.40 m</t>
        </is>
      </c>
      <c r="H63" s="5" t="inlineStr">
        <is>
          <t>label vote</t>
        </is>
      </c>
      <c r="I63" s="5" t="inlineStr">
        <is>
          <t>LG40x15</t>
        </is>
      </c>
      <c r="J63" s="5" t="inlineStr">
        <is>
          <t>printed label</t>
        </is>
      </c>
      <c r="K63" s="5" t="inlineStr">
        <is>
          <t>LG-40x15</t>
        </is>
      </c>
      <c r="L63" s="5" t="n">
        <v>2689</v>
      </c>
      <c r="M63" s="5" t="n">
        <v>40</v>
      </c>
      <c r="N63" s="10">
        <f>IF(AND(ISNUMBER(L63),M63&gt;0),L63/M63,"")</f>
        <v/>
      </c>
      <c r="O63" s="5" t="n">
        <v>10.755</v>
      </c>
      <c r="P63" s="5" t="n">
        <v>89.90000000000001</v>
      </c>
      <c r="Q63" s="5" t="n">
        <v>5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9</v>
      </c>
      <c r="X63" s="5" t="n">
        <v>9</v>
      </c>
      <c r="Y63" s="5" t="n">
        <v>14.04</v>
      </c>
      <c r="Z63" s="5" t="inlineStr"/>
      <c r="AA63" s="5" t="n">
        <v>4540.4</v>
      </c>
      <c r="AB63" s="5" t="n">
        <v>524.8</v>
      </c>
      <c r="AC63" s="5" t="n">
        <v>4553.6</v>
      </c>
      <c r="AD63" s="5" t="n">
        <v>1318.7</v>
      </c>
      <c r="AE63" s="5" t="inlineStr"/>
      <c r="AF63" s="5">
        <f>IF(AE63="","",IF(OR(AE63=F63,AND(AE63="crane_footing",F63="isolated_footing")),"yes","no"))</f>
        <v/>
      </c>
    </row>
    <row r="64">
      <c r="A64" s="5" t="n">
        <v>63</v>
      </c>
      <c r="B64" s="5" t="inlineStr">
        <is>
          <t>120</t>
        </is>
      </c>
      <c r="C64" s="5" t="inlineStr">
        <is>
          <t>region between joints</t>
        </is>
      </c>
      <c r="D64" s="5" t="inlineStr">
        <is>
          <t>band</t>
        </is>
      </c>
      <c r="E64" s="5" t="n">
        <v>3</v>
      </c>
      <c r="F64" s="5" t="inlineStr">
        <is>
          <t>grade_beam</t>
        </is>
      </c>
      <c r="G64" s="5" t="inlineStr">
        <is>
          <t>Grade beam LG40x15 20.34 × 0.40 m</t>
        </is>
      </c>
      <c r="H64" s="5" t="inlineStr">
        <is>
          <t>label vote</t>
        </is>
      </c>
      <c r="I64" s="5" t="inlineStr">
        <is>
          <t>LG40x15</t>
        </is>
      </c>
      <c r="J64" s="5" t="inlineStr">
        <is>
          <t>printed label</t>
        </is>
      </c>
      <c r="K64" s="5" t="inlineStr">
        <is>
          <t>LG-40x15</t>
        </is>
      </c>
      <c r="L64" s="5" t="n">
        <v>2034</v>
      </c>
      <c r="M64" s="5" t="n">
        <v>40</v>
      </c>
      <c r="N64" s="10">
        <f>IF(AND(ISNUMBER(L64),M64&gt;0),L64/M64,"")</f>
        <v/>
      </c>
      <c r="O64" s="5" t="n">
        <v>8.137</v>
      </c>
      <c r="P64" s="5" t="n">
        <v>0</v>
      </c>
      <c r="Q64" s="5" t="n">
        <v>5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2</v>
      </c>
      <c r="W64" s="5" t="n">
        <v>47</v>
      </c>
      <c r="X64" s="5" t="n">
        <v>3</v>
      </c>
      <c r="Y64" s="5" t="n">
        <v>12.91</v>
      </c>
      <c r="Z64" s="5" t="inlineStr"/>
      <c r="AA64" s="5" t="n">
        <v>4164.9</v>
      </c>
      <c r="AB64" s="5" t="n">
        <v>1318.7</v>
      </c>
      <c r="AC64" s="5" t="n">
        <v>4765.6</v>
      </c>
      <c r="AD64" s="5" t="n">
        <v>1330.5</v>
      </c>
      <c r="AE64" s="5" t="inlineStr"/>
      <c r="AF64" s="5">
        <f>IF(AE64="","",IF(OR(AE64=F64,AND(AE64="crane_footing",F64="isolated_footing")),"yes","no"))</f>
        <v/>
      </c>
    </row>
    <row r="65">
      <c r="A65" s="5" t="n">
        <v>64</v>
      </c>
      <c r="B65" s="5" t="inlineStr">
        <is>
          <t>120</t>
        </is>
      </c>
      <c r="C65" s="5" t="inlineStr">
        <is>
          <t>region between joints</t>
        </is>
      </c>
      <c r="D65" s="5" t="inlineStr">
        <is>
          <t>band</t>
        </is>
      </c>
      <c r="E65" s="5" t="n">
        <v>3</v>
      </c>
      <c r="F65" s="5" t="inlineStr">
        <is>
          <t>grade_beam</t>
        </is>
      </c>
      <c r="G65" s="5" t="inlineStr">
        <is>
          <t>Grade beam LG40x15 15.58 × 0.40 m</t>
        </is>
      </c>
      <c r="H65" s="5" t="inlineStr">
        <is>
          <t>label vote</t>
        </is>
      </c>
      <c r="I65" s="5" t="inlineStr">
        <is>
          <t>LG40x15</t>
        </is>
      </c>
      <c r="J65" s="5" t="inlineStr">
        <is>
          <t>printed label</t>
        </is>
      </c>
      <c r="K65" s="5" t="inlineStr">
        <is>
          <t>LG-40x15</t>
        </is>
      </c>
      <c r="L65" s="5" t="n">
        <v>1558</v>
      </c>
      <c r="M65" s="5" t="n">
        <v>40</v>
      </c>
      <c r="N65" s="10">
        <f>IF(AND(ISNUMBER(L65),M65&gt;0),L65/M65,"")</f>
        <v/>
      </c>
      <c r="O65" s="5" t="n">
        <v>6.23</v>
      </c>
      <c r="P65" s="5" t="n">
        <v>0</v>
      </c>
      <c r="Q65" s="5" t="n">
        <v>2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1</v>
      </c>
      <c r="W65" s="5" t="n">
        <v>25</v>
      </c>
      <c r="X65" s="5" t="n">
        <v>3</v>
      </c>
      <c r="Y65" s="5" t="n">
        <v>10.98</v>
      </c>
      <c r="Z65" s="5" t="inlineStr"/>
      <c r="AA65" s="5" t="n">
        <v>4305.6</v>
      </c>
      <c r="AB65" s="5" t="n">
        <v>972</v>
      </c>
      <c r="AC65" s="5" t="n">
        <v>4765.5</v>
      </c>
      <c r="AD65" s="5" t="n">
        <v>984.1</v>
      </c>
      <c r="AE65" s="5" t="inlineStr"/>
      <c r="AF65" s="5">
        <f>IF(AE65="","",IF(OR(AE65=F65,AND(AE65="crane_footing",F65="isolated_footing")),"yes","no"))</f>
        <v/>
      </c>
    </row>
    <row r="66">
      <c r="A66" s="5" t="n">
        <v>65</v>
      </c>
      <c r="B66" s="5" t="inlineStr">
        <is>
          <t>120</t>
        </is>
      </c>
      <c r="C66" s="5" t="inlineStr">
        <is>
          <t>region between joints</t>
        </is>
      </c>
      <c r="D66" s="5" t="inlineStr">
        <is>
          <t>band</t>
        </is>
      </c>
      <c r="E66" s="5" t="n">
        <v>3</v>
      </c>
      <c r="F66" s="5" t="inlineStr">
        <is>
          <t>grade_beam</t>
        </is>
      </c>
      <c r="G66" s="5" t="inlineStr">
        <is>
          <t>Grade beam LG40x15 15.56 × 0.40 m</t>
        </is>
      </c>
      <c r="H66" s="5" t="inlineStr">
        <is>
          <t>label vote</t>
        </is>
      </c>
      <c r="I66" s="5" t="inlineStr">
        <is>
          <t>LG40x15</t>
        </is>
      </c>
      <c r="J66" s="5" t="inlineStr">
        <is>
          <t>printed label</t>
        </is>
      </c>
      <c r="K66" s="5" t="inlineStr">
        <is>
          <t>LG-40x15</t>
        </is>
      </c>
      <c r="L66" s="5" t="n">
        <v>1556</v>
      </c>
      <c r="M66" s="5" t="n">
        <v>40</v>
      </c>
      <c r="N66" s="10">
        <f>IF(AND(ISNUMBER(L66),M66&gt;0),L66/M66,"")</f>
        <v/>
      </c>
      <c r="O66" s="5" t="n">
        <v>6.223</v>
      </c>
      <c r="P66" s="5" t="n">
        <v>179.9</v>
      </c>
      <c r="Q66" s="5" t="n">
        <v>2</v>
      </c>
      <c r="R66" s="5" t="n">
        <v>0</v>
      </c>
      <c r="S66" s="5" t="n">
        <v>0</v>
      </c>
      <c r="T66" s="5" t="n">
        <v>1</v>
      </c>
      <c r="U66" s="5" t="n">
        <v>0</v>
      </c>
      <c r="V66" s="5" t="n">
        <v>1</v>
      </c>
      <c r="W66" s="5" t="n">
        <v>25</v>
      </c>
      <c r="X66" s="5" t="n">
        <v>2</v>
      </c>
      <c r="Y66" s="5" t="n">
        <v>15.46</v>
      </c>
      <c r="Z66" s="5" t="inlineStr"/>
      <c r="AA66" s="5" t="n">
        <v>4305.9</v>
      </c>
      <c r="AB66" s="5" t="n">
        <v>514.9</v>
      </c>
      <c r="AC66" s="5" t="n">
        <v>4765.3</v>
      </c>
      <c r="AD66" s="5" t="n">
        <v>527.4</v>
      </c>
      <c r="AE66" s="5" t="inlineStr"/>
      <c r="AF66" s="5">
        <f>IF(AE66="","",IF(OR(AE66=F66,AND(AE66="crane_footing",F66="isolated_footing")),"yes","no"))</f>
        <v/>
      </c>
    </row>
    <row r="67">
      <c r="A67" s="5" t="n">
        <v>66</v>
      </c>
      <c r="B67" s="5" t="inlineStr">
        <is>
          <t>120</t>
        </is>
      </c>
      <c r="C67" s="5" t="inlineStr">
        <is>
          <t>region between joints</t>
        </is>
      </c>
      <c r="D67" s="5" t="inlineStr">
        <is>
          <t>band</t>
        </is>
      </c>
      <c r="E67" s="5" t="n">
        <v>3</v>
      </c>
      <c r="F67" s="5" t="inlineStr">
        <is>
          <t>grade_beam</t>
        </is>
      </c>
      <c r="G67" s="5" t="inlineStr">
        <is>
          <t>Grade beam LG40x15 12.74 × 0.40 m</t>
        </is>
      </c>
      <c r="H67" s="5" t="inlineStr">
        <is>
          <t>label vote</t>
        </is>
      </c>
      <c r="I67" s="5" t="inlineStr">
        <is>
          <t>LG40x15</t>
        </is>
      </c>
      <c r="J67" s="5" t="inlineStr">
        <is>
          <t>printed label</t>
        </is>
      </c>
      <c r="K67" s="5" t="inlineStr">
        <is>
          <t>LG-40x15</t>
        </is>
      </c>
      <c r="L67" s="5" t="n">
        <v>1274</v>
      </c>
      <c r="M67" s="5" t="n">
        <v>40</v>
      </c>
      <c r="N67" s="10">
        <f>IF(AND(ISNUMBER(L67),M67&gt;0),L67/M67,"")</f>
        <v/>
      </c>
      <c r="O67" s="5" t="n">
        <v>5.098</v>
      </c>
      <c r="P67" s="5" t="n">
        <v>0</v>
      </c>
      <c r="Q67" s="5" t="n">
        <v>2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1</v>
      </c>
      <c r="W67" s="5" t="n">
        <v>28</v>
      </c>
      <c r="X67" s="5" t="n">
        <v>2</v>
      </c>
      <c r="Y67" s="5" t="n">
        <v>7.16</v>
      </c>
      <c r="Z67" s="5" t="inlineStr"/>
      <c r="AA67" s="5" t="n">
        <v>4165.1</v>
      </c>
      <c r="AB67" s="5" t="n">
        <v>1091.9</v>
      </c>
      <c r="AC67" s="5" t="n">
        <v>4541.4</v>
      </c>
      <c r="AD67" s="5" t="n">
        <v>1104</v>
      </c>
      <c r="AE67" s="5" t="inlineStr"/>
      <c r="AF67" s="5">
        <f>IF(AE67="","",IF(OR(AE67=F67,AND(AE67="crane_footing",F67="isolated_footing")),"yes","no"))</f>
        <v/>
      </c>
    </row>
    <row r="68">
      <c r="A68" s="5" t="n">
        <v>67</v>
      </c>
      <c r="B68" s="5" t="inlineStr">
        <is>
          <t>120</t>
        </is>
      </c>
      <c r="C68" s="5" t="inlineStr">
        <is>
          <t>region between joints</t>
        </is>
      </c>
      <c r="D68" s="5" t="inlineStr">
        <is>
          <t>band</t>
        </is>
      </c>
      <c r="E68" s="5" t="n">
        <v>3</v>
      </c>
      <c r="F68" s="5" t="inlineStr">
        <is>
          <t>grade_beam</t>
        </is>
      </c>
      <c r="G68" s="5" t="inlineStr">
        <is>
          <t>Grade beam LG40x15 12.70 × 0.40 m</t>
        </is>
      </c>
      <c r="H68" s="5" t="inlineStr">
        <is>
          <t>label vote</t>
        </is>
      </c>
      <c r="I68" s="5" t="inlineStr">
        <is>
          <t>LG40x15</t>
        </is>
      </c>
      <c r="J68" s="5" t="inlineStr">
        <is>
          <t>printed label</t>
        </is>
      </c>
      <c r="K68" s="5" t="inlineStr">
        <is>
          <t>LG-40x15</t>
        </is>
      </c>
      <c r="L68" s="5" t="n">
        <v>1270</v>
      </c>
      <c r="M68" s="5" t="n">
        <v>40</v>
      </c>
      <c r="N68" s="10">
        <f>IF(AND(ISNUMBER(L68),M68&gt;0),L68/M68,"")</f>
        <v/>
      </c>
      <c r="O68" s="5" t="n">
        <v>5.082</v>
      </c>
      <c r="P68" s="5" t="n">
        <v>179.5</v>
      </c>
      <c r="Q68" s="5" t="n">
        <v>2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1</v>
      </c>
      <c r="W68" s="5" t="n">
        <v>31</v>
      </c>
      <c r="X68" s="5" t="n">
        <v>2</v>
      </c>
      <c r="Y68" s="5" t="n">
        <v>7.24</v>
      </c>
      <c r="Z68" s="5" t="inlineStr"/>
      <c r="AA68" s="5" t="n">
        <v>4165.4</v>
      </c>
      <c r="AB68" s="5" t="n">
        <v>631.6</v>
      </c>
      <c r="AC68" s="5" t="n">
        <v>4540.6</v>
      </c>
      <c r="AD68" s="5" t="n">
        <v>646.5</v>
      </c>
      <c r="AE68" s="5" t="inlineStr"/>
      <c r="AF68" s="5">
        <f>IF(AE68="","",IF(OR(AE68=F68,AND(AE68="crane_footing",F68="isolated_footing")),"yes","no"))</f>
        <v/>
      </c>
    </row>
    <row r="69">
      <c r="A69" s="5" t="n">
        <v>68</v>
      </c>
      <c r="B69" s="5" t="inlineStr">
        <is>
          <t>120</t>
        </is>
      </c>
      <c r="C69" s="5" t="inlineStr">
        <is>
          <t>region between joints</t>
        </is>
      </c>
      <c r="D69" s="5" t="inlineStr">
        <is>
          <t>band</t>
        </is>
      </c>
      <c r="E69" s="5" t="n">
        <v>3</v>
      </c>
      <c r="F69" s="5" t="inlineStr">
        <is>
          <t>grade_beam</t>
        </is>
      </c>
      <c r="G69" s="5" t="inlineStr">
        <is>
          <t>Grade beam LG40x15 7.97 × 0.40 m</t>
        </is>
      </c>
      <c r="H69" s="5" t="inlineStr">
        <is>
          <t>label vote</t>
        </is>
      </c>
      <c r="I69" s="5" t="inlineStr">
        <is>
          <t>LG40x15</t>
        </is>
      </c>
      <c r="J69" s="5" t="inlineStr">
        <is>
          <t>printed label</t>
        </is>
      </c>
      <c r="K69" s="5" t="inlineStr">
        <is>
          <t>LG-40x15</t>
        </is>
      </c>
      <c r="L69" s="5" t="n">
        <v>797</v>
      </c>
      <c r="M69" s="5" t="n">
        <v>40</v>
      </c>
      <c r="N69" s="10">
        <f>IF(AND(ISNUMBER(L69),M69&gt;0),L69/M69,"")</f>
        <v/>
      </c>
      <c r="O69" s="5" t="n">
        <v>3.186</v>
      </c>
      <c r="P69" s="5" t="n">
        <v>0</v>
      </c>
      <c r="Q69" s="5" t="n">
        <v>1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10</v>
      </c>
      <c r="X69" s="5" t="n">
        <v>2</v>
      </c>
      <c r="Y69" s="5" t="n">
        <v>7.97</v>
      </c>
      <c r="Z69" s="5" t="inlineStr"/>
      <c r="AA69" s="5" t="n">
        <v>4305.7</v>
      </c>
      <c r="AB69" s="5" t="n">
        <v>824.4</v>
      </c>
      <c r="AC69" s="5" t="n">
        <v>4540.9</v>
      </c>
      <c r="AD69" s="5" t="n">
        <v>836.4</v>
      </c>
      <c r="AE69" s="5" t="inlineStr"/>
      <c r="AF69" s="5">
        <f>IF(AE69="","",IF(OR(AE69=F69,AND(AE69="crane_footing",F69="isolated_footing")),"yes","no"))</f>
        <v/>
      </c>
    </row>
    <row r="70">
      <c r="A70" s="5" t="n">
        <v>69</v>
      </c>
      <c r="B70" s="5" t="inlineStr">
        <is>
          <t>120</t>
        </is>
      </c>
      <c r="C70" s="5" t="inlineStr">
        <is>
          <t>region between joints</t>
        </is>
      </c>
      <c r="D70" s="5" t="inlineStr">
        <is>
          <t>band</t>
        </is>
      </c>
      <c r="E70" s="5" t="n">
        <v>3</v>
      </c>
      <c r="F70" s="5" t="inlineStr">
        <is>
          <t>grade_beam</t>
        </is>
      </c>
      <c r="G70" s="5" t="inlineStr">
        <is>
          <t>Grade beam LG40x15 7.20 × 0.40 m</t>
        </is>
      </c>
      <c r="H70" s="5" t="inlineStr">
        <is>
          <t>label vote</t>
        </is>
      </c>
      <c r="I70" s="5" t="inlineStr">
        <is>
          <t>LG40x15</t>
        </is>
      </c>
      <c r="J70" s="5" t="inlineStr">
        <is>
          <t>printed label</t>
        </is>
      </c>
      <c r="K70" s="5" t="inlineStr">
        <is>
          <t>LG-40x15</t>
        </is>
      </c>
      <c r="L70" s="5" t="n">
        <v>720</v>
      </c>
      <c r="M70" s="5" t="n">
        <v>40</v>
      </c>
      <c r="N70" s="10">
        <f>IF(AND(ISNUMBER(L70),M70&gt;0),L70/M70,"")</f>
        <v/>
      </c>
      <c r="O70" s="5" t="n">
        <v>2.881</v>
      </c>
      <c r="P70" s="5" t="n">
        <v>0</v>
      </c>
      <c r="Q70" s="5" t="n">
        <v>2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8</v>
      </c>
      <c r="X70" s="5" t="n">
        <v>1</v>
      </c>
      <c r="Y70" s="5" t="n">
        <v>5.07</v>
      </c>
      <c r="Z70" s="5" t="inlineStr"/>
      <c r="AA70" s="5" t="n">
        <v>4552.5</v>
      </c>
      <c r="AB70" s="5" t="n">
        <v>679.1</v>
      </c>
      <c r="AC70" s="5" t="n">
        <v>4765.1</v>
      </c>
      <c r="AD70" s="5" t="n">
        <v>691.1</v>
      </c>
      <c r="AE70" s="5" t="inlineStr"/>
      <c r="AF70" s="5">
        <f>IF(AE70="","",IF(OR(AE70=F70,AND(AE70="crane_footing",F70="isolated_footing")),"yes","no"))</f>
        <v/>
      </c>
    </row>
    <row r="71">
      <c r="A71" s="5" t="n">
        <v>70</v>
      </c>
      <c r="B71" s="5" t="inlineStr">
        <is>
          <t>120</t>
        </is>
      </c>
      <c r="C71" s="5" t="inlineStr">
        <is>
          <t>region between joints</t>
        </is>
      </c>
      <c r="D71" s="5" t="inlineStr">
        <is>
          <t>band</t>
        </is>
      </c>
      <c r="E71" s="5" t="n">
        <v>3</v>
      </c>
      <c r="F71" s="5" t="inlineStr">
        <is>
          <t>grade_beam</t>
        </is>
      </c>
      <c r="G71" s="5" t="inlineStr">
        <is>
          <t>Grade beam LG40x15 7.19 × 0.40 m</t>
        </is>
      </c>
      <c r="H71" s="5" t="inlineStr">
        <is>
          <t>label vote</t>
        </is>
      </c>
      <c r="I71" s="5" t="inlineStr">
        <is>
          <t>LG40x15</t>
        </is>
      </c>
      <c r="J71" s="5" t="inlineStr">
        <is>
          <t>printed label</t>
        </is>
      </c>
      <c r="K71" s="5" t="inlineStr">
        <is>
          <t>LG-40x15</t>
        </is>
      </c>
      <c r="L71" s="5" t="n">
        <v>719</v>
      </c>
      <c r="M71" s="5" t="n">
        <v>40</v>
      </c>
      <c r="N71" s="10">
        <f>IF(AND(ISNUMBER(L71),M71&gt;0),L71/M71,"")</f>
        <v/>
      </c>
      <c r="O71" s="5" t="n">
        <v>2.876</v>
      </c>
      <c r="P71" s="5" t="n">
        <v>0.1</v>
      </c>
      <c r="Q71" s="5" t="n">
        <v>2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10</v>
      </c>
      <c r="X71" s="5" t="n">
        <v>1</v>
      </c>
      <c r="Y71" s="5" t="n">
        <v>3</v>
      </c>
      <c r="Z71" s="5" t="inlineStr"/>
      <c r="AA71" s="5" t="n">
        <v>4553.3</v>
      </c>
      <c r="AB71" s="5" t="n">
        <v>1138.2</v>
      </c>
      <c r="AC71" s="5" t="n">
        <v>4765.6</v>
      </c>
      <c r="AD71" s="5" t="n">
        <v>1150.2</v>
      </c>
      <c r="AE71" s="5" t="inlineStr"/>
      <c r="AF71" s="5">
        <f>IF(AE71="","",IF(OR(AE71=F71,AND(AE71="crane_footing",F71="isolated_footing")),"yes","no"))</f>
        <v/>
      </c>
    </row>
    <row r="72">
      <c r="A72" s="5" t="n">
        <v>71</v>
      </c>
      <c r="B72" s="5" t="inlineStr">
        <is>
          <t>120</t>
        </is>
      </c>
      <c r="C72" s="5" t="inlineStr">
        <is>
          <t>region between joints</t>
        </is>
      </c>
      <c r="D72" s="5" t="inlineStr">
        <is>
          <t>band</t>
        </is>
      </c>
      <c r="E72" s="5" t="n">
        <v>3</v>
      </c>
      <c r="F72" s="5" t="inlineStr">
        <is>
          <t>grade_beam</t>
        </is>
      </c>
      <c r="G72" s="5" t="inlineStr">
        <is>
          <t>Grade beam LG40x15 4.51 × 0.40 m</t>
        </is>
      </c>
      <c r="H72" s="5" t="inlineStr">
        <is>
          <t>label vote</t>
        </is>
      </c>
      <c r="I72" s="5" t="inlineStr">
        <is>
          <t>LG40x15</t>
        </is>
      </c>
      <c r="J72" s="5" t="inlineStr">
        <is>
          <t>printed label</t>
        </is>
      </c>
      <c r="K72" s="5" t="inlineStr">
        <is>
          <t>LG-40x15</t>
        </is>
      </c>
      <c r="L72" s="5" t="n">
        <v>451</v>
      </c>
      <c r="M72" s="5" t="n">
        <v>40</v>
      </c>
      <c r="N72" s="10">
        <f>IF(AND(ISNUMBER(L72),M72&gt;0),L72/M72,"")</f>
        <v/>
      </c>
      <c r="O72" s="5" t="n">
        <v>1.804</v>
      </c>
      <c r="P72" s="5" t="n">
        <v>0</v>
      </c>
      <c r="Q72" s="5" t="n">
        <v>2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6</v>
      </c>
      <c r="X72" s="5" t="n">
        <v>1</v>
      </c>
      <c r="Y72" s="5" t="n">
        <v>2.96</v>
      </c>
      <c r="Z72" s="5" t="inlineStr"/>
      <c r="AA72" s="5" t="n">
        <v>4160.7</v>
      </c>
      <c r="AB72" s="5" t="n">
        <v>862.4</v>
      </c>
      <c r="AC72" s="5" t="n">
        <v>4293.9</v>
      </c>
      <c r="AD72" s="5" t="n">
        <v>874.3</v>
      </c>
      <c r="AE72" s="5" t="inlineStr"/>
      <c r="AF72" s="5">
        <f>IF(AE72="","",IF(OR(AE72=F72,AND(AE72="crane_footing",F72="isolated_footing")),"yes","no"))</f>
        <v/>
      </c>
    </row>
    <row r="73">
      <c r="A73" s="5" t="n">
        <v>72</v>
      </c>
      <c r="B73" s="5" t="inlineStr">
        <is>
          <t>120</t>
        </is>
      </c>
      <c r="C73" s="5" t="inlineStr">
        <is>
          <t>region between joints</t>
        </is>
      </c>
      <c r="D73" s="5" t="inlineStr">
        <is>
          <t>stamped_region</t>
        </is>
      </c>
      <c r="E73" s="5" t="n">
        <v>39</v>
      </c>
      <c r="F73" s="5" t="inlineStr">
        <is>
          <t>raft</t>
        </is>
      </c>
      <c r="G73" s="5" t="inlineStr">
        <is>
          <t>Raft Radier 110 6.92 × 5.25 m, 29.1 m²</t>
        </is>
      </c>
      <c r="H73" s="5" t="inlineStr">
        <is>
          <t>label vote</t>
        </is>
      </c>
      <c r="I73" s="5" t="inlineStr">
        <is>
          <t>Radier 110</t>
        </is>
      </c>
      <c r="J73" s="5" t="inlineStr">
        <is>
          <t>printed label</t>
        </is>
      </c>
      <c r="K73" s="5" t="inlineStr">
        <is>
          <t>Radier</t>
        </is>
      </c>
      <c r="L73" s="5" t="n">
        <v>692</v>
      </c>
      <c r="M73" s="5" t="n">
        <v>525</v>
      </c>
      <c r="N73" s="10">
        <f>IF(AND(ISNUMBER(L73),M73&gt;0),L73/M73,"")</f>
        <v/>
      </c>
      <c r="O73" s="5" t="n">
        <v>29.116</v>
      </c>
      <c r="P73" s="5" t="n">
        <v>0</v>
      </c>
      <c r="Q73" s="5" t="n">
        <v>3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2</v>
      </c>
      <c r="W73" s="5" t="n">
        <v>69</v>
      </c>
      <c r="X73" s="5" t="n">
        <v>2</v>
      </c>
      <c r="Y73" s="5" t="n"/>
      <c r="Z73" s="5" t="inlineStr">
        <is>
          <t>traced outline</t>
        </is>
      </c>
      <c r="AA73" s="5" t="n">
        <v>4484.3</v>
      </c>
      <c r="AB73" s="5" t="n">
        <v>413.4</v>
      </c>
      <c r="AC73" s="5" t="n">
        <v>4688.7</v>
      </c>
      <c r="AD73" s="5" t="n">
        <v>568.4</v>
      </c>
      <c r="AE73" s="5" t="inlineStr"/>
      <c r="AF73" s="5">
        <f>IF(AE73="","",IF(OR(AE73=F73,AND(AE73="crane_footing",F73="isolated_footing")),"yes","no"))</f>
        <v/>
      </c>
    </row>
    <row r="74">
      <c r="A74" s="5" t="n">
        <v>73</v>
      </c>
      <c r="B74" s="5" t="inlineStr">
        <is>
          <t>120</t>
        </is>
      </c>
      <c r="C74" s="5" t="inlineStr">
        <is>
          <t>region between joints</t>
        </is>
      </c>
      <c r="D74" s="5" t="inlineStr">
        <is>
          <t>stamped_region</t>
        </is>
      </c>
      <c r="E74" s="5" t="n">
        <v>39</v>
      </c>
      <c r="F74" s="5" t="inlineStr">
        <is>
          <t>raft</t>
        </is>
      </c>
      <c r="G74" s="5" t="inlineStr">
        <is>
          <t>Raft Radier 90 19.02 × 5.60 m, 98.1 m²</t>
        </is>
      </c>
      <c r="H74" s="5" t="inlineStr">
        <is>
          <t>label vote</t>
        </is>
      </c>
      <c r="I74" s="5" t="inlineStr">
        <is>
          <t>Radier 90</t>
        </is>
      </c>
      <c r="J74" s="5" t="inlineStr">
        <is>
          <t>printed label</t>
        </is>
      </c>
      <c r="K74" s="5" t="inlineStr">
        <is>
          <t>Radier</t>
        </is>
      </c>
      <c r="L74" s="5" t="n">
        <v>1902</v>
      </c>
      <c r="M74" s="5" t="n">
        <v>560</v>
      </c>
      <c r="N74" s="10">
        <f>IF(AND(ISNUMBER(L74),M74&gt;0),L74/M74,"")</f>
        <v/>
      </c>
      <c r="O74" s="5" t="n">
        <v>98.06999999999999</v>
      </c>
      <c r="P74" s="5" t="n">
        <v>0</v>
      </c>
      <c r="Q74" s="5" t="n">
        <v>14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13</v>
      </c>
      <c r="W74" s="5" t="n">
        <v>229</v>
      </c>
      <c r="X74" s="5" t="n">
        <v>2</v>
      </c>
      <c r="Y74" s="5" t="n"/>
      <c r="Z74" s="5" t="inlineStr">
        <is>
          <t>traced outline</t>
        </is>
      </c>
      <c r="AA74" s="5" t="n">
        <v>4486.5</v>
      </c>
      <c r="AB74" s="5" t="n">
        <v>733</v>
      </c>
      <c r="AC74" s="5" t="n">
        <v>5048.2</v>
      </c>
      <c r="AD74" s="5" t="n">
        <v>898.3</v>
      </c>
      <c r="AE74" s="5" t="inlineStr"/>
      <c r="AF74" s="5">
        <f>IF(AE74="","",IF(OR(AE74=F74,AND(AE74="crane_footing",F74="isolated_footing")),"yes","no"))</f>
        <v/>
      </c>
    </row>
    <row r="75">
      <c r="A75" s="5" t="n">
        <v>74</v>
      </c>
      <c r="B75" s="5" t="inlineStr">
        <is>
          <t>120</t>
        </is>
      </c>
      <c r="C75" s="5" t="inlineStr">
        <is>
          <t>region between joints</t>
        </is>
      </c>
      <c r="D75" s="5" t="inlineStr">
        <is>
          <t>single_hatch</t>
        </is>
      </c>
      <c r="E75" s="5" t="n">
        <v>24</v>
      </c>
      <c r="F75" s="5" t="inlineStr">
        <is>
          <t>unidentified</t>
        </is>
      </c>
      <c r="G75" s="5" t="inlineStr">
        <is>
          <t>C24</t>
        </is>
      </c>
      <c r="H75" s="5" t="inlineStr">
        <is>
          <t>no label votes</t>
        </is>
      </c>
      <c r="I75" s="5" t="inlineStr">
        <is>
          <t>(none)</t>
        </is>
      </c>
      <c r="J75" s="5" t="inlineStr"/>
      <c r="K75" s="5" t="inlineStr"/>
      <c r="L75" s="5" t="n">
        <v>79</v>
      </c>
      <c r="M75" s="5" t="n">
        <v>20</v>
      </c>
      <c r="N75" s="10">
        <f>IF(AND(ISNUMBER(L75),M75&gt;0),L75/M75,"")</f>
        <v/>
      </c>
      <c r="O75" s="5" t="n">
        <v>0.092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1</v>
      </c>
      <c r="X75" s="5" t="n">
        <v>0</v>
      </c>
      <c r="Y75" s="5" t="n"/>
      <c r="Z75" s="5" t="inlineStr"/>
      <c r="AA75" s="5" t="n">
        <v>4768.8</v>
      </c>
      <c r="AB75" s="5" t="n">
        <v>973.6</v>
      </c>
      <c r="AC75" s="5" t="n">
        <v>4792</v>
      </c>
      <c r="AD75" s="5" t="n">
        <v>979.5</v>
      </c>
      <c r="AE75" s="5" t="inlineStr"/>
      <c r="AF75" s="5">
        <f>IF(AE75="","",IF(OR(AE75=F75,AND(AE75="crane_footing",F75="isolated_footing")),"yes","no"))</f>
        <v/>
      </c>
    </row>
    <row r="76">
      <c r="A76" s="5" t="n">
        <v>75</v>
      </c>
      <c r="B76" s="5" t="inlineStr">
        <is>
          <t>120</t>
        </is>
      </c>
      <c r="C76" s="5" t="inlineStr">
        <is>
          <t>region between joints</t>
        </is>
      </c>
      <c r="D76" s="5" t="inlineStr">
        <is>
          <t>outline</t>
        </is>
      </c>
      <c r="E76" s="5" t="n">
        <v>20</v>
      </c>
      <c r="F76" s="5" t="inlineStr">
        <is>
          <t>unidentified</t>
        </is>
      </c>
      <c r="G76" s="5" t="inlineStr">
        <is>
          <t>C20</t>
        </is>
      </c>
      <c r="H76" s="5" t="inlineStr">
        <is>
          <t>no label votes</t>
        </is>
      </c>
      <c r="I76" s="5" t="inlineStr">
        <is>
          <t>(none)</t>
        </is>
      </c>
      <c r="J76" s="5" t="inlineStr"/>
      <c r="K76" s="5" t="inlineStr"/>
      <c r="L76" s="5" t="n">
        <v>60</v>
      </c>
      <c r="M76" s="5" t="n">
        <v>60</v>
      </c>
      <c r="N76" s="10">
        <f>IF(AND(ISNUMBER(L76),M76&gt;0),L76/M76,"")</f>
        <v/>
      </c>
      <c r="O76" s="5" t="n">
        <v>0.359</v>
      </c>
      <c r="P76" s="5" t="n">
        <v>90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53</v>
      </c>
      <c r="X76" s="5" t="n">
        <v>2</v>
      </c>
      <c r="Y76" s="5" t="n"/>
      <c r="Z76" s="5" t="inlineStr"/>
      <c r="AA76" s="5" t="n">
        <v>4291.2</v>
      </c>
      <c r="AB76" s="5" t="n">
        <v>508.2</v>
      </c>
      <c r="AC76" s="5" t="n">
        <v>4308.9</v>
      </c>
      <c r="AD76" s="5" t="n">
        <v>525.9</v>
      </c>
      <c r="AE76" s="5" t="inlineStr">
        <is>
          <t>mass_concrete_pad</t>
        </is>
      </c>
      <c r="AF76" s="5">
        <f>IF(AE76="","",IF(OR(AE76=F76,AND(AE76="crane_footing",F76="isolated_footing")),"yes","no"))</f>
        <v/>
      </c>
    </row>
    <row r="77">
      <c r="A77" s="5" t="n">
        <v>76</v>
      </c>
      <c r="B77" s="5" t="inlineStr">
        <is>
          <t>120</t>
        </is>
      </c>
      <c r="C77" s="5" t="inlineStr">
        <is>
          <t>region between joints</t>
        </is>
      </c>
      <c r="D77" s="5" t="inlineStr">
        <is>
          <t>outline</t>
        </is>
      </c>
      <c r="E77" s="5" t="n">
        <v>20</v>
      </c>
      <c r="F77" s="5" t="inlineStr">
        <is>
          <t>unidentified</t>
        </is>
      </c>
      <c r="G77" s="5" t="inlineStr">
        <is>
          <t>C20</t>
        </is>
      </c>
      <c r="H77" s="5" t="inlineStr">
        <is>
          <t>no label votes</t>
        </is>
      </c>
      <c r="I77" s="5" t="inlineStr">
        <is>
          <t>(none)</t>
        </is>
      </c>
      <c r="J77" s="5" t="inlineStr"/>
      <c r="K77" s="5" t="inlineStr"/>
      <c r="L77" s="5" t="n">
        <v>60</v>
      </c>
      <c r="M77" s="5" t="n">
        <v>60</v>
      </c>
      <c r="N77" s="10">
        <f>IF(AND(ISNUMBER(L77),M77&gt;0),L77/M77,"")</f>
        <v/>
      </c>
      <c r="O77" s="5" t="n">
        <v>0.359</v>
      </c>
      <c r="P77" s="5" t="n">
        <v>90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  <c r="W77" s="5" t="n">
        <v>54</v>
      </c>
      <c r="X77" s="5" t="n">
        <v>2</v>
      </c>
      <c r="Y77" s="5" t="n"/>
      <c r="Z77" s="5" t="inlineStr"/>
      <c r="AA77" s="5" t="n">
        <v>4290.9</v>
      </c>
      <c r="AB77" s="5" t="n">
        <v>966.5</v>
      </c>
      <c r="AC77" s="5" t="n">
        <v>4308.6</v>
      </c>
      <c r="AD77" s="5" t="n">
        <v>984.2</v>
      </c>
      <c r="AE77" s="5" t="inlineStr">
        <is>
          <t>mass_concrete_pad</t>
        </is>
      </c>
      <c r="AF77" s="5">
        <f>IF(AE77="","",IF(OR(AE77=F77,AND(AE77="crane_footing",F77="isolated_footing")),"yes","no"))</f>
        <v/>
      </c>
    </row>
    <row r="78">
      <c r="A78" s="5" t="n">
        <v>77</v>
      </c>
      <c r="B78" s="5" t="inlineStr">
        <is>
          <t>120</t>
        </is>
      </c>
      <c r="C78" s="5" t="inlineStr">
        <is>
          <t>nearest labels</t>
        </is>
      </c>
      <c r="D78" s="5" t="inlineStr">
        <is>
          <t>band</t>
        </is>
      </c>
      <c r="E78" s="5" t="n">
        <v>0</v>
      </c>
      <c r="F78" s="5" t="inlineStr">
        <is>
          <t>unidentified</t>
        </is>
      </c>
      <c r="G78" s="5" t="inlineStr">
        <is>
          <t>C0</t>
        </is>
      </c>
      <c r="H78" s="5" t="inlineStr">
        <is>
          <t>no label votes</t>
        </is>
      </c>
      <c r="I78" s="5" t="inlineStr">
        <is>
          <t>(none)</t>
        </is>
      </c>
      <c r="J78" s="5" t="inlineStr"/>
      <c r="K78" s="5" t="inlineStr"/>
      <c r="L78" s="5" t="n">
        <v>2121</v>
      </c>
      <c r="M78" s="5" t="n">
        <v>10</v>
      </c>
      <c r="N78" s="10">
        <f>IF(AND(ISNUMBER(L78),M78&gt;0),L78/M78,"")</f>
        <v/>
      </c>
      <c r="O78" s="5" t="n">
        <v>2.142</v>
      </c>
      <c r="P78" s="5" t="n">
        <v>180</v>
      </c>
      <c r="Q78" s="5" t="n">
        <v>9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8</v>
      </c>
      <c r="X78" s="5" t="n">
        <v>4</v>
      </c>
      <c r="Y78" s="5" t="n">
        <v>13.58</v>
      </c>
      <c r="Z78" s="5" t="inlineStr"/>
      <c r="AA78" s="5" t="n">
        <v>4145.2</v>
      </c>
      <c r="AB78" s="5" t="n">
        <v>1330.5</v>
      </c>
      <c r="AC78" s="5" t="n">
        <v>4771.5</v>
      </c>
      <c r="AD78" s="5" t="n">
        <v>1333.7</v>
      </c>
      <c r="AE78" s="5" t="inlineStr"/>
      <c r="AF78" s="5">
        <f>IF(AE78="","",IF(OR(AE78=F78,AND(AE78="crane_footing",F78="isolated_footing")),"yes","no"))</f>
        <v/>
      </c>
    </row>
    <row r="79">
      <c r="A79" s="5" t="n">
        <v>78</v>
      </c>
      <c r="B79" s="5" t="inlineStr">
        <is>
          <t>120</t>
        </is>
      </c>
      <c r="C79" s="5" t="inlineStr">
        <is>
          <t>region between joints</t>
        </is>
      </c>
      <c r="D79" s="5" t="inlineStr">
        <is>
          <t>band</t>
        </is>
      </c>
      <c r="E79" s="5" t="n">
        <v>2</v>
      </c>
      <c r="F79" s="5" t="inlineStr">
        <is>
          <t>unidentified</t>
        </is>
      </c>
      <c r="G79" s="5" t="inlineStr">
        <is>
          <t>C2</t>
        </is>
      </c>
      <c r="H79" s="5" t="inlineStr">
        <is>
          <t>no label votes</t>
        </is>
      </c>
      <c r="I79" s="5" t="inlineStr">
        <is>
          <t>(none)</t>
        </is>
      </c>
      <c r="J79" s="5" t="inlineStr"/>
      <c r="K79" s="5" t="inlineStr"/>
      <c r="L79" s="5" t="n">
        <v>123</v>
      </c>
      <c r="M79" s="5" t="n">
        <v>32</v>
      </c>
      <c r="N79" s="10">
        <f>IF(AND(ISNUMBER(L79),M79&gt;0),L79/M79,"")</f>
        <v/>
      </c>
      <c r="O79" s="5" t="n">
        <v>0.39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1</v>
      </c>
      <c r="X79" s="5" t="n">
        <v>2</v>
      </c>
      <c r="Y79" s="5" t="n">
        <v>0</v>
      </c>
      <c r="Z79" s="5" t="inlineStr"/>
      <c r="AA79" s="5" t="n">
        <v>4540</v>
      </c>
      <c r="AB79" s="5" t="n">
        <v>983.9</v>
      </c>
      <c r="AC79" s="5" t="n">
        <v>4576.2</v>
      </c>
      <c r="AD79" s="5" t="n">
        <v>993.3</v>
      </c>
      <c r="AE79" s="5" t="inlineStr"/>
      <c r="AF79" s="5">
        <f>IF(AE79="","",IF(OR(AE79=F79,AND(AE79="crane_footing",F79="isolated_footing")),"yes","no"))</f>
        <v/>
      </c>
    </row>
    <row r="80">
      <c r="A80" s="5" t="n">
        <v>79</v>
      </c>
      <c r="B80" s="5" t="inlineStr">
        <is>
          <t>120</t>
        </is>
      </c>
      <c r="C80" s="5" t="inlineStr">
        <is>
          <t>nearest labels</t>
        </is>
      </c>
      <c r="D80" s="5" t="inlineStr">
        <is>
          <t>band</t>
        </is>
      </c>
      <c r="E80" s="5" t="n">
        <v>6</v>
      </c>
      <c r="F80" s="5" t="inlineStr">
        <is>
          <t>unidentified</t>
        </is>
      </c>
      <c r="G80" s="5" t="inlineStr">
        <is>
          <t>C6</t>
        </is>
      </c>
      <c r="H80" s="5" t="inlineStr">
        <is>
          <t>no label votes</t>
        </is>
      </c>
      <c r="I80" s="5" t="inlineStr">
        <is>
          <t>(none)</t>
        </is>
      </c>
      <c r="J80" s="5" t="inlineStr"/>
      <c r="K80" s="5" t="inlineStr"/>
      <c r="L80" s="5" t="n">
        <v>5767</v>
      </c>
      <c r="M80" s="5" t="n">
        <v>83</v>
      </c>
      <c r="N80" s="10">
        <f>IF(AND(ISNUMBER(L80),M80&gt;0),L80/M80,"")</f>
        <v/>
      </c>
      <c r="O80" s="5" t="n">
        <v>47.867</v>
      </c>
      <c r="P80" s="5" t="n">
        <v>90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57.67</v>
      </c>
      <c r="Z80" s="5" t="inlineStr"/>
      <c r="AA80" s="5" t="n">
        <v>5201.9</v>
      </c>
      <c r="AB80" s="5" t="n">
        <v>356.2</v>
      </c>
      <c r="AC80" s="5" t="n">
        <v>5226.4</v>
      </c>
      <c r="AD80" s="5" t="n">
        <v>2059</v>
      </c>
      <c r="AE80" s="5" t="inlineStr"/>
      <c r="AF80" s="5">
        <f>IF(AE80="","",IF(OR(AE80=F80,AND(AE80="crane_footing",F80="isolated_footing")),"yes","no"))</f>
        <v/>
      </c>
    </row>
    <row r="81">
      <c r="A81" s="5" t="n">
        <v>80</v>
      </c>
      <c r="B81" s="5" t="inlineStr">
        <is>
          <t>121</t>
        </is>
      </c>
      <c r="C81" s="5" t="inlineStr">
        <is>
          <t>own label</t>
        </is>
      </c>
      <c r="D81" s="5" t="inlineStr">
        <is>
          <t>solid</t>
        </is>
      </c>
      <c r="E81" s="5" t="n">
        <v>25</v>
      </c>
      <c r="F81" s="5" t="inlineStr">
        <is>
          <t>column</t>
        </is>
      </c>
      <c r="G81" s="5" t="inlineStr">
        <is>
          <t>Column P2/121 1.00 × 0.25 m</t>
        </is>
      </c>
      <c r="H81" s="5" t="inlineStr">
        <is>
          <t>label vote</t>
        </is>
      </c>
      <c r="I81" s="5" t="inlineStr">
        <is>
          <t>P2/121</t>
        </is>
      </c>
      <c r="J81" s="5" t="inlineStr">
        <is>
          <t>printed label</t>
        </is>
      </c>
      <c r="K81" s="5" t="inlineStr">
        <is>
          <t>P2/121/121</t>
        </is>
      </c>
      <c r="L81" s="5" t="n">
        <v>100</v>
      </c>
      <c r="M81" s="5" t="n">
        <v>25</v>
      </c>
      <c r="N81" s="10">
        <f>IF(AND(ISNUMBER(L81),M81&gt;0),L81/M81,"")</f>
        <v/>
      </c>
      <c r="O81" s="5" t="n">
        <v>0.251</v>
      </c>
      <c r="P81" s="5" t="n">
        <v>179.8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2</v>
      </c>
      <c r="Y81" s="5" t="n"/>
      <c r="Z81" s="5" t="inlineStr"/>
      <c r="AA81" s="5" t="n">
        <v>4594.7</v>
      </c>
      <c r="AB81" s="5" t="n">
        <v>1612.9</v>
      </c>
      <c r="AC81" s="5" t="n">
        <v>4624.2</v>
      </c>
      <c r="AD81" s="5" t="n">
        <v>1620.4</v>
      </c>
      <c r="AE81" s="5" t="inlineStr">
        <is>
          <t>column</t>
        </is>
      </c>
      <c r="AF81" s="5">
        <f>IF(AE81="","",IF(OR(AE81=F81,AND(AE81="crane_footing",F81="isolated_footing")),"yes","no"))</f>
        <v/>
      </c>
    </row>
    <row r="82">
      <c r="A82" s="5" t="n">
        <v>81</v>
      </c>
      <c r="B82" s="5" t="inlineStr">
        <is>
          <t>121</t>
        </is>
      </c>
      <c r="C82" s="5" t="inlineStr">
        <is>
          <t>own label</t>
        </is>
      </c>
      <c r="D82" s="5" t="inlineStr">
        <is>
          <t>solid</t>
        </is>
      </c>
      <c r="E82" s="5" t="n">
        <v>25</v>
      </c>
      <c r="F82" s="5" t="inlineStr">
        <is>
          <t>column</t>
        </is>
      </c>
      <c r="G82" s="5" t="inlineStr">
        <is>
          <t>Column P2/121 1.00 × 0.25 m</t>
        </is>
      </c>
      <c r="H82" s="5" t="inlineStr">
        <is>
          <t>label vote</t>
        </is>
      </c>
      <c r="I82" s="5" t="inlineStr">
        <is>
          <t>P2/121</t>
        </is>
      </c>
      <c r="J82" s="5" t="inlineStr">
        <is>
          <t>printed label</t>
        </is>
      </c>
      <c r="K82" s="5" t="inlineStr">
        <is>
          <t>P2/121/121</t>
        </is>
      </c>
      <c r="L82" s="5" t="n">
        <v>100</v>
      </c>
      <c r="M82" s="5" t="n">
        <v>25</v>
      </c>
      <c r="N82" s="10">
        <f>IF(AND(ISNUMBER(L82),M82&gt;0),L82/M82,"")</f>
        <v/>
      </c>
      <c r="O82" s="5" t="n">
        <v>0.25</v>
      </c>
      <c r="P82" s="5" t="n">
        <v>179.9</v>
      </c>
      <c r="Q82" s="5" t="n">
        <v>0</v>
      </c>
      <c r="R82" s="5" t="n">
        <v>1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2</v>
      </c>
      <c r="Y82" s="5" t="n"/>
      <c r="Z82" s="5" t="inlineStr"/>
      <c r="AA82" s="5" t="n">
        <v>4594.5</v>
      </c>
      <c r="AB82" s="5" t="n">
        <v>1525.8</v>
      </c>
      <c r="AC82" s="5" t="n">
        <v>4624.1</v>
      </c>
      <c r="AD82" s="5" t="n">
        <v>1533.2</v>
      </c>
      <c r="AE82" s="5" t="inlineStr">
        <is>
          <t>column</t>
        </is>
      </c>
      <c r="AF82" s="5">
        <f>IF(AE82="","",IF(OR(AE82=F82,AND(AE82="crane_footing",F82="isolated_footing")),"yes","no"))</f>
        <v/>
      </c>
    </row>
    <row r="83">
      <c r="A83" s="5" t="n">
        <v>82</v>
      </c>
      <c r="B83" s="5" t="inlineStr">
        <is>
          <t>121</t>
        </is>
      </c>
      <c r="C83" s="5" t="inlineStr">
        <is>
          <t>own label</t>
        </is>
      </c>
      <c r="D83" s="5" t="inlineStr">
        <is>
          <t>solid</t>
        </is>
      </c>
      <c r="E83" s="5" t="n">
        <v>25</v>
      </c>
      <c r="F83" s="5" t="inlineStr">
        <is>
          <t>column</t>
        </is>
      </c>
      <c r="G83" s="5" t="inlineStr">
        <is>
          <t>Column P2/121 1.00 × 0.25 m</t>
        </is>
      </c>
      <c r="H83" s="5" t="inlineStr">
        <is>
          <t>label vote</t>
        </is>
      </c>
      <c r="I83" s="5" t="inlineStr">
        <is>
          <t>P2/121</t>
        </is>
      </c>
      <c r="J83" s="5" t="inlineStr">
        <is>
          <t>printed label</t>
        </is>
      </c>
      <c r="K83" s="5" t="inlineStr">
        <is>
          <t>P2/121/121</t>
        </is>
      </c>
      <c r="L83" s="5" t="n">
        <v>100</v>
      </c>
      <c r="M83" s="5" t="n">
        <v>25</v>
      </c>
      <c r="N83" s="10">
        <f>IF(AND(ISNUMBER(L83),M83&gt;0),L83/M83,"")</f>
        <v/>
      </c>
      <c r="O83" s="5" t="n">
        <v>0.25</v>
      </c>
      <c r="P83" s="5" t="n">
        <v>179.9</v>
      </c>
      <c r="Q83" s="5" t="n">
        <v>0</v>
      </c>
      <c r="R83" s="5" t="n">
        <v>0</v>
      </c>
      <c r="S83" s="5" t="n">
        <v>0</v>
      </c>
      <c r="T83" s="5" t="n">
        <v>1</v>
      </c>
      <c r="U83" s="5" t="n">
        <v>0</v>
      </c>
      <c r="V83" s="5" t="n">
        <v>0</v>
      </c>
      <c r="W83" s="5" t="n">
        <v>0</v>
      </c>
      <c r="X83" s="5" t="n">
        <v>0</v>
      </c>
      <c r="Y83" s="5" t="n"/>
      <c r="Z83" s="5" t="inlineStr"/>
      <c r="AA83" s="5" t="n">
        <v>4699.5</v>
      </c>
      <c r="AB83" s="5" t="n">
        <v>1612.7</v>
      </c>
      <c r="AC83" s="5" t="n">
        <v>4729.1</v>
      </c>
      <c r="AD83" s="5" t="n">
        <v>1620.1</v>
      </c>
      <c r="AE83" s="5" t="inlineStr">
        <is>
          <t>column</t>
        </is>
      </c>
      <c r="AF83" s="5">
        <f>IF(AE83="","",IF(OR(AE83=F83,AND(AE83="crane_footing",F83="isolated_footing")),"yes","no"))</f>
        <v/>
      </c>
    </row>
    <row r="84">
      <c r="A84" s="5" t="n">
        <v>83</v>
      </c>
      <c r="B84" s="5" t="inlineStr">
        <is>
          <t>121</t>
        </is>
      </c>
      <c r="C84" s="5" t="inlineStr">
        <is>
          <t>own label</t>
        </is>
      </c>
      <c r="D84" s="5" t="inlineStr">
        <is>
          <t>solid</t>
        </is>
      </c>
      <c r="E84" s="5" t="n">
        <v>25</v>
      </c>
      <c r="F84" s="5" t="inlineStr">
        <is>
          <t>column</t>
        </is>
      </c>
      <c r="G84" s="5" t="inlineStr">
        <is>
          <t>Column P2/121 1.00 × 0.25 m</t>
        </is>
      </c>
      <c r="H84" s="5" t="inlineStr">
        <is>
          <t>label vote</t>
        </is>
      </c>
      <c r="I84" s="5" t="inlineStr">
        <is>
          <t>P2/121</t>
        </is>
      </c>
      <c r="J84" s="5" t="inlineStr">
        <is>
          <t>printed label</t>
        </is>
      </c>
      <c r="K84" s="5" t="inlineStr">
        <is>
          <t>P2/121/121</t>
        </is>
      </c>
      <c r="L84" s="5" t="n">
        <v>100</v>
      </c>
      <c r="M84" s="5" t="n">
        <v>25</v>
      </c>
      <c r="N84" s="10">
        <f>IF(AND(ISNUMBER(L84),M84&gt;0),L84/M84,"")</f>
        <v/>
      </c>
      <c r="O84" s="5" t="n">
        <v>0.25</v>
      </c>
      <c r="P84" s="5" t="n">
        <v>179.9</v>
      </c>
      <c r="Q84" s="5" t="n">
        <v>0</v>
      </c>
      <c r="R84" s="5" t="n">
        <v>0</v>
      </c>
      <c r="S84" s="5" t="n">
        <v>0</v>
      </c>
      <c r="T84" s="5" t="n">
        <v>1</v>
      </c>
      <c r="U84" s="5" t="n">
        <v>0</v>
      </c>
      <c r="V84" s="5" t="n">
        <v>0</v>
      </c>
      <c r="W84" s="5" t="n">
        <v>0</v>
      </c>
      <c r="X84" s="5" t="n">
        <v>0</v>
      </c>
      <c r="Y84" s="5" t="n"/>
      <c r="Z84" s="5" t="inlineStr"/>
      <c r="AA84" s="5" t="n">
        <v>4699.3</v>
      </c>
      <c r="AB84" s="5" t="n">
        <v>1525.6</v>
      </c>
      <c r="AC84" s="5" t="n">
        <v>4728.9</v>
      </c>
      <c r="AD84" s="5" t="n">
        <v>1533</v>
      </c>
      <c r="AE84" s="5" t="inlineStr">
        <is>
          <t>column</t>
        </is>
      </c>
      <c r="AF84" s="5">
        <f>IF(AE84="","",IF(OR(AE84=F84,AND(AE84="crane_footing",F84="isolated_footing")),"yes","no"))</f>
        <v/>
      </c>
    </row>
    <row r="85">
      <c r="A85" s="5" t="n">
        <v>84</v>
      </c>
      <c r="B85" s="5" t="inlineStr">
        <is>
          <t>121</t>
        </is>
      </c>
      <c r="C85" s="5" t="inlineStr">
        <is>
          <t>own label</t>
        </is>
      </c>
      <c r="D85" s="5" t="inlineStr">
        <is>
          <t>solid</t>
        </is>
      </c>
      <c r="E85" s="5" t="n">
        <v>31</v>
      </c>
      <c r="F85" s="5" t="inlineStr">
        <is>
          <t>shear_wall</t>
        </is>
      </c>
      <c r="G85" s="5" t="inlineStr">
        <is>
          <t>Shear wall V1/121 2.00 × 0.25 m</t>
        </is>
      </c>
      <c r="H85" s="5" t="inlineStr">
        <is>
          <t>label vote</t>
        </is>
      </c>
      <c r="I85" s="5" t="inlineStr">
        <is>
          <t>V1/121</t>
        </is>
      </c>
      <c r="J85" s="5" t="inlineStr">
        <is>
          <t>printed label</t>
        </is>
      </c>
      <c r="K85" s="5" t="inlineStr">
        <is>
          <t>V1/121/121</t>
        </is>
      </c>
      <c r="L85" s="5" t="n">
        <v>200</v>
      </c>
      <c r="M85" s="5" t="n">
        <v>25</v>
      </c>
      <c r="N85" s="10">
        <f>IF(AND(ISNUMBER(L85),M85&gt;0),L85/M85,"")</f>
        <v/>
      </c>
      <c r="O85" s="5" t="n">
        <v>0.501</v>
      </c>
      <c r="P85" s="5" t="n">
        <v>179.9</v>
      </c>
      <c r="Q85" s="5" t="n">
        <v>0</v>
      </c>
      <c r="R85" s="5" t="n">
        <v>1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2</v>
      </c>
      <c r="X85" s="5" t="n">
        <v>2</v>
      </c>
      <c r="Y85" s="5" t="n"/>
      <c r="Z85" s="5" t="inlineStr"/>
      <c r="AA85" s="5" t="n">
        <v>4517.5</v>
      </c>
      <c r="AB85" s="5" t="n">
        <v>1772.5</v>
      </c>
      <c r="AC85" s="5" t="n">
        <v>4576.6</v>
      </c>
      <c r="AD85" s="5" t="n">
        <v>1780</v>
      </c>
      <c r="AE85" s="5" t="inlineStr">
        <is>
          <t>shear_wall</t>
        </is>
      </c>
      <c r="AF85" s="5">
        <f>IF(AE85="","",IF(OR(AE85=F85,AND(AE85="crane_footing",F85="isolated_footing")),"yes","no"))</f>
        <v/>
      </c>
    </row>
    <row r="86">
      <c r="A86" s="5" t="n">
        <v>85</v>
      </c>
      <c r="B86" s="5" t="inlineStr">
        <is>
          <t>121</t>
        </is>
      </c>
      <c r="C86" s="5" t="inlineStr">
        <is>
          <t>own label</t>
        </is>
      </c>
      <c r="D86" s="5" t="inlineStr">
        <is>
          <t>solid</t>
        </is>
      </c>
      <c r="E86" s="5" t="n">
        <v>31</v>
      </c>
      <c r="F86" s="5" t="inlineStr">
        <is>
          <t>shear_wall</t>
        </is>
      </c>
      <c r="G86" s="5" t="inlineStr">
        <is>
          <t>Shear wall V1/121 2.00 × 0.25 m</t>
        </is>
      </c>
      <c r="H86" s="5" t="inlineStr">
        <is>
          <t>label vote</t>
        </is>
      </c>
      <c r="I86" s="5" t="inlineStr">
        <is>
          <t>V1/121</t>
        </is>
      </c>
      <c r="J86" s="5" t="inlineStr">
        <is>
          <t>printed label</t>
        </is>
      </c>
      <c r="K86" s="5" t="inlineStr">
        <is>
          <t>V1/121/121</t>
        </is>
      </c>
      <c r="L86" s="5" t="n">
        <v>200</v>
      </c>
      <c r="M86" s="5" t="n">
        <v>25</v>
      </c>
      <c r="N86" s="10">
        <f>IF(AND(ISNUMBER(L86),M86&gt;0),L86/M86,"")</f>
        <v/>
      </c>
      <c r="O86" s="5" t="n">
        <v>0.5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2</v>
      </c>
      <c r="X86" s="5" t="n">
        <v>2</v>
      </c>
      <c r="Y86" s="5" t="n"/>
      <c r="Z86" s="5" t="inlineStr"/>
      <c r="AA86" s="5" t="n">
        <v>4517.3</v>
      </c>
      <c r="AB86" s="5" t="n">
        <v>1656</v>
      </c>
      <c r="AC86" s="5" t="n">
        <v>4576.3</v>
      </c>
      <c r="AD86" s="5" t="n">
        <v>1663.4</v>
      </c>
      <c r="AE86" s="5" t="inlineStr">
        <is>
          <t>shear_wall</t>
        </is>
      </c>
      <c r="AF86" s="5">
        <f>IF(AE86="","",IF(OR(AE86=F86,AND(AE86="crane_footing",F86="isolated_footing")),"yes","no"))</f>
        <v/>
      </c>
    </row>
    <row r="87">
      <c r="A87" s="5" t="n">
        <v>86</v>
      </c>
      <c r="B87" s="5" t="inlineStr">
        <is>
          <t>121</t>
        </is>
      </c>
      <c r="C87" s="5" t="inlineStr">
        <is>
          <t>own label</t>
        </is>
      </c>
      <c r="D87" s="5" t="inlineStr">
        <is>
          <t>solid</t>
        </is>
      </c>
      <c r="E87" s="5" t="n">
        <v>31</v>
      </c>
      <c r="F87" s="5" t="inlineStr">
        <is>
          <t>shear_wall</t>
        </is>
      </c>
      <c r="G87" s="5" t="inlineStr">
        <is>
          <t>Shear wall V1/121 2.00 × 0.25 m</t>
        </is>
      </c>
      <c r="H87" s="5" t="inlineStr">
        <is>
          <t>label vote</t>
        </is>
      </c>
      <c r="I87" s="5" t="inlineStr">
        <is>
          <t>V1/121</t>
        </is>
      </c>
      <c r="J87" s="5" t="inlineStr">
        <is>
          <t>printed label</t>
        </is>
      </c>
      <c r="K87" s="5" t="inlineStr">
        <is>
          <t>V1/121/121</t>
        </is>
      </c>
      <c r="L87" s="5" t="n">
        <v>200</v>
      </c>
      <c r="M87" s="5" t="n">
        <v>25</v>
      </c>
      <c r="N87" s="10">
        <f>IF(AND(ISNUMBER(L87),M87&gt;0),L87/M87,"")</f>
        <v/>
      </c>
      <c r="O87" s="5" t="n">
        <v>0.499</v>
      </c>
      <c r="P87" s="5" t="n">
        <v>0</v>
      </c>
      <c r="Q87" s="5" t="n">
        <v>0</v>
      </c>
      <c r="R87" s="5" t="n">
        <v>1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1</v>
      </c>
      <c r="X87" s="5" t="n">
        <v>3</v>
      </c>
      <c r="Y87" s="5" t="n"/>
      <c r="Z87" s="5" t="inlineStr"/>
      <c r="AA87" s="5" t="n">
        <v>4519.6</v>
      </c>
      <c r="AB87" s="5" t="n">
        <v>1333.5</v>
      </c>
      <c r="AC87" s="5" t="n">
        <v>4578.6</v>
      </c>
      <c r="AD87" s="5" t="n">
        <v>1340.9</v>
      </c>
      <c r="AE87" s="5" t="inlineStr">
        <is>
          <t>shear_wall</t>
        </is>
      </c>
      <c r="AF87" s="5">
        <f>IF(AE87="","",IF(OR(AE87=F87,AND(AE87="crane_footing",F87="isolated_footing")),"yes","no"))</f>
        <v/>
      </c>
    </row>
    <row r="88">
      <c r="A88" s="5" t="n">
        <v>87</v>
      </c>
      <c r="B88" s="5" t="inlineStr">
        <is>
          <t>121</t>
        </is>
      </c>
      <c r="C88" s="5" t="inlineStr">
        <is>
          <t>own label</t>
        </is>
      </c>
      <c r="D88" s="5" t="inlineStr">
        <is>
          <t>solid</t>
        </is>
      </c>
      <c r="E88" s="5" t="n">
        <v>33</v>
      </c>
      <c r="F88" s="5" t="inlineStr">
        <is>
          <t>shear_wall</t>
        </is>
      </c>
      <c r="G88" s="5" t="inlineStr">
        <is>
          <t>Shear wall V2/121 1.25 × 0.25 m</t>
        </is>
      </c>
      <c r="H88" s="5" t="inlineStr">
        <is>
          <t>label vote</t>
        </is>
      </c>
      <c r="I88" s="5" t="inlineStr">
        <is>
          <t>V2/121</t>
        </is>
      </c>
      <c r="J88" s="5" t="inlineStr">
        <is>
          <t>printed label</t>
        </is>
      </c>
      <c r="K88" s="5" t="inlineStr">
        <is>
          <t>V2/121/121</t>
        </is>
      </c>
      <c r="L88" s="5" t="n">
        <v>125</v>
      </c>
      <c r="M88" s="5" t="n">
        <v>25</v>
      </c>
      <c r="N88" s="10">
        <f>IF(AND(ISNUMBER(L88),M88&gt;0),L88/M88,"")</f>
        <v/>
      </c>
      <c r="O88" s="5" t="n">
        <v>0.312</v>
      </c>
      <c r="P88" s="5" t="n">
        <v>0</v>
      </c>
      <c r="Q88" s="5" t="n">
        <v>1</v>
      </c>
      <c r="R88" s="5" t="n">
        <v>1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2</v>
      </c>
      <c r="Y88" s="5" t="n"/>
      <c r="Z88" s="5" t="inlineStr"/>
      <c r="AA88" s="5" t="n">
        <v>4749.1</v>
      </c>
      <c r="AB88" s="5" t="n">
        <v>1333.5</v>
      </c>
      <c r="AC88" s="5" t="n">
        <v>4786.1</v>
      </c>
      <c r="AD88" s="5" t="n">
        <v>1340.9</v>
      </c>
      <c r="AE88" s="5" t="inlineStr"/>
      <c r="AF88" s="5">
        <f>IF(AE88="","",IF(OR(AE88=F88,AND(AE88="crane_footing",F88="isolated_footing")),"yes","no"))</f>
        <v/>
      </c>
    </row>
    <row r="89">
      <c r="A89" s="5" t="n">
        <v>88</v>
      </c>
      <c r="B89" s="5" t="inlineStr">
        <is>
          <t>121</t>
        </is>
      </c>
      <c r="C89" s="5" t="inlineStr">
        <is>
          <t>own label</t>
        </is>
      </c>
      <c r="D89" s="5" t="inlineStr">
        <is>
          <t>solid</t>
        </is>
      </c>
      <c r="E89" s="5" t="n">
        <v>37</v>
      </c>
      <c r="F89" s="5" t="inlineStr">
        <is>
          <t>shear_wall</t>
        </is>
      </c>
      <c r="G89" s="5" t="inlineStr">
        <is>
          <t>Shear wall V2/121 1.25 × 0.25 m</t>
        </is>
      </c>
      <c r="H89" s="5" t="inlineStr">
        <is>
          <t>similar to cluster 33 (distance 1.78)</t>
        </is>
      </c>
      <c r="I89" s="5" t="inlineStr">
        <is>
          <t>V2/121</t>
        </is>
      </c>
      <c r="J89" s="5" t="inlineStr">
        <is>
          <t>printed label</t>
        </is>
      </c>
      <c r="K89" s="5" t="inlineStr">
        <is>
          <t>V2/121/121</t>
        </is>
      </c>
      <c r="L89" s="5" t="n">
        <v>125</v>
      </c>
      <c r="M89" s="5" t="n">
        <v>25</v>
      </c>
      <c r="N89" s="10">
        <f>IF(AND(ISNUMBER(L89),M89&gt;0),L89/M89,"")</f>
        <v/>
      </c>
      <c r="O89" s="5" t="n">
        <v>0.312</v>
      </c>
      <c r="P89" s="5" t="n">
        <v>179.9</v>
      </c>
      <c r="Q89" s="5" t="n">
        <v>2</v>
      </c>
      <c r="R89" s="5" t="n">
        <v>1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1</v>
      </c>
      <c r="X89" s="5" t="n">
        <v>3</v>
      </c>
      <c r="Y89" s="5" t="n"/>
      <c r="Z89" s="5" t="inlineStr"/>
      <c r="AA89" s="5" t="n">
        <v>4750.8</v>
      </c>
      <c r="AB89" s="5" t="n">
        <v>2127.9</v>
      </c>
      <c r="AC89" s="5" t="n">
        <v>4787.7</v>
      </c>
      <c r="AD89" s="5" t="n">
        <v>2135.3</v>
      </c>
      <c r="AE89" s="5" t="inlineStr"/>
      <c r="AF89" s="5">
        <f>IF(AE89="","",IF(OR(AE89=F89,AND(AE89="crane_footing",F89="isolated_footing")),"yes","no"))</f>
        <v/>
      </c>
    </row>
    <row r="90">
      <c r="A90" s="5" t="n">
        <v>89</v>
      </c>
      <c r="B90" s="5" t="inlineStr">
        <is>
          <t>121</t>
        </is>
      </c>
      <c r="C90" s="5" t="inlineStr">
        <is>
          <t>own label</t>
        </is>
      </c>
      <c r="D90" s="5" t="inlineStr">
        <is>
          <t>solid</t>
        </is>
      </c>
      <c r="E90" s="5" t="n">
        <v>33</v>
      </c>
      <c r="F90" s="5" t="inlineStr">
        <is>
          <t>shear_wall</t>
        </is>
      </c>
      <c r="G90" s="5" t="inlineStr">
        <is>
          <t>Shear wall V2/121 1.25 × 0.25 m</t>
        </is>
      </c>
      <c r="H90" s="5" t="inlineStr">
        <is>
          <t>label vote</t>
        </is>
      </c>
      <c r="I90" s="5" t="inlineStr">
        <is>
          <t>V2/121</t>
        </is>
      </c>
      <c r="J90" s="5" t="inlineStr">
        <is>
          <t>printed label</t>
        </is>
      </c>
      <c r="K90" s="5" t="inlineStr">
        <is>
          <t>V2/121/121</t>
        </is>
      </c>
      <c r="L90" s="5" t="n">
        <v>125</v>
      </c>
      <c r="M90" s="5" t="n">
        <v>25</v>
      </c>
      <c r="N90" s="10">
        <f>IF(AND(ISNUMBER(L90),M90&gt;0),L90/M90,"")</f>
        <v/>
      </c>
      <c r="O90" s="5" t="n">
        <v>0.312</v>
      </c>
      <c r="P90" s="5" t="n">
        <v>179.9</v>
      </c>
      <c r="Q90" s="5" t="n">
        <v>1</v>
      </c>
      <c r="R90" s="5" t="n">
        <v>1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3</v>
      </c>
      <c r="X90" s="5" t="n">
        <v>5</v>
      </c>
      <c r="Y90" s="5" t="n"/>
      <c r="Z90" s="5" t="inlineStr"/>
      <c r="AA90" s="5" t="n">
        <v>4518.3</v>
      </c>
      <c r="AB90" s="5" t="n">
        <v>2128.4</v>
      </c>
      <c r="AC90" s="5" t="n">
        <v>4555.3</v>
      </c>
      <c r="AD90" s="5" t="n">
        <v>2135.8</v>
      </c>
      <c r="AE90" s="5" t="inlineStr"/>
      <c r="AF90" s="5">
        <f>IF(AE90="","",IF(OR(AE90=F90,AND(AE90="crane_footing",F90="isolated_footing")),"yes","no"))</f>
        <v/>
      </c>
    </row>
    <row r="91">
      <c r="A91" s="5" t="n">
        <v>90</v>
      </c>
      <c r="B91" s="5" t="inlineStr">
        <is>
          <t>121</t>
        </is>
      </c>
      <c r="C91" s="5" t="inlineStr">
        <is>
          <t>own label</t>
        </is>
      </c>
      <c r="D91" s="5" t="inlineStr">
        <is>
          <t>solid</t>
        </is>
      </c>
      <c r="E91" s="5" t="n">
        <v>31</v>
      </c>
      <c r="F91" s="5" t="inlineStr">
        <is>
          <t>shear_wall</t>
        </is>
      </c>
      <c r="G91" s="5" t="inlineStr">
        <is>
          <t>Shear wall V3/121 1.25 × 0.25 m</t>
        </is>
      </c>
      <c r="H91" s="5" t="inlineStr">
        <is>
          <t>label vote</t>
        </is>
      </c>
      <c r="I91" s="5" t="inlineStr">
        <is>
          <t>V3/121</t>
        </is>
      </c>
      <c r="J91" s="5" t="inlineStr">
        <is>
          <t>printed label</t>
        </is>
      </c>
      <c r="K91" s="5" t="inlineStr">
        <is>
          <t>V3/121/121</t>
        </is>
      </c>
      <c r="L91" s="5" t="n">
        <v>125</v>
      </c>
      <c r="M91" s="5" t="n">
        <v>25</v>
      </c>
      <c r="N91" s="10">
        <f>IF(AND(ISNUMBER(L91),M91&gt;0),L91/M91,"")</f>
        <v/>
      </c>
      <c r="O91" s="5" t="n">
        <v>0.314</v>
      </c>
      <c r="P91" s="5" t="n">
        <v>0</v>
      </c>
      <c r="Q91" s="5" t="n">
        <v>0</v>
      </c>
      <c r="R91" s="5" t="n">
        <v>1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3</v>
      </c>
      <c r="Y91" s="5" t="n"/>
      <c r="Z91" s="5" t="inlineStr"/>
      <c r="AA91" s="5" t="n">
        <v>4278</v>
      </c>
      <c r="AB91" s="5" t="n">
        <v>2128.9</v>
      </c>
      <c r="AC91" s="5" t="n">
        <v>4314.9</v>
      </c>
      <c r="AD91" s="5" t="n">
        <v>2136.4</v>
      </c>
      <c r="AE91" s="5" t="inlineStr">
        <is>
          <t>shear_wall</t>
        </is>
      </c>
      <c r="AF91" s="5">
        <f>IF(AE91="","",IF(OR(AE91=F91,AND(AE91="crane_footing",F91="isolated_footing")),"yes","no"))</f>
        <v/>
      </c>
    </row>
    <row r="92">
      <c r="A92" s="5" t="n">
        <v>91</v>
      </c>
      <c r="B92" s="5" t="inlineStr">
        <is>
          <t>121</t>
        </is>
      </c>
      <c r="C92" s="5" t="inlineStr">
        <is>
          <t>own label</t>
        </is>
      </c>
      <c r="D92" s="5" t="inlineStr">
        <is>
          <t>solid</t>
        </is>
      </c>
      <c r="E92" s="5" t="n">
        <v>31</v>
      </c>
      <c r="F92" s="5" t="inlineStr">
        <is>
          <t>shear_wall</t>
        </is>
      </c>
      <c r="G92" s="5" t="inlineStr">
        <is>
          <t>Shear wall V3/121 1.25 × 0.25 m</t>
        </is>
      </c>
      <c r="H92" s="5" t="inlineStr">
        <is>
          <t>label vote</t>
        </is>
      </c>
      <c r="I92" s="5" t="inlineStr">
        <is>
          <t>V3/121</t>
        </is>
      </c>
      <c r="J92" s="5" t="inlineStr">
        <is>
          <t>printed label</t>
        </is>
      </c>
      <c r="K92" s="5" t="inlineStr">
        <is>
          <t>V3/121/121</t>
        </is>
      </c>
      <c r="L92" s="5" t="n">
        <v>125</v>
      </c>
      <c r="M92" s="5" t="n">
        <v>25</v>
      </c>
      <c r="N92" s="10">
        <f>IF(AND(ISNUMBER(L92),M92&gt;0),L92/M92,"")</f>
        <v/>
      </c>
      <c r="O92" s="5" t="n">
        <v>0.313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1</v>
      </c>
      <c r="U92" s="5" t="n">
        <v>0</v>
      </c>
      <c r="V92" s="5" t="n">
        <v>0</v>
      </c>
      <c r="W92" s="5" t="n">
        <v>1</v>
      </c>
      <c r="X92" s="5" t="n">
        <v>2</v>
      </c>
      <c r="Y92" s="5" t="n"/>
      <c r="Z92" s="5" t="inlineStr"/>
      <c r="AA92" s="5" t="n">
        <v>4253.5</v>
      </c>
      <c r="AB92" s="5" t="n">
        <v>1333.6</v>
      </c>
      <c r="AC92" s="5" t="n">
        <v>4290.5</v>
      </c>
      <c r="AD92" s="5" t="n">
        <v>1341</v>
      </c>
      <c r="AE92" s="5" t="inlineStr">
        <is>
          <t>shear_wall</t>
        </is>
      </c>
      <c r="AF92" s="5">
        <f>IF(AE92="","",IF(OR(AE92=F92,AND(AE92="crane_footing",F92="isolated_footing")),"yes","no"))</f>
        <v/>
      </c>
    </row>
    <row r="93">
      <c r="A93" s="5" t="n">
        <v>92</v>
      </c>
      <c r="B93" s="5" t="inlineStr">
        <is>
          <t>121</t>
        </is>
      </c>
      <c r="C93" s="5" t="inlineStr">
        <is>
          <t>own label</t>
        </is>
      </c>
      <c r="D93" s="5" t="inlineStr">
        <is>
          <t>solid</t>
        </is>
      </c>
      <c r="E93" s="5" t="n">
        <v>31</v>
      </c>
      <c r="F93" s="5" t="inlineStr">
        <is>
          <t>shear_wall</t>
        </is>
      </c>
      <c r="G93" s="5" t="inlineStr">
        <is>
          <t>Shear wall V3/121 1.25 × 0.25 m</t>
        </is>
      </c>
      <c r="H93" s="5" t="inlineStr">
        <is>
          <t>label vote</t>
        </is>
      </c>
      <c r="I93" s="5" t="inlineStr">
        <is>
          <t>V3/121</t>
        </is>
      </c>
      <c r="J93" s="5" t="inlineStr">
        <is>
          <t>printed label</t>
        </is>
      </c>
      <c r="K93" s="5" t="inlineStr">
        <is>
          <t>V3/121/121</t>
        </is>
      </c>
      <c r="L93" s="5" t="n">
        <v>125</v>
      </c>
      <c r="M93" s="5" t="n">
        <v>25</v>
      </c>
      <c r="N93" s="10">
        <f>IF(AND(ISNUMBER(L93),M93&gt;0),L93/M93,"")</f>
        <v/>
      </c>
      <c r="O93" s="5" t="n">
        <v>0.308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1</v>
      </c>
      <c r="U93" s="5" t="n">
        <v>0</v>
      </c>
      <c r="V93" s="5" t="n">
        <v>0</v>
      </c>
      <c r="W93" s="5" t="n">
        <v>0</v>
      </c>
      <c r="X93" s="5" t="n">
        <v>2</v>
      </c>
      <c r="Y93" s="5" t="n"/>
      <c r="Z93" s="5" t="inlineStr"/>
      <c r="AA93" s="5" t="n">
        <v>4277.3</v>
      </c>
      <c r="AB93" s="5" t="n">
        <v>1560.9</v>
      </c>
      <c r="AC93" s="5" t="n">
        <v>4314.2</v>
      </c>
      <c r="AD93" s="5" t="n">
        <v>1568.2</v>
      </c>
      <c r="AE93" s="5" t="inlineStr">
        <is>
          <t>shear_wall</t>
        </is>
      </c>
      <c r="AF93" s="5">
        <f>IF(AE93="","",IF(OR(AE93=F93,AND(AE93="crane_footing",F93="isolated_footing")),"yes","no"))</f>
        <v/>
      </c>
    </row>
    <row r="94">
      <c r="A94" s="5" t="n">
        <v>93</v>
      </c>
      <c r="B94" s="5" t="inlineStr">
        <is>
          <t>121</t>
        </is>
      </c>
      <c r="C94" s="5" t="inlineStr">
        <is>
          <t>own label</t>
        </is>
      </c>
      <c r="D94" s="5" t="inlineStr">
        <is>
          <t>solid</t>
        </is>
      </c>
      <c r="E94" s="5" t="n">
        <v>31</v>
      </c>
      <c r="F94" s="5" t="inlineStr">
        <is>
          <t>shear_wall</t>
        </is>
      </c>
      <c r="G94" s="5" t="inlineStr">
        <is>
          <t>Shear wall V3/121 1.25 × 0.25 m</t>
        </is>
      </c>
      <c r="H94" s="5" t="inlineStr">
        <is>
          <t>label vote</t>
        </is>
      </c>
      <c r="I94" s="5" t="inlineStr">
        <is>
          <t>V3/121</t>
        </is>
      </c>
      <c r="J94" s="5" t="inlineStr">
        <is>
          <t>printed label</t>
        </is>
      </c>
      <c r="K94" s="5" t="inlineStr">
        <is>
          <t>V3/121/121</t>
        </is>
      </c>
      <c r="L94" s="5" t="n">
        <v>125</v>
      </c>
      <c r="M94" s="5" t="n">
        <v>25</v>
      </c>
      <c r="N94" s="10">
        <f>IF(AND(ISNUMBER(L94),M94&gt;0),L94/M94,"")</f>
        <v/>
      </c>
      <c r="O94" s="5" t="n">
        <v>0.307</v>
      </c>
      <c r="P94" s="5" t="n">
        <v>0</v>
      </c>
      <c r="Q94" s="5" t="n">
        <v>0</v>
      </c>
      <c r="R94" s="5" t="n">
        <v>1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1</v>
      </c>
      <c r="X94" s="5" t="n">
        <v>2</v>
      </c>
      <c r="Y94" s="5" t="n"/>
      <c r="Z94" s="5" t="inlineStr"/>
      <c r="AA94" s="5" t="n">
        <v>4277.9</v>
      </c>
      <c r="AB94" s="5" t="n">
        <v>2019.2</v>
      </c>
      <c r="AC94" s="5" t="n">
        <v>4314.8</v>
      </c>
      <c r="AD94" s="5" t="n">
        <v>2026.4</v>
      </c>
      <c r="AE94" s="5" t="inlineStr">
        <is>
          <t>shear_wall</t>
        </is>
      </c>
      <c r="AF94" s="5">
        <f>IF(AE94="","",IF(OR(AE94=F94,AND(AE94="crane_footing",F94="isolated_footing")),"yes","no"))</f>
        <v/>
      </c>
    </row>
    <row r="95">
      <c r="A95" s="5" t="n">
        <v>94</v>
      </c>
      <c r="B95" s="5" t="inlineStr">
        <is>
          <t>121</t>
        </is>
      </c>
      <c r="C95" s="5" t="inlineStr">
        <is>
          <t>own label</t>
        </is>
      </c>
      <c r="D95" s="5" t="inlineStr">
        <is>
          <t>solid</t>
        </is>
      </c>
      <c r="E95" s="5" t="n">
        <v>31</v>
      </c>
      <c r="F95" s="5" t="inlineStr">
        <is>
          <t>shear_wall</t>
        </is>
      </c>
      <c r="G95" s="5" t="inlineStr">
        <is>
          <t>Shear wall V3/121 1.25 × 0.25 m</t>
        </is>
      </c>
      <c r="H95" s="5" t="inlineStr">
        <is>
          <t>label vote</t>
        </is>
      </c>
      <c r="I95" s="5" t="inlineStr">
        <is>
          <t>V3/121</t>
        </is>
      </c>
      <c r="J95" s="5" t="inlineStr">
        <is>
          <t>printed label</t>
        </is>
      </c>
      <c r="K95" s="5" t="inlineStr">
        <is>
          <t>V3/121/121</t>
        </is>
      </c>
      <c r="L95" s="5" t="n">
        <v>125</v>
      </c>
      <c r="M95" s="5" t="n">
        <v>25</v>
      </c>
      <c r="N95" s="10">
        <f>IF(AND(ISNUMBER(L95),M95&gt;0),L95/M95,"")</f>
        <v/>
      </c>
      <c r="O95" s="5" t="n">
        <v>0.307</v>
      </c>
      <c r="P95" s="5" t="n">
        <v>0</v>
      </c>
      <c r="Q95" s="5" t="n">
        <v>0</v>
      </c>
      <c r="R95" s="5" t="n">
        <v>1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2</v>
      </c>
      <c r="Y95" s="5" t="n"/>
      <c r="Z95" s="5" t="inlineStr"/>
      <c r="AA95" s="5" t="n">
        <v>4277.6</v>
      </c>
      <c r="AB95" s="5" t="n">
        <v>1791</v>
      </c>
      <c r="AC95" s="5" t="n">
        <v>4314.5</v>
      </c>
      <c r="AD95" s="5" t="n">
        <v>1798.2</v>
      </c>
      <c r="AE95" s="5" t="inlineStr">
        <is>
          <t>shear_wall</t>
        </is>
      </c>
      <c r="AF95" s="5">
        <f>IF(AE95="","",IF(OR(AE95=F95,AND(AE95="crane_footing",F95="isolated_footing")),"yes","no"))</f>
        <v/>
      </c>
    </row>
    <row r="96">
      <c r="A96" s="5" t="n">
        <v>95</v>
      </c>
      <c r="B96" s="5" t="inlineStr">
        <is>
          <t>121</t>
        </is>
      </c>
      <c r="C96" s="5" t="inlineStr">
        <is>
          <t>own label</t>
        </is>
      </c>
      <c r="D96" s="5" t="inlineStr">
        <is>
          <t>solid</t>
        </is>
      </c>
      <c r="E96" s="5" t="n">
        <v>28</v>
      </c>
      <c r="F96" s="5" t="inlineStr">
        <is>
          <t>shear_wall</t>
        </is>
      </c>
      <c r="G96" s="5" t="inlineStr">
        <is>
          <t>Shear wall V6/121 2.50 × 0.25 m</t>
        </is>
      </c>
      <c r="H96" s="5" t="inlineStr">
        <is>
          <t>similar to cluster 33 (distance 3.55)</t>
        </is>
      </c>
      <c r="I96" s="5" t="inlineStr">
        <is>
          <t>V6/121</t>
        </is>
      </c>
      <c r="J96" s="5" t="inlineStr">
        <is>
          <t>printed label</t>
        </is>
      </c>
      <c r="K96" s="5" t="inlineStr">
        <is>
          <t>V6/121/121</t>
        </is>
      </c>
      <c r="L96" s="5" t="n">
        <v>250</v>
      </c>
      <c r="M96" s="5" t="n">
        <v>25</v>
      </c>
      <c r="N96" s="10">
        <f>IF(AND(ISNUMBER(L96),M96&gt;0),L96/M96,"")</f>
        <v/>
      </c>
      <c r="O96" s="5" t="n">
        <v>0.624</v>
      </c>
      <c r="P96" s="5" t="n">
        <v>89.90000000000001</v>
      </c>
      <c r="Q96" s="5" t="n">
        <v>2</v>
      </c>
      <c r="R96" s="5" t="n">
        <v>1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1</v>
      </c>
      <c r="X96" s="5" t="n">
        <v>1</v>
      </c>
      <c r="Y96" s="5" t="n"/>
      <c r="Z96" s="5" t="inlineStr"/>
      <c r="AA96" s="5" t="n">
        <v>4764.7</v>
      </c>
      <c r="AB96" s="5" t="n">
        <v>1707.2</v>
      </c>
      <c r="AC96" s="5" t="n">
        <v>4772.2</v>
      </c>
      <c r="AD96" s="5" t="n">
        <v>1781</v>
      </c>
      <c r="AE96" s="5" t="inlineStr"/>
      <c r="AF96" s="5">
        <f>IF(AE96="","",IF(OR(AE96=F96,AND(AE96="crane_footing",F96="isolated_footing")),"yes","no"))</f>
        <v/>
      </c>
    </row>
    <row r="97">
      <c r="A97" s="5" t="n">
        <v>96</v>
      </c>
      <c r="B97" s="5" t="inlineStr">
        <is>
          <t>121</t>
        </is>
      </c>
      <c r="C97" s="5" t="inlineStr">
        <is>
          <t>own label</t>
        </is>
      </c>
      <c r="D97" s="5" t="inlineStr">
        <is>
          <t>solid</t>
        </is>
      </c>
      <c r="E97" s="5" t="n">
        <v>31</v>
      </c>
      <c r="F97" s="5" t="inlineStr">
        <is>
          <t>shear_wall</t>
        </is>
      </c>
      <c r="G97" s="5" t="inlineStr">
        <is>
          <t>Shear wall V8/121 2.50 × 0.25 m</t>
        </is>
      </c>
      <c r="H97" s="5" t="inlineStr">
        <is>
          <t>its own label (the cluster's class was only a guess)</t>
        </is>
      </c>
      <c r="I97" s="5" t="inlineStr">
        <is>
          <t>V8/121</t>
        </is>
      </c>
      <c r="J97" s="5" t="inlineStr">
        <is>
          <t>printed label</t>
        </is>
      </c>
      <c r="K97" s="5" t="inlineStr">
        <is>
          <t>V8/121/121</t>
        </is>
      </c>
      <c r="L97" s="5" t="n">
        <v>250</v>
      </c>
      <c r="M97" s="5" t="n">
        <v>25</v>
      </c>
      <c r="N97" s="10">
        <f>IF(AND(ISNUMBER(L97),M97&gt;0),L97/M97,"")</f>
        <v/>
      </c>
      <c r="O97" s="5" t="n">
        <v>0.622</v>
      </c>
      <c r="P97" s="5" t="n">
        <v>179.9</v>
      </c>
      <c r="Q97" s="5" t="n">
        <v>0</v>
      </c>
      <c r="R97" s="5" t="n">
        <v>1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4</v>
      </c>
      <c r="X97" s="5" t="n">
        <v>2</v>
      </c>
      <c r="Y97" s="5" t="n"/>
      <c r="Z97" s="5" t="inlineStr"/>
      <c r="AA97" s="5" t="n">
        <v>4517.9</v>
      </c>
      <c r="AB97" s="5" t="n">
        <v>1940.7</v>
      </c>
      <c r="AC97" s="5" t="n">
        <v>4591.7</v>
      </c>
      <c r="AD97" s="5" t="n">
        <v>1948.3</v>
      </c>
      <c r="AE97" s="5" t="inlineStr">
        <is>
          <t>shear_wall</t>
        </is>
      </c>
      <c r="AF97" s="5">
        <f>IF(AE97="","",IF(OR(AE97=F97,AND(AE97="crane_footing",F97="isolated_footing")),"yes","no"))</f>
        <v/>
      </c>
    </row>
    <row r="98">
      <c r="A98" s="5" t="n">
        <v>97</v>
      </c>
      <c r="B98" s="5" t="inlineStr">
        <is>
          <t>121</t>
        </is>
      </c>
      <c r="C98" s="5" t="inlineStr">
        <is>
          <t>own label</t>
        </is>
      </c>
      <c r="D98" s="5" t="inlineStr">
        <is>
          <t>solid</t>
        </is>
      </c>
      <c r="E98" s="5" t="n">
        <v>29</v>
      </c>
      <c r="F98" s="5" t="inlineStr">
        <is>
          <t>shear_wall</t>
        </is>
      </c>
      <c r="G98" s="5" t="inlineStr">
        <is>
          <t>Shear wall V9/121 2.00 × 0.25 m</t>
        </is>
      </c>
      <c r="H98" s="5" t="inlineStr">
        <is>
          <t>label vote</t>
        </is>
      </c>
      <c r="I98" s="5" t="inlineStr">
        <is>
          <t>V9/121</t>
        </is>
      </c>
      <c r="J98" s="5" t="inlineStr">
        <is>
          <t>printed label</t>
        </is>
      </c>
      <c r="K98" s="5" t="inlineStr">
        <is>
          <t>V9/121/121</t>
        </is>
      </c>
      <c r="L98" s="5" t="n">
        <v>200</v>
      </c>
      <c r="M98" s="5" t="n">
        <v>25</v>
      </c>
      <c r="N98" s="10">
        <f>IF(AND(ISNUMBER(L98),M98&gt;0),L98/M98,"")</f>
        <v/>
      </c>
      <c r="O98" s="5" t="n">
        <v>0.501</v>
      </c>
      <c r="P98" s="5" t="n">
        <v>179.9</v>
      </c>
      <c r="Q98" s="5" t="n">
        <v>2</v>
      </c>
      <c r="R98" s="5" t="n">
        <v>1</v>
      </c>
      <c r="S98" s="5" t="n">
        <v>0</v>
      </c>
      <c r="T98" s="5" t="n">
        <v>0</v>
      </c>
      <c r="U98" s="5" t="n">
        <v>1</v>
      </c>
      <c r="V98" s="5" t="n">
        <v>0</v>
      </c>
      <c r="W98" s="5" t="n">
        <v>2</v>
      </c>
      <c r="X98" s="5" t="n">
        <v>0</v>
      </c>
      <c r="Y98" s="5" t="n"/>
      <c r="Z98" s="5" t="inlineStr"/>
      <c r="AA98" s="5" t="n">
        <v>4960.4</v>
      </c>
      <c r="AB98" s="5" t="n">
        <v>1771.5</v>
      </c>
      <c r="AC98" s="5" t="n">
        <v>5019.5</v>
      </c>
      <c r="AD98" s="5" t="n">
        <v>1779</v>
      </c>
      <c r="AE98" s="5" t="inlineStr"/>
      <c r="AF98" s="5">
        <f>IF(AE98="","",IF(OR(AE98=F98,AND(AE98="crane_footing",F98="isolated_footing")),"yes","no"))</f>
        <v/>
      </c>
    </row>
    <row r="99">
      <c r="A99" s="5" t="n">
        <v>98</v>
      </c>
      <c r="B99" s="5" t="inlineStr">
        <is>
          <t>121</t>
        </is>
      </c>
      <c r="C99" s="5" t="inlineStr">
        <is>
          <t>region between joints</t>
        </is>
      </c>
      <c r="D99" s="5" t="inlineStr">
        <is>
          <t>solid</t>
        </is>
      </c>
      <c r="E99" s="5" t="n">
        <v>34</v>
      </c>
      <c r="F99" s="5" t="inlineStr">
        <is>
          <t>core_wall</t>
        </is>
      </c>
      <c r="G99" s="5" t="inlineStr">
        <is>
          <t>Core wall 6.63 × 0.20 m</t>
        </is>
      </c>
      <c r="H99" s="5" t="inlineStr">
        <is>
          <t>rule: unlabelled interior wall, no V type of its size</t>
        </is>
      </c>
      <c r="I99" s="5" t="inlineStr">
        <is>
          <t>(none)</t>
        </is>
      </c>
      <c r="J99" s="5" t="inlineStr">
        <is>
          <t>no shear_wall type in its building has this size</t>
        </is>
      </c>
      <c r="K99" s="5" t="inlineStr"/>
      <c r="L99" s="5" t="n">
        <v>663</v>
      </c>
      <c r="M99" s="5" t="n">
        <v>20</v>
      </c>
      <c r="N99" s="10">
        <f>IF(AND(ISNUMBER(L99),M99&gt;0),L99/M99,"")</f>
        <v/>
      </c>
      <c r="O99" s="5" t="n">
        <v>1.324</v>
      </c>
      <c r="P99" s="5" t="n">
        <v>179.9</v>
      </c>
      <c r="Q99" s="5" t="n">
        <v>2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11</v>
      </c>
      <c r="X99" s="5" t="n">
        <v>20</v>
      </c>
      <c r="Y99" s="5" t="n"/>
      <c r="Z99" s="5" t="inlineStr"/>
      <c r="AA99" s="5" t="n">
        <v>4555.3</v>
      </c>
      <c r="AB99" s="5" t="n">
        <v>2129.4</v>
      </c>
      <c r="AC99" s="5" t="n">
        <v>4750.9</v>
      </c>
      <c r="AD99" s="5" t="n">
        <v>2135.7</v>
      </c>
      <c r="AE99" s="5" t="inlineStr"/>
      <c r="AF99" s="5">
        <f>IF(AE99="","",IF(OR(AE99=F99,AND(AE99="crane_footing",F99="isolated_footing")),"yes","no"))</f>
        <v/>
      </c>
    </row>
    <row r="100">
      <c r="A100" s="5" t="n">
        <v>99</v>
      </c>
      <c r="B100" s="5" t="inlineStr">
        <is>
          <t>121</t>
        </is>
      </c>
      <c r="C100" s="5" t="inlineStr">
        <is>
          <t>region between joints</t>
        </is>
      </c>
      <c r="D100" s="5" t="inlineStr">
        <is>
          <t>solid</t>
        </is>
      </c>
      <c r="E100" s="5" t="n">
        <v>33</v>
      </c>
      <c r="F100" s="5" t="inlineStr">
        <is>
          <t>core_wall</t>
        </is>
      </c>
      <c r="G100" s="5" t="inlineStr">
        <is>
          <t>Core wall 3.42 × 0.25 m</t>
        </is>
      </c>
      <c r="H100" s="5" t="inlineStr">
        <is>
          <t>rule: unlabelled interior wall, no V type of its size</t>
        </is>
      </c>
      <c r="I100" s="5" t="inlineStr">
        <is>
          <t>(none)</t>
        </is>
      </c>
      <c r="J100" s="5" t="inlineStr"/>
      <c r="K100" s="5" t="inlineStr"/>
      <c r="L100" s="5" t="n">
        <v>342</v>
      </c>
      <c r="M100" s="5" t="n">
        <v>25</v>
      </c>
      <c r="N100" s="10">
        <f>IF(AND(ISNUMBER(L100),M100&gt;0),L100/M100,"")</f>
        <v/>
      </c>
      <c r="O100" s="5" t="n">
        <v>0.86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1</v>
      </c>
      <c r="U100" s="5" t="n">
        <v>0</v>
      </c>
      <c r="V100" s="5" t="n">
        <v>0</v>
      </c>
      <c r="W100" s="5" t="n">
        <v>2</v>
      </c>
      <c r="X100" s="5" t="n">
        <v>0</v>
      </c>
      <c r="Y100" s="5" t="n"/>
      <c r="Z100" s="5" t="inlineStr"/>
      <c r="AA100" s="5" t="n">
        <v>4910.8</v>
      </c>
      <c r="AB100" s="5" t="n">
        <v>1612</v>
      </c>
      <c r="AC100" s="5" t="n">
        <v>5011.7</v>
      </c>
      <c r="AD100" s="5" t="n">
        <v>1619.5</v>
      </c>
      <c r="AE100" s="5" t="inlineStr"/>
      <c r="AF100" s="5">
        <f>IF(AE100="","",IF(OR(AE100=F100,AND(AE100="crane_footing",F100="isolated_footing")),"yes","no"))</f>
        <v/>
      </c>
    </row>
    <row r="101">
      <c r="A101" s="5" t="n">
        <v>100</v>
      </c>
      <c r="B101" s="5" t="inlineStr">
        <is>
          <t>121</t>
        </is>
      </c>
      <c r="C101" s="5" t="inlineStr">
        <is>
          <t>region between joints</t>
        </is>
      </c>
      <c r="D101" s="5" t="inlineStr">
        <is>
          <t>solid</t>
        </is>
      </c>
      <c r="E101" s="5" t="n">
        <v>28</v>
      </c>
      <c r="F101" s="5" t="inlineStr">
        <is>
          <t>core_wall</t>
        </is>
      </c>
      <c r="G101" s="5" t="inlineStr">
        <is>
          <t>Core wall 3.37 × 0.25 m</t>
        </is>
      </c>
      <c r="H101" s="5" t="inlineStr">
        <is>
          <t>rule: unlabelled interior wall, no V type of its size</t>
        </is>
      </c>
      <c r="I101" s="5" t="inlineStr">
        <is>
          <t>(none)</t>
        </is>
      </c>
      <c r="J101" s="5" t="inlineStr">
        <is>
          <t>no shear_wall type in its building has this size</t>
        </is>
      </c>
      <c r="K101" s="5" t="inlineStr"/>
      <c r="L101" s="5" t="n">
        <v>337</v>
      </c>
      <c r="M101" s="5" t="n">
        <v>25</v>
      </c>
      <c r="N101" s="10">
        <f>IF(AND(ISNUMBER(L101),M101&gt;0),L101/M101,"")</f>
        <v/>
      </c>
      <c r="O101" s="5" t="n">
        <v>0.852</v>
      </c>
      <c r="P101" s="5" t="n">
        <v>179.9</v>
      </c>
      <c r="Q101" s="5" t="n">
        <v>2</v>
      </c>
      <c r="R101" s="5" t="n">
        <v>0</v>
      </c>
      <c r="S101" s="5" t="n">
        <v>0</v>
      </c>
      <c r="T101" s="5" t="n">
        <v>1</v>
      </c>
      <c r="U101" s="5" t="n">
        <v>0</v>
      </c>
      <c r="V101" s="5" t="n">
        <v>0</v>
      </c>
      <c r="W101" s="5" t="n">
        <v>2</v>
      </c>
      <c r="X101" s="5" t="n">
        <v>0</v>
      </c>
      <c r="Y101" s="5" t="n"/>
      <c r="Z101" s="5" t="inlineStr"/>
      <c r="AA101" s="5" t="n">
        <v>4771.8</v>
      </c>
      <c r="AB101" s="5" t="n">
        <v>1525.3</v>
      </c>
      <c r="AC101" s="5" t="n">
        <v>4871.2</v>
      </c>
      <c r="AD101" s="5" t="n">
        <v>1532.9</v>
      </c>
      <c r="AE101" s="5" t="inlineStr"/>
      <c r="AF101" s="5">
        <f>IF(AE101="","",IF(OR(AE101=F101,AND(AE101="crane_footing",F101="isolated_footing")),"yes","no"))</f>
        <v/>
      </c>
    </row>
    <row r="102">
      <c r="A102" s="5" t="n">
        <v>101</v>
      </c>
      <c r="B102" s="5" t="inlineStr">
        <is>
          <t>121</t>
        </is>
      </c>
      <c r="C102" s="5" t="inlineStr">
        <is>
          <t>region between joints</t>
        </is>
      </c>
      <c r="D102" s="5" t="inlineStr">
        <is>
          <t>solid</t>
        </is>
      </c>
      <c r="E102" s="5" t="n">
        <v>28</v>
      </c>
      <c r="F102" s="5" t="inlineStr">
        <is>
          <t>core_wall</t>
        </is>
      </c>
      <c r="G102" s="5" t="inlineStr">
        <is>
          <t>Core wall 2.95 × 0.25 m</t>
        </is>
      </c>
      <c r="H102" s="5" t="inlineStr">
        <is>
          <t>rule: unlabelled interior wall, no V type of its size</t>
        </is>
      </c>
      <c r="I102" s="5" t="inlineStr">
        <is>
          <t>(none)</t>
        </is>
      </c>
      <c r="J102" s="5" t="inlineStr">
        <is>
          <t>no shear_wall type in its building has this size</t>
        </is>
      </c>
      <c r="K102" s="5" t="inlineStr"/>
      <c r="L102" s="5" t="n">
        <v>295</v>
      </c>
      <c r="M102" s="5" t="n">
        <v>25</v>
      </c>
      <c r="N102" s="10">
        <f>IF(AND(ISNUMBER(L102),M102&gt;0),L102/M102,"")</f>
        <v/>
      </c>
      <c r="O102" s="5" t="n">
        <v>0.751</v>
      </c>
      <c r="P102" s="5" t="n">
        <v>89.8</v>
      </c>
      <c r="Q102" s="5" t="n">
        <v>2</v>
      </c>
      <c r="R102" s="5" t="n">
        <v>0</v>
      </c>
      <c r="S102" s="5" t="n">
        <v>0</v>
      </c>
      <c r="T102" s="5" t="n">
        <v>1</v>
      </c>
      <c r="U102" s="5" t="n">
        <v>0</v>
      </c>
      <c r="V102" s="5" t="n">
        <v>0</v>
      </c>
      <c r="W102" s="5" t="n">
        <v>2</v>
      </c>
      <c r="X102" s="5" t="n">
        <v>0</v>
      </c>
      <c r="Y102" s="5" t="n"/>
      <c r="Z102" s="5" t="inlineStr"/>
      <c r="AA102" s="5" t="n">
        <v>4871.2</v>
      </c>
      <c r="AB102" s="5" t="n">
        <v>1532.7</v>
      </c>
      <c r="AC102" s="5" t="n">
        <v>4879.1</v>
      </c>
      <c r="AD102" s="5" t="n">
        <v>1619.8</v>
      </c>
      <c r="AE102" s="5" t="inlineStr"/>
      <c r="AF102" s="5">
        <f>IF(AE102="","",IF(OR(AE102=F102,AND(AE102="crane_footing",F102="isolated_footing")),"yes","no"))</f>
        <v/>
      </c>
    </row>
    <row r="103">
      <c r="A103" s="5" t="n">
        <v>102</v>
      </c>
      <c r="B103" s="5" t="inlineStr">
        <is>
          <t>121</t>
        </is>
      </c>
      <c r="C103" s="5" t="inlineStr">
        <is>
          <t>region between joints</t>
        </is>
      </c>
      <c r="D103" s="5" t="inlineStr">
        <is>
          <t>solid</t>
        </is>
      </c>
      <c r="E103" s="5" t="n">
        <v>26</v>
      </c>
      <c r="F103" s="5" t="inlineStr">
        <is>
          <t>core_wall</t>
        </is>
      </c>
      <c r="G103" s="5" t="inlineStr">
        <is>
          <t>Core wall 1.75 × 0.25 m</t>
        </is>
      </c>
      <c r="H103" s="5" t="inlineStr">
        <is>
          <t>rule: unlabelled interior wall, no V type of its size</t>
        </is>
      </c>
      <c r="I103" s="5" t="inlineStr">
        <is>
          <t>(none)</t>
        </is>
      </c>
      <c r="J103" s="5" t="inlineStr"/>
      <c r="K103" s="5" t="inlineStr"/>
      <c r="L103" s="5" t="n">
        <v>175</v>
      </c>
      <c r="M103" s="5" t="n">
        <v>25</v>
      </c>
      <c r="N103" s="10">
        <f>IF(AND(ISNUMBER(L103),M103&gt;0),L103/M103,"")</f>
        <v/>
      </c>
      <c r="O103" s="5" t="n">
        <v>0.445</v>
      </c>
      <c r="P103" s="5" t="n">
        <v>89.90000000000001</v>
      </c>
      <c r="Q103" s="5" t="n">
        <v>1</v>
      </c>
      <c r="R103" s="5" t="n">
        <v>0</v>
      </c>
      <c r="S103" s="5" t="n">
        <v>0</v>
      </c>
      <c r="T103" s="5" t="n">
        <v>1</v>
      </c>
      <c r="U103" s="5" t="n">
        <v>0</v>
      </c>
      <c r="V103" s="5" t="n">
        <v>0</v>
      </c>
      <c r="W103" s="5" t="n">
        <v>1</v>
      </c>
      <c r="X103" s="5" t="n">
        <v>0</v>
      </c>
      <c r="Y103" s="5" t="n"/>
      <c r="Z103" s="5" t="inlineStr"/>
      <c r="AA103" s="5" t="n">
        <v>4764.3</v>
      </c>
      <c r="AB103" s="5" t="n">
        <v>1532.9</v>
      </c>
      <c r="AC103" s="5" t="n">
        <v>4771.9</v>
      </c>
      <c r="AD103" s="5" t="n">
        <v>1584.5</v>
      </c>
      <c r="AE103" s="5" t="inlineStr"/>
      <c r="AF103" s="5">
        <f>IF(AE103="","",IF(OR(AE103=F103,AND(AE103="crane_footing",F103="isolated_footing")),"yes","no"))</f>
        <v/>
      </c>
    </row>
    <row r="104">
      <c r="A104" s="5" t="n">
        <v>103</v>
      </c>
      <c r="B104" s="5" t="inlineStr">
        <is>
          <t>121</t>
        </is>
      </c>
      <c r="C104" s="5" t="inlineStr">
        <is>
          <t>region between joints</t>
        </is>
      </c>
      <c r="D104" s="5" t="inlineStr">
        <is>
          <t>solid</t>
        </is>
      </c>
      <c r="E104" s="5" t="n">
        <v>28</v>
      </c>
      <c r="F104" s="5" t="inlineStr">
        <is>
          <t>core_wall</t>
        </is>
      </c>
      <c r="G104" s="5" t="inlineStr">
        <is>
          <t>Core wall 1.50 × 0.20 m</t>
        </is>
      </c>
      <c r="H104" s="5" t="inlineStr">
        <is>
          <t>rule: unlabelled interior wall, no V type of its size</t>
        </is>
      </c>
      <c r="I104" s="5" t="inlineStr">
        <is>
          <t>(none)</t>
        </is>
      </c>
      <c r="J104" s="5" t="inlineStr">
        <is>
          <t>no shear_wall type in its building has this size</t>
        </is>
      </c>
      <c r="K104" s="5" t="inlineStr"/>
      <c r="L104" s="5" t="n">
        <v>150</v>
      </c>
      <c r="M104" s="5" t="n">
        <v>20</v>
      </c>
      <c r="N104" s="10">
        <f>IF(AND(ISNUMBER(L104),M104&gt;0),L104/M104,"")</f>
        <v/>
      </c>
      <c r="O104" s="5" t="n">
        <v>0.302</v>
      </c>
      <c r="P104" s="5" t="n">
        <v>0.1</v>
      </c>
      <c r="Q104" s="5" t="n">
        <v>2</v>
      </c>
      <c r="R104" s="5" t="n">
        <v>1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/>
      <c r="Z104" s="5" t="inlineStr"/>
      <c r="AA104" s="5" t="n">
        <v>4722.1</v>
      </c>
      <c r="AB104" s="5" t="n">
        <v>1822.5</v>
      </c>
      <c r="AC104" s="5" t="n">
        <v>4766.3</v>
      </c>
      <c r="AD104" s="5" t="n">
        <v>1828.5</v>
      </c>
      <c r="AE104" s="5" t="inlineStr"/>
      <c r="AF104" s="5">
        <f>IF(AE104="","",IF(OR(AE104=F104,AND(AE104="crane_footing",F104="isolated_footing")),"yes","no"))</f>
        <v/>
      </c>
    </row>
    <row r="105">
      <c r="A105" s="5" t="n">
        <v>104</v>
      </c>
      <c r="B105" s="5" t="inlineStr">
        <is>
          <t>121</t>
        </is>
      </c>
      <c r="C105" s="5" t="inlineStr">
        <is>
          <t>region between joints</t>
        </is>
      </c>
      <c r="D105" s="5" t="inlineStr">
        <is>
          <t>solid</t>
        </is>
      </c>
      <c r="E105" s="5" t="n">
        <v>28</v>
      </c>
      <c r="F105" s="5" t="inlineStr">
        <is>
          <t>core_wall</t>
        </is>
      </c>
      <c r="G105" s="5" t="inlineStr">
        <is>
          <t>Core wall 2.00 × 0.20 m</t>
        </is>
      </c>
      <c r="H105" s="5" t="inlineStr">
        <is>
          <t>rule: unlabelled interior wall, no V type of its size</t>
        </is>
      </c>
      <c r="I105" s="5" t="inlineStr">
        <is>
          <t>(none)</t>
        </is>
      </c>
      <c r="J105" s="5" t="inlineStr">
        <is>
          <t>no shear_wall type in its building has this size</t>
        </is>
      </c>
      <c r="K105" s="5" t="inlineStr"/>
      <c r="L105" s="5" t="n">
        <v>200</v>
      </c>
      <c r="M105" s="5" t="n">
        <v>20</v>
      </c>
      <c r="N105" s="10">
        <f>IF(AND(ISNUMBER(L105),M105&gt;0),L105/M105,"")</f>
        <v/>
      </c>
      <c r="O105" s="5" t="n">
        <v>0.4</v>
      </c>
      <c r="P105" s="5" t="n">
        <v>89.90000000000001</v>
      </c>
      <c r="Q105" s="5" t="n">
        <v>2</v>
      </c>
      <c r="R105" s="5" t="n">
        <v>1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/>
      <c r="Z105" s="5" t="inlineStr"/>
      <c r="AA105" s="5" t="n">
        <v>4716.2</v>
      </c>
      <c r="AB105" s="5" t="n">
        <v>1828.4</v>
      </c>
      <c r="AC105" s="5" t="n">
        <v>4722.2</v>
      </c>
      <c r="AD105" s="5" t="n">
        <v>1887.4</v>
      </c>
      <c r="AE105" s="5" t="inlineStr"/>
      <c r="AF105" s="5">
        <f>IF(AE105="","",IF(OR(AE105=F105,AND(AE105="crane_footing",F105="isolated_footing")),"yes","no"))</f>
        <v/>
      </c>
    </row>
    <row r="106">
      <c r="A106" s="5" t="n">
        <v>105</v>
      </c>
      <c r="B106" s="5" t="inlineStr">
        <is>
          <t>121</t>
        </is>
      </c>
      <c r="C106" s="5" t="inlineStr">
        <is>
          <t>region between joints</t>
        </is>
      </c>
      <c r="D106" s="5" t="inlineStr">
        <is>
          <t>solid</t>
        </is>
      </c>
      <c r="E106" s="5" t="n">
        <v>26</v>
      </c>
      <c r="F106" s="5" t="inlineStr">
        <is>
          <t>core_wall</t>
        </is>
      </c>
      <c r="G106" s="5" t="inlineStr">
        <is>
          <t>Core wall 1.30 × 0.20 m</t>
        </is>
      </c>
      <c r="H106" s="5" t="inlineStr">
        <is>
          <t>rule: unlabelled interior wall, no V type of its size</t>
        </is>
      </c>
      <c r="I106" s="5" t="inlineStr">
        <is>
          <t>(none)</t>
        </is>
      </c>
      <c r="J106" s="5" t="inlineStr"/>
      <c r="K106" s="5" t="inlineStr"/>
      <c r="L106" s="5" t="n">
        <v>130</v>
      </c>
      <c r="M106" s="5" t="n">
        <v>20</v>
      </c>
      <c r="N106" s="10">
        <f>IF(AND(ISNUMBER(L106),M106&gt;0),L106/M106,"")</f>
        <v/>
      </c>
      <c r="O106" s="5" t="n">
        <v>0.263</v>
      </c>
      <c r="P106" s="5" t="n">
        <v>179.9</v>
      </c>
      <c r="Q106" s="5" t="n">
        <v>1</v>
      </c>
      <c r="R106" s="5" t="n">
        <v>1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/>
      <c r="Z106" s="5" t="inlineStr"/>
      <c r="AA106" s="5" t="n">
        <v>4722.3</v>
      </c>
      <c r="AB106" s="5" t="n">
        <v>1887.4</v>
      </c>
      <c r="AC106" s="5" t="n">
        <v>4760.7</v>
      </c>
      <c r="AD106" s="5" t="n">
        <v>1893.4</v>
      </c>
      <c r="AE106" s="5" t="inlineStr"/>
      <c r="AF106" s="5">
        <f>IF(AE106="","",IF(OR(AE106=F106,AND(AE106="crane_footing",F106="isolated_footing")),"yes","no"))</f>
        <v/>
      </c>
    </row>
    <row r="107">
      <c r="A107" s="5" t="n">
        <v>106</v>
      </c>
      <c r="B107" s="5" t="inlineStr">
        <is>
          <t>121</t>
        </is>
      </c>
      <c r="C107" s="5" t="inlineStr">
        <is>
          <t>region between joints</t>
        </is>
      </c>
      <c r="D107" s="5" t="inlineStr">
        <is>
          <t>cross_hatch</t>
        </is>
      </c>
      <c r="E107" s="5" t="n">
        <v>10</v>
      </c>
      <c r="F107" s="5" t="inlineStr">
        <is>
          <t>core_wall</t>
        </is>
      </c>
      <c r="G107" s="5" t="inlineStr">
        <is>
          <t>Core wall 5.86 × 0.20 m</t>
        </is>
      </c>
      <c r="H107" s="5" t="inlineStr">
        <is>
          <t>rule: unlabelled interior wall, no V type of its size</t>
        </is>
      </c>
      <c r="I107" s="5" t="inlineStr">
        <is>
          <t>(none)</t>
        </is>
      </c>
      <c r="J107" s="5" t="inlineStr"/>
      <c r="K107" s="5" t="inlineStr"/>
      <c r="L107" s="5" t="n">
        <v>586</v>
      </c>
      <c r="M107" s="5" t="n">
        <v>20</v>
      </c>
      <c r="N107" s="10">
        <f>IF(AND(ISNUMBER(L107),M107&gt;0),L107/M107,"")</f>
        <v/>
      </c>
      <c r="O107" s="5" t="n">
        <v>1.184</v>
      </c>
      <c r="P107" s="5" t="n">
        <v>179.8</v>
      </c>
      <c r="Q107" s="5" t="n">
        <v>1</v>
      </c>
      <c r="R107" s="5" t="n">
        <v>0</v>
      </c>
      <c r="S107" s="5" t="n">
        <v>0</v>
      </c>
      <c r="T107" s="5" t="n">
        <v>1</v>
      </c>
      <c r="U107" s="5" t="n">
        <v>0</v>
      </c>
      <c r="V107" s="5" t="n">
        <v>0</v>
      </c>
      <c r="W107" s="5" t="n">
        <v>5</v>
      </c>
      <c r="X107" s="5" t="n">
        <v>0</v>
      </c>
      <c r="Y107" s="5" t="n"/>
      <c r="Z107" s="5" t="inlineStr"/>
      <c r="AA107" s="5" t="n">
        <v>4755.2</v>
      </c>
      <c r="AB107" s="5" t="n">
        <v>1612.1</v>
      </c>
      <c r="AC107" s="5" t="n">
        <v>4873.3</v>
      </c>
      <c r="AD107" s="5" t="n">
        <v>1621.9</v>
      </c>
      <c r="AE107" s="5" t="inlineStr"/>
      <c r="AF107" s="5">
        <f>IF(AE107="","",IF(OR(AE107=F107,AND(AE107="crane_footing",F107="isolated_footing")),"yes","no"))</f>
        <v/>
      </c>
    </row>
    <row r="108">
      <c r="A108" s="5" t="n">
        <v>107</v>
      </c>
      <c r="B108" s="5" t="inlineStr">
        <is>
          <t>121</t>
        </is>
      </c>
      <c r="C108" s="5" t="inlineStr">
        <is>
          <t>region between joints</t>
        </is>
      </c>
      <c r="D108" s="5" t="inlineStr">
        <is>
          <t>outline</t>
        </is>
      </c>
      <c r="E108" s="5" t="n">
        <v>18</v>
      </c>
      <c r="F108" s="5" t="inlineStr">
        <is>
          <t>core_wall</t>
        </is>
      </c>
      <c r="G108" s="5" t="inlineStr">
        <is>
          <t>Core wall 1.20 × 0.20 m</t>
        </is>
      </c>
      <c r="H108" s="5" t="inlineStr">
        <is>
          <t>rule: unlabelled interior wall, no V type of its size (drawn as an outline with a pattern inside)</t>
        </is>
      </c>
      <c r="I108" s="5" t="inlineStr">
        <is>
          <t>(none)</t>
        </is>
      </c>
      <c r="J108" s="5" t="inlineStr"/>
      <c r="K108" s="5" t="inlineStr"/>
      <c r="L108" s="5" t="n">
        <v>120</v>
      </c>
      <c r="M108" s="5" t="n">
        <v>20</v>
      </c>
      <c r="N108" s="10">
        <f>IF(AND(ISNUMBER(L108),M108&gt;0),L108/M108,"")</f>
        <v/>
      </c>
      <c r="O108" s="5" t="n">
        <v>0.24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1</v>
      </c>
      <c r="U108" s="5" t="n">
        <v>0</v>
      </c>
      <c r="V108" s="5" t="n">
        <v>0</v>
      </c>
      <c r="W108" s="5" t="n">
        <v>3</v>
      </c>
      <c r="X108" s="5" t="n">
        <v>0</v>
      </c>
      <c r="Y108" s="5" t="n"/>
      <c r="Z108" s="5" t="inlineStr"/>
      <c r="AA108" s="5" t="n">
        <v>4728.9</v>
      </c>
      <c r="AB108" s="5" t="n">
        <v>1527</v>
      </c>
      <c r="AC108" s="5" t="n">
        <v>4764.3</v>
      </c>
      <c r="AD108" s="5" t="n">
        <v>1533</v>
      </c>
      <c r="AE108" s="5" t="inlineStr"/>
      <c r="AF108" s="5">
        <f>IF(AE108="","",IF(OR(AE108=F108,AND(AE108="crane_footing",F108="isolated_footing")),"yes","no"))</f>
        <v/>
      </c>
    </row>
    <row r="109">
      <c r="A109" s="5" t="n">
        <v>108</v>
      </c>
      <c r="B109" s="5" t="inlineStr">
        <is>
          <t>121</t>
        </is>
      </c>
      <c r="C109" s="5" t="inlineStr">
        <is>
          <t>region between joints</t>
        </is>
      </c>
      <c r="D109" s="5" t="inlineStr">
        <is>
          <t>outline</t>
        </is>
      </c>
      <c r="E109" s="5" t="n">
        <v>18</v>
      </c>
      <c r="F109" s="5" t="inlineStr">
        <is>
          <t>core_wall</t>
        </is>
      </c>
      <c r="G109" s="5" t="inlineStr">
        <is>
          <t>Core wall 1.09 × 0.20 m</t>
        </is>
      </c>
      <c r="H109" s="5" t="inlineStr">
        <is>
          <t>rule: unlabelled interior wall, no V type of its size (drawn as an outline with a pattern inside)</t>
        </is>
      </c>
      <c r="I109" s="5" t="inlineStr">
        <is>
          <t>(none)</t>
        </is>
      </c>
      <c r="J109" s="5" t="inlineStr"/>
      <c r="K109" s="5" t="inlineStr"/>
      <c r="L109" s="5" t="n">
        <v>109</v>
      </c>
      <c r="M109" s="5" t="n">
        <v>20</v>
      </c>
      <c r="N109" s="10">
        <f>IF(AND(ISNUMBER(L109),M109&gt;0),L109/M109,"")</f>
        <v/>
      </c>
      <c r="O109" s="5" t="n">
        <v>0.217</v>
      </c>
      <c r="P109" s="5" t="n">
        <v>179.4</v>
      </c>
      <c r="Q109" s="5" t="n">
        <v>2</v>
      </c>
      <c r="R109" s="5" t="n">
        <v>0</v>
      </c>
      <c r="S109" s="5" t="n">
        <v>0</v>
      </c>
      <c r="T109" s="5" t="n">
        <v>1</v>
      </c>
      <c r="U109" s="5" t="n">
        <v>0</v>
      </c>
      <c r="V109" s="5" t="n">
        <v>0</v>
      </c>
      <c r="W109" s="5" t="n">
        <v>13</v>
      </c>
      <c r="X109" s="5" t="n">
        <v>0</v>
      </c>
      <c r="Y109" s="5" t="n"/>
      <c r="Z109" s="5" t="inlineStr"/>
      <c r="AA109" s="5" t="n">
        <v>4878.7</v>
      </c>
      <c r="AB109" s="5" t="n">
        <v>1613.5</v>
      </c>
      <c r="AC109" s="5" t="n">
        <v>4910.8</v>
      </c>
      <c r="AD109" s="5" t="n">
        <v>1619.7</v>
      </c>
      <c r="AE109" s="5" t="inlineStr"/>
      <c r="AF109" s="5">
        <f>IF(AE109="","",IF(OR(AE109=F109,AND(AE109="crane_footing",F109="isolated_footing")),"yes","no"))</f>
        <v/>
      </c>
    </row>
    <row r="110">
      <c r="A110" s="5" t="n">
        <v>109</v>
      </c>
      <c r="B110" s="5" t="inlineStr">
        <is>
          <t>121</t>
        </is>
      </c>
      <c r="C110" s="5" t="inlineStr">
        <is>
          <t>region between joints</t>
        </is>
      </c>
      <c r="D110" s="5" t="inlineStr">
        <is>
          <t>cross_hatch</t>
        </is>
      </c>
      <c r="E110" s="5" t="n">
        <v>10</v>
      </c>
      <c r="F110" s="5" t="inlineStr">
        <is>
          <t>core_wall</t>
        </is>
      </c>
      <c r="G110" s="5" t="inlineStr">
        <is>
          <t>Core wall 2.70 × 0.20 m</t>
        </is>
      </c>
      <c r="H110" s="5" t="inlineStr">
        <is>
          <t>rule: unlabelled interior wall, no V type of its size</t>
        </is>
      </c>
      <c r="I110" s="5" t="inlineStr">
        <is>
          <t>(none)</t>
        </is>
      </c>
      <c r="J110" s="5" t="inlineStr"/>
      <c r="K110" s="5" t="inlineStr"/>
      <c r="L110" s="5" t="n">
        <v>270</v>
      </c>
      <c r="M110" s="5" t="n">
        <v>20</v>
      </c>
      <c r="N110" s="10">
        <f>IF(AND(ISNUMBER(L110),M110&gt;0),L110/M110,"")</f>
        <v/>
      </c>
      <c r="O110" s="5" t="n">
        <v>0.54</v>
      </c>
      <c r="P110" s="5" t="n">
        <v>89.90000000000001</v>
      </c>
      <c r="Q110" s="5" t="n">
        <v>2</v>
      </c>
      <c r="R110" s="5" t="n">
        <v>0</v>
      </c>
      <c r="S110" s="5" t="n">
        <v>0</v>
      </c>
      <c r="T110" s="5" t="n">
        <v>1</v>
      </c>
      <c r="U110" s="5" t="n">
        <v>0</v>
      </c>
      <c r="V110" s="5" t="n">
        <v>0</v>
      </c>
      <c r="W110" s="5" t="n">
        <v>2</v>
      </c>
      <c r="X110" s="5" t="n">
        <v>0</v>
      </c>
      <c r="Y110" s="5" t="n"/>
      <c r="Z110" s="5" t="inlineStr"/>
      <c r="AA110" s="5" t="n">
        <v>4705.2</v>
      </c>
      <c r="AB110" s="5" t="n">
        <v>1533</v>
      </c>
      <c r="AC110" s="5" t="n">
        <v>4711.3</v>
      </c>
      <c r="AD110" s="5" t="n">
        <v>1612.7</v>
      </c>
      <c r="AE110" s="5" t="inlineStr"/>
      <c r="AF110" s="5">
        <f>IF(AE110="","",IF(OR(AE110=F110,AND(AE110="crane_footing",F110="isolated_footing")),"yes","no"))</f>
        <v/>
      </c>
    </row>
    <row r="111">
      <c r="A111" s="5" t="n">
        <v>110</v>
      </c>
      <c r="B111" s="5" t="inlineStr">
        <is>
          <t>121</t>
        </is>
      </c>
      <c r="C111" s="5" t="inlineStr">
        <is>
          <t>region between joints</t>
        </is>
      </c>
      <c r="D111" s="5" t="inlineStr">
        <is>
          <t>cross_hatch</t>
        </is>
      </c>
      <c r="E111" s="5" t="n">
        <v>10</v>
      </c>
      <c r="F111" s="5" t="inlineStr">
        <is>
          <t>core_wall</t>
        </is>
      </c>
      <c r="G111" s="5" t="inlineStr">
        <is>
          <t>Core wall 3.37 × 0.20 m</t>
        </is>
      </c>
      <c r="H111" s="5" t="inlineStr">
        <is>
          <t>rule: unlabelled interior wall, no V type of its size</t>
        </is>
      </c>
      <c r="I111" s="5" t="inlineStr">
        <is>
          <t>(none)</t>
        </is>
      </c>
      <c r="J111" s="5" t="inlineStr"/>
      <c r="K111" s="5" t="inlineStr"/>
      <c r="L111" s="5" t="n">
        <v>337</v>
      </c>
      <c r="M111" s="5" t="n">
        <v>20</v>
      </c>
      <c r="N111" s="10">
        <f>IF(AND(ISNUMBER(L111),M111&gt;0),L111/M111,"")</f>
        <v/>
      </c>
      <c r="O111" s="5" t="n">
        <v>0.675</v>
      </c>
      <c r="P111" s="5" t="n">
        <v>179.9</v>
      </c>
      <c r="Q111" s="5" t="n">
        <v>2</v>
      </c>
      <c r="R111" s="5" t="n">
        <v>0</v>
      </c>
      <c r="S111" s="5" t="n">
        <v>0</v>
      </c>
      <c r="T111" s="5" t="n">
        <v>1</v>
      </c>
      <c r="U111" s="5" t="n">
        <v>0</v>
      </c>
      <c r="V111" s="5" t="n">
        <v>0</v>
      </c>
      <c r="W111" s="5" t="n">
        <v>3</v>
      </c>
      <c r="X111" s="5" t="n">
        <v>0</v>
      </c>
      <c r="Y111" s="5" t="n"/>
      <c r="Z111" s="5" t="inlineStr"/>
      <c r="AA111" s="5" t="n">
        <v>4771.8</v>
      </c>
      <c r="AB111" s="5" t="n">
        <v>1578.4</v>
      </c>
      <c r="AC111" s="5" t="n">
        <v>4871.4</v>
      </c>
      <c r="AD111" s="5" t="n">
        <v>1584.6</v>
      </c>
      <c r="AE111" s="5" t="inlineStr"/>
      <c r="AF111" s="5">
        <f>IF(AE111="","",IF(OR(AE111=F111,AND(AE111="crane_footing",F111="isolated_footing")),"yes","no"))</f>
        <v/>
      </c>
    </row>
    <row r="112">
      <c r="A112" s="5" t="n">
        <v>111</v>
      </c>
      <c r="B112" s="5" t="inlineStr">
        <is>
          <t>121</t>
        </is>
      </c>
      <c r="C112" s="5" t="inlineStr">
        <is>
          <t>region between joints</t>
        </is>
      </c>
      <c r="D112" s="5" t="inlineStr">
        <is>
          <t>solid</t>
        </is>
      </c>
      <c r="E112" s="5" t="n">
        <v>32</v>
      </c>
      <c r="F112" s="5" t="inlineStr">
        <is>
          <t>retaining_wall</t>
        </is>
      </c>
      <c r="G112" s="5" t="inlineStr">
        <is>
          <t>Retaining wall ~VP20 27.19 × 0.20 m</t>
        </is>
      </c>
      <c r="H112" s="5" t="inlineStr">
        <is>
          <t>rule: unlabelled wall along the building edge or on a strip footing</t>
        </is>
      </c>
      <c r="I112" s="5" t="inlineStr">
        <is>
          <t>VP20</t>
        </is>
      </c>
      <c r="J112" s="5" t="inlineStr">
        <is>
          <t>inferred: the thickness of this retaining-wall type</t>
        </is>
      </c>
      <c r="K112" s="5" t="inlineStr"/>
      <c r="L112" s="5" t="n">
        <v>2719</v>
      </c>
      <c r="M112" s="5" t="n">
        <v>20</v>
      </c>
      <c r="N112" s="10">
        <f>IF(AND(ISNUMBER(L112),M112&gt;0),L112/M112,"")</f>
        <v/>
      </c>
      <c r="O112" s="5" t="n">
        <v>5.403</v>
      </c>
      <c r="P112" s="5" t="n">
        <v>90</v>
      </c>
      <c r="Q112" s="5" t="n">
        <v>0</v>
      </c>
      <c r="R112" s="5" t="n">
        <v>0</v>
      </c>
      <c r="S112" s="5" t="n">
        <v>1</v>
      </c>
      <c r="T112" s="5" t="n">
        <v>0</v>
      </c>
      <c r="U112" s="5" t="n">
        <v>1</v>
      </c>
      <c r="V112" s="5" t="n">
        <v>0</v>
      </c>
      <c r="W112" s="5" t="n">
        <v>46</v>
      </c>
      <c r="X112" s="5" t="n">
        <v>7</v>
      </c>
      <c r="Y112" s="5" t="n"/>
      <c r="Z112" s="5" t="inlineStr"/>
      <c r="AA112" s="5" t="n">
        <v>4158.5</v>
      </c>
      <c r="AB112" s="5" t="n">
        <v>1333.7</v>
      </c>
      <c r="AC112" s="5" t="n">
        <v>4164.9</v>
      </c>
      <c r="AD112" s="5" t="n">
        <v>2136.6</v>
      </c>
      <c r="AE112" s="5" t="inlineStr">
        <is>
          <t>retaining_wall</t>
        </is>
      </c>
      <c r="AF112" s="5">
        <f>IF(AE112="","",IF(OR(AE112=F112,AND(AE112="crane_footing",F112="isolated_footing")),"yes","no"))</f>
        <v/>
      </c>
    </row>
    <row r="113">
      <c r="A113" s="5" t="n">
        <v>112</v>
      </c>
      <c r="B113" s="5" t="inlineStr">
        <is>
          <t>121</t>
        </is>
      </c>
      <c r="C113" s="5" t="inlineStr">
        <is>
          <t>region between joints</t>
        </is>
      </c>
      <c r="D113" s="5" t="inlineStr">
        <is>
          <t>solid</t>
        </is>
      </c>
      <c r="E113" s="5" t="n">
        <v>34</v>
      </c>
      <c r="F113" s="5" t="inlineStr">
        <is>
          <t>retaining_wall</t>
        </is>
      </c>
      <c r="G113" s="5" t="inlineStr">
        <is>
          <t>Retaining wall ~VP20 8.85 × 0.20 m</t>
        </is>
      </c>
      <c r="H113" s="5" t="inlineStr">
        <is>
          <t>rule: unlabelled wall along the building edge or on a strip footing</t>
        </is>
      </c>
      <c r="I113" s="5" t="inlineStr">
        <is>
          <t>VP20</t>
        </is>
      </c>
      <c r="J113" s="5" t="inlineStr">
        <is>
          <t>inferred: the thickness of this retaining-wall type</t>
        </is>
      </c>
      <c r="K113" s="5" t="inlineStr"/>
      <c r="L113" s="5" t="n">
        <v>885</v>
      </c>
      <c r="M113" s="5" t="n">
        <v>20</v>
      </c>
      <c r="N113" s="10">
        <f>IF(AND(ISNUMBER(L113),M113&gt;0),L113/M113,"")</f>
        <v/>
      </c>
      <c r="O113" s="5" t="n">
        <v>1.769</v>
      </c>
      <c r="P113" s="5" t="n">
        <v>179.9</v>
      </c>
      <c r="Q113" s="5" t="n">
        <v>1</v>
      </c>
      <c r="R113" s="5" t="n">
        <v>0</v>
      </c>
      <c r="S113" s="5" t="n">
        <v>1</v>
      </c>
      <c r="T113" s="5" t="n">
        <v>0</v>
      </c>
      <c r="U113" s="5" t="n">
        <v>0</v>
      </c>
      <c r="V113" s="5" t="n">
        <v>0</v>
      </c>
      <c r="W113" s="5" t="n">
        <v>3</v>
      </c>
      <c r="X113" s="5" t="n">
        <v>16</v>
      </c>
      <c r="Y113" s="5" t="n"/>
      <c r="Z113" s="5" t="inlineStr"/>
      <c r="AA113" s="5" t="n">
        <v>4511.3</v>
      </c>
      <c r="AB113" s="5" t="n">
        <v>2033.3</v>
      </c>
      <c r="AC113" s="5" t="n">
        <v>4772.6</v>
      </c>
      <c r="AD113" s="5" t="n">
        <v>2039.8</v>
      </c>
      <c r="AE113" s="5" t="inlineStr"/>
      <c r="AF113" s="5">
        <f>IF(AE113="","",IF(OR(AE113=F113,AND(AE113="crane_footing",F113="isolated_footing")),"yes","no"))</f>
        <v/>
      </c>
    </row>
    <row r="114">
      <c r="A114" s="5" t="n">
        <v>113</v>
      </c>
      <c r="B114" s="5" t="inlineStr">
        <is>
          <t>121</t>
        </is>
      </c>
      <c r="C114" s="5" t="inlineStr">
        <is>
          <t>region between joints</t>
        </is>
      </c>
      <c r="D114" s="5" t="inlineStr">
        <is>
          <t>solid</t>
        </is>
      </c>
      <c r="E114" s="5" t="n">
        <v>27</v>
      </c>
      <c r="F114" s="5" t="inlineStr">
        <is>
          <t>retaining_wall</t>
        </is>
      </c>
      <c r="G114" s="5" t="inlineStr">
        <is>
          <t>Retaining wall ~VP20 0.92 × 0.20 m</t>
        </is>
      </c>
      <c r="H114" s="5" t="inlineStr">
        <is>
          <t>rule: unlabelled wall along the building edge or on a strip footing</t>
        </is>
      </c>
      <c r="I114" s="5" t="inlineStr">
        <is>
          <t>VP20</t>
        </is>
      </c>
      <c r="J114" s="5" t="inlineStr">
        <is>
          <t>inferred: the thickness of this retaining-wall type</t>
        </is>
      </c>
      <c r="K114" s="5" t="inlineStr"/>
      <c r="L114" s="5" t="n">
        <v>92</v>
      </c>
      <c r="M114" s="5" t="n">
        <v>20</v>
      </c>
      <c r="N114" s="10">
        <f>IF(AND(ISNUMBER(L114),M114&gt;0),L114/M114,"")</f>
        <v/>
      </c>
      <c r="O114" s="5" t="n">
        <v>0.186</v>
      </c>
      <c r="P114" s="5" t="n">
        <v>89.8</v>
      </c>
      <c r="Q114" s="5" t="n">
        <v>1</v>
      </c>
      <c r="R114" s="5" t="n">
        <v>0</v>
      </c>
      <c r="S114" s="5" t="n">
        <v>0</v>
      </c>
      <c r="T114" s="5" t="n">
        <v>1</v>
      </c>
      <c r="U114" s="5" t="n">
        <v>1</v>
      </c>
      <c r="V114" s="5" t="n">
        <v>0</v>
      </c>
      <c r="W114" s="5" t="n">
        <v>1</v>
      </c>
      <c r="X114" s="5" t="n">
        <v>0</v>
      </c>
      <c r="Y114" s="5" t="n"/>
      <c r="Z114" s="5" t="inlineStr"/>
      <c r="AA114" s="5" t="n">
        <v>5013.2</v>
      </c>
      <c r="AB114" s="5" t="n">
        <v>1619.4</v>
      </c>
      <c r="AC114" s="5" t="n">
        <v>5019.2</v>
      </c>
      <c r="AD114" s="5" t="n">
        <v>1646.7</v>
      </c>
      <c r="AE114" s="5" t="inlineStr"/>
      <c r="AF114" s="5">
        <f>IF(AE114="","",IF(OR(AE114=F114,AND(AE114="crane_footing",F114="isolated_footing")),"yes","no"))</f>
        <v/>
      </c>
    </row>
    <row r="115">
      <c r="A115" s="5" t="n">
        <v>114</v>
      </c>
      <c r="B115" s="5" t="inlineStr">
        <is>
          <t>121</t>
        </is>
      </c>
      <c r="C115" s="5" t="inlineStr">
        <is>
          <t>region between joints</t>
        </is>
      </c>
      <c r="D115" s="5" t="inlineStr">
        <is>
          <t>solid</t>
        </is>
      </c>
      <c r="E115" s="5" t="n">
        <v>30</v>
      </c>
      <c r="F115" s="5" t="inlineStr">
        <is>
          <t>retaining_wall</t>
        </is>
      </c>
      <c r="G115" s="5" t="inlineStr">
        <is>
          <t>Retaining wall ~VP20 12.05 × 0.20 m</t>
        </is>
      </c>
      <c r="H115" s="5" t="inlineStr">
        <is>
          <t>rule: unlabelled wall along the building edge or on a strip footing</t>
        </is>
      </c>
      <c r="I115" s="5" t="inlineStr">
        <is>
          <t>VP20</t>
        </is>
      </c>
      <c r="J115" s="5" t="inlineStr">
        <is>
          <t>inferred: the thickness of this retaining-wall type</t>
        </is>
      </c>
      <c r="K115" s="5" t="inlineStr"/>
      <c r="L115" s="5" t="n">
        <v>1205</v>
      </c>
      <c r="M115" s="5" t="n">
        <v>20</v>
      </c>
      <c r="N115" s="10">
        <f>IF(AND(ISNUMBER(L115),M115&gt;0),L115/M115,"")</f>
        <v/>
      </c>
      <c r="O115" s="5" t="n">
        <v>2.395</v>
      </c>
      <c r="P115" s="5" t="n">
        <v>89.90000000000001</v>
      </c>
      <c r="Q115" s="5" t="n">
        <v>6</v>
      </c>
      <c r="R115" s="5" t="n">
        <v>0</v>
      </c>
      <c r="S115" s="5" t="n">
        <v>0</v>
      </c>
      <c r="T115" s="5" t="n">
        <v>0</v>
      </c>
      <c r="U115" s="5" t="n">
        <v>1</v>
      </c>
      <c r="V115" s="5" t="n">
        <v>1</v>
      </c>
      <c r="W115" s="5" t="n">
        <v>16</v>
      </c>
      <c r="X115" s="5" t="n">
        <v>4</v>
      </c>
      <c r="Y115" s="5" t="n"/>
      <c r="Z115" s="5" t="inlineStr"/>
      <c r="AA115" s="5" t="n">
        <v>4766.3</v>
      </c>
      <c r="AB115" s="5" t="n">
        <v>1779.4</v>
      </c>
      <c r="AC115" s="5" t="n">
        <v>4772.9</v>
      </c>
      <c r="AD115" s="5" t="n">
        <v>2135.2</v>
      </c>
      <c r="AE115" s="5" t="inlineStr"/>
      <c r="AF115" s="5">
        <f>IF(AE115="","",IF(OR(AE115=F115,AND(AE115="crane_footing",F115="isolated_footing")),"yes","no"))</f>
        <v/>
      </c>
    </row>
    <row r="116">
      <c r="A116" s="5" t="n">
        <v>115</v>
      </c>
      <c r="B116" s="5" t="inlineStr">
        <is>
          <t>121</t>
        </is>
      </c>
      <c r="C116" s="5" t="inlineStr">
        <is>
          <t>region between joints</t>
        </is>
      </c>
      <c r="D116" s="5" t="inlineStr">
        <is>
          <t>solid</t>
        </is>
      </c>
      <c r="E116" s="5" t="n">
        <v>30</v>
      </c>
      <c r="F116" s="5" t="inlineStr">
        <is>
          <t>retaining_wall</t>
        </is>
      </c>
      <c r="G116" s="5" t="inlineStr">
        <is>
          <t>Retaining wall ~VP20 8.17 × 0.20 m</t>
        </is>
      </c>
      <c r="H116" s="5" t="inlineStr">
        <is>
          <t>rule: unlabelled wall along the building edge or on a strip footing</t>
        </is>
      </c>
      <c r="I116" s="5" t="inlineStr">
        <is>
          <t>VP20</t>
        </is>
      </c>
      <c r="J116" s="5" t="inlineStr">
        <is>
          <t>inferred: the thickness of this retaining-wall type</t>
        </is>
      </c>
      <c r="K116" s="5" t="inlineStr"/>
      <c r="L116" s="5" t="n">
        <v>817</v>
      </c>
      <c r="M116" s="5" t="n">
        <v>20</v>
      </c>
      <c r="N116" s="10">
        <f>IF(AND(ISNUMBER(L116),M116&gt;0),L116/M116,"")</f>
        <v/>
      </c>
      <c r="O116" s="5" t="n">
        <v>1.638</v>
      </c>
      <c r="P116" s="5" t="n">
        <v>179.9</v>
      </c>
      <c r="Q116" s="5" t="n">
        <v>4</v>
      </c>
      <c r="R116" s="5" t="n">
        <v>0</v>
      </c>
      <c r="S116" s="5" t="n">
        <v>0</v>
      </c>
      <c r="T116" s="5" t="n">
        <v>0</v>
      </c>
      <c r="U116" s="5" t="n">
        <v>1</v>
      </c>
      <c r="V116" s="5" t="n">
        <v>1</v>
      </c>
      <c r="W116" s="5" t="n">
        <v>11</v>
      </c>
      <c r="X116" s="5" t="n">
        <v>0</v>
      </c>
      <c r="Y116" s="5" t="n"/>
      <c r="Z116" s="5" t="inlineStr"/>
      <c r="AA116" s="5" t="n">
        <v>4772.2</v>
      </c>
      <c r="AB116" s="5" t="n">
        <v>1773</v>
      </c>
      <c r="AC116" s="5" t="n">
        <v>5013.4</v>
      </c>
      <c r="AD116" s="5" t="n">
        <v>1779.4</v>
      </c>
      <c r="AE116" s="5" t="inlineStr"/>
      <c r="AF116" s="5">
        <f>IF(AE116="","",IF(OR(AE116=F116,AND(AE116="crane_footing",F116="isolated_footing")),"yes","no"))</f>
        <v/>
      </c>
    </row>
    <row r="117">
      <c r="A117" s="5" t="n">
        <v>116</v>
      </c>
      <c r="B117" s="5" t="inlineStr">
        <is>
          <t>121</t>
        </is>
      </c>
      <c r="C117" s="5" t="inlineStr">
        <is>
          <t>region between joints</t>
        </is>
      </c>
      <c r="D117" s="5" t="inlineStr">
        <is>
          <t>solid</t>
        </is>
      </c>
      <c r="E117" s="5" t="n">
        <v>27</v>
      </c>
      <c r="F117" s="5" t="inlineStr">
        <is>
          <t>retaining_wall</t>
        </is>
      </c>
      <c r="G117" s="5" t="inlineStr">
        <is>
          <t>Retaining wall ~VP20 4.18 × 0.20 m</t>
        </is>
      </c>
      <c r="H117" s="5" t="inlineStr">
        <is>
          <t>rule: unlabelled wall along the building edge or on a strip footing</t>
        </is>
      </c>
      <c r="I117" s="5" t="inlineStr">
        <is>
          <t>VP20</t>
        </is>
      </c>
      <c r="J117" s="5" t="inlineStr">
        <is>
          <t>inferred: the thickness of this retaining-wall type</t>
        </is>
      </c>
      <c r="K117" s="5" t="inlineStr"/>
      <c r="L117" s="5" t="n">
        <v>418</v>
      </c>
      <c r="M117" s="5" t="n">
        <v>20</v>
      </c>
      <c r="N117" s="10">
        <f>IF(AND(ISNUMBER(L117),M117&gt;0),L117/M117,"")</f>
        <v/>
      </c>
      <c r="O117" s="5" t="n">
        <v>0.835</v>
      </c>
      <c r="P117" s="5" t="n">
        <v>89.90000000000001</v>
      </c>
      <c r="Q117" s="5" t="n">
        <v>2</v>
      </c>
      <c r="R117" s="5" t="n">
        <v>0</v>
      </c>
      <c r="S117" s="5" t="n">
        <v>0</v>
      </c>
      <c r="T117" s="5" t="n">
        <v>0</v>
      </c>
      <c r="U117" s="5" t="n">
        <v>1</v>
      </c>
      <c r="V117" s="5" t="n">
        <v>0</v>
      </c>
      <c r="W117" s="5" t="n">
        <v>4</v>
      </c>
      <c r="X117" s="5" t="n">
        <v>0</v>
      </c>
      <c r="Y117" s="5" t="n"/>
      <c r="Z117" s="5" t="inlineStr"/>
      <c r="AA117" s="5" t="n">
        <v>5013.2</v>
      </c>
      <c r="AB117" s="5" t="n">
        <v>1649.6</v>
      </c>
      <c r="AC117" s="5" t="n">
        <v>5019.4</v>
      </c>
      <c r="AD117" s="5" t="n">
        <v>1773</v>
      </c>
      <c r="AE117" s="5" t="inlineStr"/>
      <c r="AF117" s="5">
        <f>IF(AE117="","",IF(OR(AE117=F117,AND(AE117="crane_footing",F117="isolated_footing")),"yes","no"))</f>
        <v/>
      </c>
    </row>
    <row r="118">
      <c r="A118" s="5" t="n">
        <v>117</v>
      </c>
      <c r="B118" s="5" t="inlineStr">
        <is>
          <t>121</t>
        </is>
      </c>
      <c r="C118" s="5" t="inlineStr">
        <is>
          <t>region between joints</t>
        </is>
      </c>
      <c r="D118" s="5" t="inlineStr">
        <is>
          <t>solid</t>
        </is>
      </c>
      <c r="E118" s="5" t="n">
        <v>29</v>
      </c>
      <c r="F118" s="5" t="inlineStr">
        <is>
          <t>retaining_wall</t>
        </is>
      </c>
      <c r="G118" s="5" t="inlineStr">
        <is>
          <t>Retaining wall ~VP25 3.00 × 0.25 m</t>
        </is>
      </c>
      <c r="H118" s="5" t="inlineStr">
        <is>
          <t>rule: unlabelled wall along the building edge or on a strip footing</t>
        </is>
      </c>
      <c r="I118" s="5" t="inlineStr">
        <is>
          <t>VP25</t>
        </is>
      </c>
      <c r="J118" s="5" t="inlineStr">
        <is>
          <t>inferred: the thickness of this retaining-wall type</t>
        </is>
      </c>
      <c r="K118" s="5" t="inlineStr"/>
      <c r="L118" s="5" t="n">
        <v>300</v>
      </c>
      <c r="M118" s="5" t="n">
        <v>25</v>
      </c>
      <c r="N118" s="10">
        <f>IF(AND(ISNUMBER(L118),M118&gt;0),L118/M118,"")</f>
        <v/>
      </c>
      <c r="O118" s="5" t="n">
        <v>0.749</v>
      </c>
      <c r="P118" s="5" t="n">
        <v>89.90000000000001</v>
      </c>
      <c r="Q118" s="5" t="n">
        <v>1</v>
      </c>
      <c r="R118" s="5" t="n">
        <v>1</v>
      </c>
      <c r="S118" s="5" t="n">
        <v>0</v>
      </c>
      <c r="T118" s="5" t="n">
        <v>0</v>
      </c>
      <c r="U118" s="5" t="n">
        <v>1</v>
      </c>
      <c r="V118" s="5" t="n">
        <v>0</v>
      </c>
      <c r="W118" s="5" t="n">
        <v>1</v>
      </c>
      <c r="X118" s="5" t="n">
        <v>1</v>
      </c>
      <c r="Y118" s="5" t="n"/>
      <c r="Z118" s="5" t="inlineStr"/>
      <c r="AA118" s="5" t="n">
        <v>4765.1</v>
      </c>
      <c r="AB118" s="5" t="n">
        <v>1925.6</v>
      </c>
      <c r="AC118" s="5" t="n">
        <v>4772.7</v>
      </c>
      <c r="AD118" s="5" t="n">
        <v>2014.2</v>
      </c>
      <c r="AE118" s="5" t="inlineStr"/>
      <c r="AF118" s="5">
        <f>IF(AE118="","",IF(OR(AE118=F118,AND(AE118="crane_footing",F118="isolated_footing")),"yes","no"))</f>
        <v/>
      </c>
    </row>
    <row r="119">
      <c r="A119" s="5" t="n">
        <v>118</v>
      </c>
      <c r="B119" s="5" t="inlineStr">
        <is>
          <t>121</t>
        </is>
      </c>
      <c r="C119" s="5" t="inlineStr">
        <is>
          <t>region between joints</t>
        </is>
      </c>
      <c r="D119" s="5" t="inlineStr">
        <is>
          <t>solid</t>
        </is>
      </c>
      <c r="E119" s="5" t="n">
        <v>27</v>
      </c>
      <c r="F119" s="5" t="inlineStr">
        <is>
          <t>retaining_wall</t>
        </is>
      </c>
      <c r="G119" s="5" t="inlineStr">
        <is>
          <t>Retaining wall ~VP25 4.49 × 0.25 m</t>
        </is>
      </c>
      <c r="H119" s="5" t="inlineStr">
        <is>
          <t>rule: unlabelled wall along the building edge or on a strip footing</t>
        </is>
      </c>
      <c r="I119" s="5" t="inlineStr">
        <is>
          <t>VP25</t>
        </is>
      </c>
      <c r="J119" s="5" t="inlineStr">
        <is>
          <t>inferred: the thickness of this retaining-wall type</t>
        </is>
      </c>
      <c r="K119" s="5" t="inlineStr"/>
      <c r="L119" s="5" t="n">
        <v>449</v>
      </c>
      <c r="M119" s="5" t="n">
        <v>25</v>
      </c>
      <c r="N119" s="10">
        <f>IF(AND(ISNUMBER(L119),M119&gt;0),L119/M119,"")</f>
        <v/>
      </c>
      <c r="O119" s="5" t="n">
        <v>1.133</v>
      </c>
      <c r="P119" s="5" t="n">
        <v>179.9</v>
      </c>
      <c r="Q119" s="5" t="n">
        <v>2</v>
      </c>
      <c r="R119" s="5" t="n">
        <v>0</v>
      </c>
      <c r="S119" s="5" t="n">
        <v>0</v>
      </c>
      <c r="T119" s="5" t="n">
        <v>1</v>
      </c>
      <c r="U119" s="5" t="n">
        <v>1</v>
      </c>
      <c r="V119" s="5" t="n">
        <v>0</v>
      </c>
      <c r="W119" s="5" t="n">
        <v>3</v>
      </c>
      <c r="X119" s="5" t="n">
        <v>0</v>
      </c>
      <c r="Y119" s="5" t="n"/>
      <c r="Z119" s="5" t="inlineStr"/>
      <c r="AA119" s="5" t="n">
        <v>4878.9</v>
      </c>
      <c r="AB119" s="5" t="n">
        <v>1524.9</v>
      </c>
      <c r="AC119" s="5" t="n">
        <v>5011.4</v>
      </c>
      <c r="AD119" s="5" t="n">
        <v>1532.7</v>
      </c>
      <c r="AE119" s="5" t="inlineStr"/>
      <c r="AF119" s="5">
        <f>IF(AE119="","",IF(OR(AE119=F119,AND(AE119="crane_footing",F119="isolated_footing")),"yes","no"))</f>
        <v/>
      </c>
    </row>
    <row r="120">
      <c r="A120" s="5" t="n">
        <v>119</v>
      </c>
      <c r="B120" s="5" t="inlineStr">
        <is>
          <t>121</t>
        </is>
      </c>
      <c r="C120" s="5" t="inlineStr">
        <is>
          <t>region between joints</t>
        </is>
      </c>
      <c r="D120" s="5" t="inlineStr">
        <is>
          <t>solid</t>
        </is>
      </c>
      <c r="E120" s="5" t="n">
        <v>27</v>
      </c>
      <c r="F120" s="5" t="inlineStr">
        <is>
          <t>retaining_wall</t>
        </is>
      </c>
      <c r="G120" s="5" t="inlineStr">
        <is>
          <t>Retaining wall ~VP25 2.95 × 0.25 m</t>
        </is>
      </c>
      <c r="H120" s="5" t="inlineStr">
        <is>
          <t>rule: unlabelled wall along the building edge or on a strip footing</t>
        </is>
      </c>
      <c r="I120" s="5" t="inlineStr">
        <is>
          <t>VP25</t>
        </is>
      </c>
      <c r="J120" s="5" t="inlineStr">
        <is>
          <t>inferred: the thickness of this retaining-wall type</t>
        </is>
      </c>
      <c r="K120" s="5" t="inlineStr"/>
      <c r="L120" s="5" t="n">
        <v>295</v>
      </c>
      <c r="M120" s="5" t="n">
        <v>25</v>
      </c>
      <c r="N120" s="10">
        <f>IF(AND(ISNUMBER(L120),M120&gt;0),L120/M120,"")</f>
        <v/>
      </c>
      <c r="O120" s="5" t="n">
        <v>0.747</v>
      </c>
      <c r="P120" s="5" t="n">
        <v>89.8</v>
      </c>
      <c r="Q120" s="5" t="n">
        <v>3</v>
      </c>
      <c r="R120" s="5" t="n">
        <v>0</v>
      </c>
      <c r="S120" s="5" t="n">
        <v>0</v>
      </c>
      <c r="T120" s="5" t="n">
        <v>1</v>
      </c>
      <c r="U120" s="5" t="n">
        <v>1</v>
      </c>
      <c r="V120" s="5" t="n">
        <v>0</v>
      </c>
      <c r="W120" s="5" t="n">
        <v>5</v>
      </c>
      <c r="X120" s="5" t="n">
        <v>0</v>
      </c>
      <c r="Y120" s="5" t="n"/>
      <c r="Z120" s="5" t="inlineStr"/>
      <c r="AA120" s="5" t="n">
        <v>5011.4</v>
      </c>
      <c r="AB120" s="5" t="n">
        <v>1532.4</v>
      </c>
      <c r="AC120" s="5" t="n">
        <v>5019.2</v>
      </c>
      <c r="AD120" s="5" t="n">
        <v>1619.5</v>
      </c>
      <c r="AE120" s="5" t="inlineStr"/>
      <c r="AF120" s="5">
        <f>IF(AE120="","",IF(OR(AE120=F120,AND(AE120="crane_footing",F120="isolated_footing")),"yes","no"))</f>
        <v/>
      </c>
    </row>
    <row r="121">
      <c r="A121" s="5" t="n">
        <v>120</v>
      </c>
      <c r="B121" s="5" t="inlineStr">
        <is>
          <t>121</t>
        </is>
      </c>
      <c r="C121" s="5" t="inlineStr">
        <is>
          <t>own label</t>
        </is>
      </c>
      <c r="D121" s="5" t="inlineStr">
        <is>
          <t>outline</t>
        </is>
      </c>
      <c r="E121" s="5" t="n">
        <v>12</v>
      </c>
      <c r="F121" s="5" t="inlineStr">
        <is>
          <t>isolated_footing</t>
        </is>
      </c>
      <c r="G121" s="5" t="inlineStr">
        <is>
          <t>Isolated footing S0 3.50 × 2.80 m</t>
        </is>
      </c>
      <c r="H121" s="5" t="inlineStr">
        <is>
          <t>label vote</t>
        </is>
      </c>
      <c r="I121" s="5" t="inlineStr">
        <is>
          <t>S0</t>
        </is>
      </c>
      <c r="J121" s="5" t="inlineStr">
        <is>
          <t>printed label</t>
        </is>
      </c>
      <c r="K121" s="5" t="inlineStr">
        <is>
          <t>S0-121</t>
        </is>
      </c>
      <c r="L121" s="5" t="n">
        <v>350</v>
      </c>
      <c r="M121" s="5" t="n">
        <v>280</v>
      </c>
      <c r="N121" s="10">
        <f>IF(AND(ISNUMBER(L121),M121&gt;0),L121/M121,"")</f>
        <v/>
      </c>
      <c r="O121" s="5" t="n">
        <v>9.802</v>
      </c>
      <c r="P121" s="5" t="n">
        <v>179.9</v>
      </c>
      <c r="Q121" s="5" t="n">
        <v>1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1</v>
      </c>
      <c r="W121" s="5" t="n">
        <v>25</v>
      </c>
      <c r="X121" s="5" t="n">
        <v>2</v>
      </c>
      <c r="Y121" s="5" t="n"/>
      <c r="Z121" s="5" t="inlineStr"/>
      <c r="AA121" s="5" t="n">
        <v>4555.1</v>
      </c>
      <c r="AB121" s="5" t="n">
        <v>1488.1</v>
      </c>
      <c r="AC121" s="5" t="n">
        <v>4658.6</v>
      </c>
      <c r="AD121" s="5" t="n">
        <v>1571</v>
      </c>
      <c r="AE121" s="5" t="inlineStr">
        <is>
          <t>isolated_footing</t>
        </is>
      </c>
      <c r="AF121" s="5">
        <f>IF(AE121="","",IF(OR(AE121=F121,AND(AE121="crane_footing",F121="isolated_footing")),"yes","no"))</f>
        <v/>
      </c>
    </row>
    <row r="122">
      <c r="A122" s="5" t="n">
        <v>121</v>
      </c>
      <c r="B122" s="5" t="inlineStr">
        <is>
          <t>121</t>
        </is>
      </c>
      <c r="C122" s="5" t="inlineStr">
        <is>
          <t>own label</t>
        </is>
      </c>
      <c r="D122" s="5" t="inlineStr">
        <is>
          <t>outline</t>
        </is>
      </c>
      <c r="E122" s="5" t="n">
        <v>12</v>
      </c>
      <c r="F122" s="5" t="inlineStr">
        <is>
          <t>isolated_footing</t>
        </is>
      </c>
      <c r="G122" s="5" t="inlineStr">
        <is>
          <t>Isolated footing S2 3.50 × 2.00 m</t>
        </is>
      </c>
      <c r="H122" s="5" t="inlineStr">
        <is>
          <t>label vote</t>
        </is>
      </c>
      <c r="I122" s="5" t="inlineStr">
        <is>
          <t>S2</t>
        </is>
      </c>
      <c r="J122" s="5" t="inlineStr">
        <is>
          <t>printed label</t>
        </is>
      </c>
      <c r="K122" s="5" t="inlineStr">
        <is>
          <t>S2-121121</t>
        </is>
      </c>
      <c r="L122" s="5" t="n">
        <v>350</v>
      </c>
      <c r="M122" s="5" t="n">
        <v>200</v>
      </c>
      <c r="N122" s="10">
        <f>IF(AND(ISNUMBER(L122),M122&gt;0),L122/M122,"")</f>
        <v/>
      </c>
      <c r="O122" s="5" t="n">
        <v>7.004</v>
      </c>
      <c r="P122" s="5" t="n">
        <v>0</v>
      </c>
      <c r="Q122" s="5" t="n">
        <v>1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1</v>
      </c>
      <c r="W122" s="5" t="n">
        <v>24</v>
      </c>
      <c r="X122" s="5" t="n">
        <v>2</v>
      </c>
      <c r="Y122" s="5" t="n"/>
      <c r="Z122" s="5" t="inlineStr"/>
      <c r="AA122" s="5" t="n">
        <v>4244.6</v>
      </c>
      <c r="AB122" s="5" t="n">
        <v>1993.2</v>
      </c>
      <c r="AC122" s="5" t="n">
        <v>4348.1</v>
      </c>
      <c r="AD122" s="5" t="n">
        <v>2052.4</v>
      </c>
      <c r="AE122" s="5" t="inlineStr">
        <is>
          <t>isolated_footing</t>
        </is>
      </c>
      <c r="AF122" s="5">
        <f>IF(AE122="","",IF(OR(AE122=F122,AND(AE122="crane_footing",F122="isolated_footing")),"yes","no"))</f>
        <v/>
      </c>
    </row>
    <row r="123">
      <c r="A123" s="5" t="n">
        <v>122</v>
      </c>
      <c r="B123" s="5" t="inlineStr">
        <is>
          <t>121</t>
        </is>
      </c>
      <c r="C123" s="5" t="inlineStr">
        <is>
          <t>own label</t>
        </is>
      </c>
      <c r="D123" s="5" t="inlineStr">
        <is>
          <t>outline</t>
        </is>
      </c>
      <c r="E123" s="5" t="n">
        <v>12</v>
      </c>
      <c r="F123" s="5" t="inlineStr">
        <is>
          <t>isolated_footing</t>
        </is>
      </c>
      <c r="G123" s="5" t="inlineStr">
        <is>
          <t>Isolated footing S2 3.50 × 2.00 m</t>
        </is>
      </c>
      <c r="H123" s="5" t="inlineStr">
        <is>
          <t>label vote</t>
        </is>
      </c>
      <c r="I123" s="5" t="inlineStr">
        <is>
          <t>S2</t>
        </is>
      </c>
      <c r="J123" s="5" t="inlineStr">
        <is>
          <t>printed label</t>
        </is>
      </c>
      <c r="K123" s="5" t="inlineStr">
        <is>
          <t>S2-121121</t>
        </is>
      </c>
      <c r="L123" s="5" t="n">
        <v>350</v>
      </c>
      <c r="M123" s="5" t="n">
        <v>200</v>
      </c>
      <c r="N123" s="10">
        <f>IF(AND(ISNUMBER(L123),M123&gt;0),L123/M123,"")</f>
        <v/>
      </c>
      <c r="O123" s="5" t="n">
        <v>6.999</v>
      </c>
      <c r="P123" s="5" t="n">
        <v>0</v>
      </c>
      <c r="Q123" s="5" t="n">
        <v>1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1</v>
      </c>
      <c r="W123" s="5" t="n">
        <v>40</v>
      </c>
      <c r="X123" s="5" t="n">
        <v>2</v>
      </c>
      <c r="Y123" s="5" t="n"/>
      <c r="Z123" s="5" t="inlineStr"/>
      <c r="AA123" s="5" t="n">
        <v>4244.4</v>
      </c>
      <c r="AB123" s="5" t="n">
        <v>1765</v>
      </c>
      <c r="AC123" s="5" t="n">
        <v>4347.7</v>
      </c>
      <c r="AD123" s="5" t="n">
        <v>1824.2</v>
      </c>
      <c r="AE123" s="5" t="inlineStr">
        <is>
          <t>isolated_footing</t>
        </is>
      </c>
      <c r="AF123" s="5">
        <f>IF(AE123="","",IF(OR(AE123=F123,AND(AE123="crane_footing",F123="isolated_footing")),"yes","no"))</f>
        <v/>
      </c>
    </row>
    <row r="124">
      <c r="A124" s="5" t="n">
        <v>123</v>
      </c>
      <c r="B124" s="5" t="inlineStr">
        <is>
          <t>121</t>
        </is>
      </c>
      <c r="C124" s="5" t="inlineStr">
        <is>
          <t>own label</t>
        </is>
      </c>
      <c r="D124" s="5" t="inlineStr">
        <is>
          <t>outline</t>
        </is>
      </c>
      <c r="E124" s="5" t="n">
        <v>13</v>
      </c>
      <c r="F124" s="5" t="inlineStr">
        <is>
          <t>isolated_footing</t>
        </is>
      </c>
      <c r="G124" s="5" t="inlineStr">
        <is>
          <t>Isolated footing S5 4.50 × 4.00 m</t>
        </is>
      </c>
      <c r="H124" s="5" t="inlineStr">
        <is>
          <t>label vote</t>
        </is>
      </c>
      <c r="I124" s="5" t="inlineStr">
        <is>
          <t>S5</t>
        </is>
      </c>
      <c r="J124" s="5" t="inlineStr">
        <is>
          <t>printed label</t>
        </is>
      </c>
      <c r="K124" s="5" t="inlineStr">
        <is>
          <t>S5-121121</t>
        </is>
      </c>
      <c r="L124" s="5" t="n">
        <v>450</v>
      </c>
      <c r="M124" s="5" t="n">
        <v>400</v>
      </c>
      <c r="N124" s="10">
        <f>IF(AND(ISNUMBER(L124),M124&gt;0),L124/M124,"")</f>
        <v/>
      </c>
      <c r="O124" s="5" t="n">
        <v>18</v>
      </c>
      <c r="P124" s="5" t="n">
        <v>89.90000000000001</v>
      </c>
      <c r="Q124" s="5" t="n">
        <v>3</v>
      </c>
      <c r="R124" s="5" t="n">
        <v>0</v>
      </c>
      <c r="S124" s="5" t="n">
        <v>0</v>
      </c>
      <c r="T124" s="5" t="n">
        <v>0</v>
      </c>
      <c r="U124" s="5" t="n">
        <v>1</v>
      </c>
      <c r="V124" s="5" t="n">
        <v>1</v>
      </c>
      <c r="W124" s="5" t="n">
        <v>58</v>
      </c>
      <c r="X124" s="5" t="n">
        <v>1</v>
      </c>
      <c r="Y124" s="5" t="n"/>
      <c r="Z124" s="5" t="inlineStr"/>
      <c r="AA124" s="5" t="n">
        <v>4709.7</v>
      </c>
      <c r="AB124" s="5" t="n">
        <v>1903.4</v>
      </c>
      <c r="AC124" s="5" t="n">
        <v>4828.1</v>
      </c>
      <c r="AD124" s="5" t="n">
        <v>2036.5</v>
      </c>
      <c r="AE124" s="5" t="inlineStr">
        <is>
          <t>isolated_footing</t>
        </is>
      </c>
      <c r="AF124" s="5">
        <f>IF(AE124="","",IF(OR(AE124=F124,AND(AE124="crane_footing",F124="isolated_footing")),"yes","no"))</f>
        <v/>
      </c>
    </row>
    <row r="125">
      <c r="A125" s="5" t="n">
        <v>124</v>
      </c>
      <c r="B125" s="5" t="inlineStr">
        <is>
          <t>121</t>
        </is>
      </c>
      <c r="C125" s="5" t="inlineStr">
        <is>
          <t>own label</t>
        </is>
      </c>
      <c r="D125" s="5" t="inlineStr">
        <is>
          <t>outline</t>
        </is>
      </c>
      <c r="E125" s="5" t="n">
        <v>13</v>
      </c>
      <c r="F125" s="5" t="inlineStr">
        <is>
          <t>isolated_footing</t>
        </is>
      </c>
      <c r="G125" s="5" t="inlineStr">
        <is>
          <t>Isolated footing S7 4.50 × 3.50 m</t>
        </is>
      </c>
      <c r="H125" s="5" t="inlineStr">
        <is>
          <t>label vote</t>
        </is>
      </c>
      <c r="I125" s="5" t="inlineStr">
        <is>
          <t>S7</t>
        </is>
      </c>
      <c r="J125" s="5" t="inlineStr">
        <is>
          <t>printed label</t>
        </is>
      </c>
      <c r="K125" s="5" t="inlineStr">
        <is>
          <t>S7-121</t>
        </is>
      </c>
      <c r="L125" s="5" t="n">
        <v>450</v>
      </c>
      <c r="M125" s="5" t="n">
        <v>350</v>
      </c>
      <c r="N125" s="10">
        <f>IF(AND(ISNUMBER(L125),M125&gt;0),L125/M125,"")</f>
        <v/>
      </c>
      <c r="O125" s="5" t="n">
        <v>15.76</v>
      </c>
      <c r="P125" s="5" t="n">
        <v>0.1</v>
      </c>
      <c r="Q125" s="5" t="n">
        <v>3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1</v>
      </c>
      <c r="W125" s="5" t="n">
        <v>31</v>
      </c>
      <c r="X125" s="5" t="n">
        <v>0</v>
      </c>
      <c r="Y125" s="5" t="n"/>
      <c r="Z125" s="5" t="inlineStr"/>
      <c r="AA125" s="5" t="n">
        <v>4923.4</v>
      </c>
      <c r="AB125" s="5" t="n">
        <v>1722</v>
      </c>
      <c r="AC125" s="5" t="n">
        <v>5056.4</v>
      </c>
      <c r="AD125" s="5" t="n">
        <v>1825.5</v>
      </c>
      <c r="AE125" s="5" t="inlineStr">
        <is>
          <t>isolated_footing</t>
        </is>
      </c>
      <c r="AF125" s="5">
        <f>IF(AE125="","",IF(OR(AE125=F125,AND(AE125="crane_footing",F125="isolated_footing")),"yes","no"))</f>
        <v/>
      </c>
    </row>
    <row r="126">
      <c r="A126" s="5" t="n">
        <v>125</v>
      </c>
      <c r="B126" s="5" t="inlineStr">
        <is>
          <t>121</t>
        </is>
      </c>
      <c r="C126" s="5" t="inlineStr">
        <is>
          <t>own label</t>
        </is>
      </c>
      <c r="D126" s="5" t="inlineStr">
        <is>
          <t>outline</t>
        </is>
      </c>
      <c r="E126" s="5" t="n">
        <v>13</v>
      </c>
      <c r="F126" s="5" t="inlineStr">
        <is>
          <t>isolated_footing</t>
        </is>
      </c>
      <c r="G126" s="5" t="inlineStr">
        <is>
          <t>Isolated footing S7 4.50 × 3.50 m</t>
        </is>
      </c>
      <c r="H126" s="5" t="inlineStr">
        <is>
          <t>label vote</t>
        </is>
      </c>
      <c r="I126" s="5" t="inlineStr">
        <is>
          <t>S7</t>
        </is>
      </c>
      <c r="J126" s="5" t="inlineStr">
        <is>
          <t>printed label</t>
        </is>
      </c>
      <c r="K126" s="5" t="inlineStr">
        <is>
          <t>S7-121</t>
        </is>
      </c>
      <c r="L126" s="5" t="n">
        <v>450</v>
      </c>
      <c r="M126" s="5" t="n">
        <v>350</v>
      </c>
      <c r="N126" s="10">
        <f>IF(AND(ISNUMBER(L126),M126&gt;0),L126/M126,"")</f>
        <v/>
      </c>
      <c r="O126" s="5" t="n">
        <v>15.759</v>
      </c>
      <c r="P126" s="5" t="n">
        <v>89.90000000000001</v>
      </c>
      <c r="Q126" s="5" t="n">
        <v>3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1</v>
      </c>
      <c r="W126" s="5" t="n">
        <v>45</v>
      </c>
      <c r="X126" s="5" t="n">
        <v>1</v>
      </c>
      <c r="Y126" s="5" t="n"/>
      <c r="Z126" s="5" t="inlineStr"/>
      <c r="AA126" s="5" t="n">
        <v>4716.6</v>
      </c>
      <c r="AB126" s="5" t="n">
        <v>1677.5</v>
      </c>
      <c r="AC126" s="5" t="n">
        <v>4820.2</v>
      </c>
      <c r="AD126" s="5" t="n">
        <v>1810.7</v>
      </c>
      <c r="AE126" s="5" t="inlineStr">
        <is>
          <t>isolated_footing</t>
        </is>
      </c>
      <c r="AF126" s="5">
        <f>IF(AE126="","",IF(OR(AE126=F126,AND(AE126="crane_footing",F126="isolated_footing")),"yes","no"))</f>
        <v/>
      </c>
    </row>
    <row r="127">
      <c r="A127" s="5" t="n">
        <v>126</v>
      </c>
      <c r="B127" s="5" t="inlineStr">
        <is>
          <t>121</t>
        </is>
      </c>
      <c r="C127" s="5" t="inlineStr">
        <is>
          <t>own label</t>
        </is>
      </c>
      <c r="D127" s="5" t="inlineStr">
        <is>
          <t>outline</t>
        </is>
      </c>
      <c r="E127" s="5" t="n">
        <v>13</v>
      </c>
      <c r="F127" s="5" t="inlineStr">
        <is>
          <t>isolated_footing</t>
        </is>
      </c>
      <c r="G127" s="5" t="inlineStr">
        <is>
          <t>Isolated footing S7 4.50 × 3.50 m</t>
        </is>
      </c>
      <c r="H127" s="5" t="inlineStr">
        <is>
          <t>label vote</t>
        </is>
      </c>
      <c r="I127" s="5" t="inlineStr">
        <is>
          <t>S7</t>
        </is>
      </c>
      <c r="J127" s="5" t="inlineStr">
        <is>
          <t>printed label</t>
        </is>
      </c>
      <c r="K127" s="5" t="inlineStr">
        <is>
          <t>S7-121</t>
        </is>
      </c>
      <c r="L127" s="5" t="n">
        <v>450</v>
      </c>
      <c r="M127" s="5" t="n">
        <v>350</v>
      </c>
      <c r="N127" s="10">
        <f>IF(AND(ISNUMBER(L127),M127&gt;0),L127/M127,"")</f>
        <v/>
      </c>
      <c r="O127" s="5" t="n">
        <v>15.755</v>
      </c>
      <c r="P127" s="5" t="n">
        <v>0.1</v>
      </c>
      <c r="Q127" s="5" t="n">
        <v>1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1</v>
      </c>
      <c r="W127" s="5" t="n">
        <v>37</v>
      </c>
      <c r="X127" s="5" t="n">
        <v>4</v>
      </c>
      <c r="Y127" s="5" t="n"/>
      <c r="Z127" s="5" t="inlineStr"/>
      <c r="AA127" s="5" t="n">
        <v>4480.6</v>
      </c>
      <c r="AB127" s="5" t="n">
        <v>1724.5</v>
      </c>
      <c r="AC127" s="5" t="n">
        <v>4613.6</v>
      </c>
      <c r="AD127" s="5" t="n">
        <v>1827.9</v>
      </c>
      <c r="AE127" s="5" t="inlineStr">
        <is>
          <t>isolated_footing</t>
        </is>
      </c>
      <c r="AF127" s="5">
        <f>IF(AE127="","",IF(OR(AE127=F127,AND(AE127="crane_footing",F127="isolated_footing")),"yes","no"))</f>
        <v/>
      </c>
    </row>
    <row r="128">
      <c r="A128" s="5" t="n">
        <v>127</v>
      </c>
      <c r="B128" s="5" t="inlineStr">
        <is>
          <t>121</t>
        </is>
      </c>
      <c r="C128" s="5" t="inlineStr">
        <is>
          <t>nearest labels</t>
        </is>
      </c>
      <c r="D128" s="5" t="inlineStr">
        <is>
          <t>outline</t>
        </is>
      </c>
      <c r="E128" s="5" t="n">
        <v>14</v>
      </c>
      <c r="F128" s="5" t="inlineStr">
        <is>
          <t>combined_footing</t>
        </is>
      </c>
      <c r="G128" s="5" t="inlineStr">
        <is>
          <t>Combined footing SC1 5.00 × 3.50 m</t>
        </is>
      </c>
      <c r="H128" s="5" t="inlineStr">
        <is>
          <t>label vote</t>
        </is>
      </c>
      <c r="I128" s="5" t="inlineStr">
        <is>
          <t>SC1</t>
        </is>
      </c>
      <c r="J128" s="5" t="inlineStr">
        <is>
          <t>printed label</t>
        </is>
      </c>
      <c r="K128" s="5" t="inlineStr">
        <is>
          <t>SC1-</t>
        </is>
      </c>
      <c r="L128" s="5" t="n">
        <v>500</v>
      </c>
      <c r="M128" s="5" t="n">
        <v>350</v>
      </c>
      <c r="N128" s="10">
        <f>IF(AND(ISNUMBER(L128),M128&gt;0),L128/M128,"")</f>
        <v/>
      </c>
      <c r="O128" s="5" t="n">
        <v>17.505</v>
      </c>
      <c r="P128" s="5" t="n">
        <v>0</v>
      </c>
      <c r="Q128" s="5" t="n">
        <v>3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2</v>
      </c>
      <c r="W128" s="5" t="n">
        <v>60</v>
      </c>
      <c r="X128" s="5" t="n">
        <v>3</v>
      </c>
      <c r="Y128" s="5" t="n"/>
      <c r="Z128" s="5" t="inlineStr"/>
      <c r="AA128" s="5" t="n">
        <v>4693.8</v>
      </c>
      <c r="AB128" s="5" t="n">
        <v>1278.8</v>
      </c>
      <c r="AC128" s="5" t="n">
        <v>4841.4</v>
      </c>
      <c r="AD128" s="5" t="n">
        <v>1382.3</v>
      </c>
      <c r="AE128" s="5" t="inlineStr">
        <is>
          <t>combined_footing</t>
        </is>
      </c>
      <c r="AF128" s="5">
        <f>IF(AE128="","",IF(OR(AE128=F128,AND(AE128="crane_footing",F128="isolated_footing")),"yes","no"))</f>
        <v/>
      </c>
    </row>
    <row r="129">
      <c r="A129" s="5" t="n">
        <v>128</v>
      </c>
      <c r="B129" s="5" t="inlineStr">
        <is>
          <t>121</t>
        </is>
      </c>
      <c r="C129" s="5" t="inlineStr">
        <is>
          <t>region between joints</t>
        </is>
      </c>
      <c r="D129" s="5" t="inlineStr">
        <is>
          <t>outline</t>
        </is>
      </c>
      <c r="E129" s="5" t="n">
        <v>14</v>
      </c>
      <c r="F129" s="5" t="inlineStr">
        <is>
          <t>combined_footing</t>
        </is>
      </c>
      <c r="G129" s="5" t="inlineStr">
        <is>
          <t>Combined footing SC1 5.00 × 3.50 m</t>
        </is>
      </c>
      <c r="H129" s="5" t="inlineStr">
        <is>
          <t>label vote</t>
        </is>
      </c>
      <c r="I129" s="5" t="inlineStr">
        <is>
          <t>SC1</t>
        </is>
      </c>
      <c r="J129" s="5" t="inlineStr">
        <is>
          <t>printed label</t>
        </is>
      </c>
      <c r="K129" s="5" t="inlineStr">
        <is>
          <t>SC1-</t>
        </is>
      </c>
      <c r="L129" s="5" t="n">
        <v>500</v>
      </c>
      <c r="M129" s="5" t="n">
        <v>350</v>
      </c>
      <c r="N129" s="10">
        <f>IF(AND(ISNUMBER(L129),M129&gt;0),L129/M129,"")</f>
        <v/>
      </c>
      <c r="O129" s="5" t="n">
        <v>17.504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2</v>
      </c>
      <c r="W129" s="5" t="n">
        <v>91</v>
      </c>
      <c r="X129" s="5" t="n">
        <v>5</v>
      </c>
      <c r="Y129" s="5" t="n"/>
      <c r="Z129" s="5" t="inlineStr"/>
      <c r="AA129" s="5" t="n">
        <v>4247.9</v>
      </c>
      <c r="AB129" s="5" t="n">
        <v>2084.4</v>
      </c>
      <c r="AC129" s="5" t="n">
        <v>4395.7</v>
      </c>
      <c r="AD129" s="5" t="n">
        <v>2187.9</v>
      </c>
      <c r="AE129" s="5" t="inlineStr">
        <is>
          <t>combined_footing</t>
        </is>
      </c>
      <c r="AF129" s="5">
        <f>IF(AE129="","",IF(OR(AE129=F129,AND(AE129="crane_footing",F129="isolated_footing")),"yes","no"))</f>
        <v/>
      </c>
    </row>
    <row r="130">
      <c r="A130" s="5" t="n">
        <v>129</v>
      </c>
      <c r="B130" s="5" t="inlineStr">
        <is>
          <t>121</t>
        </is>
      </c>
      <c r="C130" s="5" t="inlineStr">
        <is>
          <t>region between joints</t>
        </is>
      </c>
      <c r="D130" s="5" t="inlineStr">
        <is>
          <t>outline</t>
        </is>
      </c>
      <c r="E130" s="5" t="n">
        <v>14</v>
      </c>
      <c r="F130" s="5" t="inlineStr">
        <is>
          <t>combined_footing</t>
        </is>
      </c>
      <c r="G130" s="5" t="inlineStr">
        <is>
          <t>Combined footing SC1 5.00 × 3.50 m</t>
        </is>
      </c>
      <c r="H130" s="5" t="inlineStr">
        <is>
          <t>label vote</t>
        </is>
      </c>
      <c r="I130" s="5" t="inlineStr">
        <is>
          <t>SC1</t>
        </is>
      </c>
      <c r="J130" s="5" t="inlineStr">
        <is>
          <t>printed label</t>
        </is>
      </c>
      <c r="K130" s="5" t="inlineStr">
        <is>
          <t>SC1-</t>
        </is>
      </c>
      <c r="L130" s="5" t="n">
        <v>500</v>
      </c>
      <c r="M130" s="5" t="n">
        <v>350</v>
      </c>
      <c r="N130" s="10">
        <f>IF(AND(ISNUMBER(L130),M130&gt;0),L130/M130,"")</f>
        <v/>
      </c>
      <c r="O130" s="5" t="n">
        <v>17.5</v>
      </c>
      <c r="P130" s="5" t="n">
        <v>0</v>
      </c>
      <c r="Q130" s="5" t="n">
        <v>6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2</v>
      </c>
      <c r="W130" s="5" t="n">
        <v>274</v>
      </c>
      <c r="X130" s="5" t="n">
        <v>19</v>
      </c>
      <c r="Y130" s="5" t="n"/>
      <c r="Z130" s="5" t="inlineStr"/>
      <c r="AA130" s="5" t="n">
        <v>4695.5</v>
      </c>
      <c r="AB130" s="5" t="n">
        <v>2083.5</v>
      </c>
      <c r="AC130" s="5" t="n">
        <v>4843.2</v>
      </c>
      <c r="AD130" s="5" t="n">
        <v>2186.9</v>
      </c>
      <c r="AE130" s="5" t="inlineStr">
        <is>
          <t>combined_footing</t>
        </is>
      </c>
      <c r="AF130" s="5">
        <f>IF(AE130="","",IF(OR(AE130=F130,AND(AE130="crane_footing",F130="isolated_footing")),"yes","no"))</f>
        <v/>
      </c>
    </row>
    <row r="131">
      <c r="A131" s="5" t="n">
        <v>130</v>
      </c>
      <c r="B131" s="5" t="inlineStr">
        <is>
          <t>121</t>
        </is>
      </c>
      <c r="C131" s="5" t="inlineStr">
        <is>
          <t>own label</t>
        </is>
      </c>
      <c r="D131" s="5" t="inlineStr">
        <is>
          <t>outline</t>
        </is>
      </c>
      <c r="E131" s="5" t="n">
        <v>14</v>
      </c>
      <c r="F131" s="5" t="inlineStr">
        <is>
          <t>combined_footing</t>
        </is>
      </c>
      <c r="G131" s="5" t="inlineStr">
        <is>
          <t>Combined footing SC4 4.50 × 4.50 m</t>
        </is>
      </c>
      <c r="H131" s="5" t="inlineStr">
        <is>
          <t>label vote</t>
        </is>
      </c>
      <c r="I131" s="5" t="inlineStr">
        <is>
          <t>SC4</t>
        </is>
      </c>
      <c r="J131" s="5" t="inlineStr">
        <is>
          <t>printed label</t>
        </is>
      </c>
      <c r="K131" s="5" t="inlineStr">
        <is>
          <t>SC4-121</t>
        </is>
      </c>
      <c r="L131" s="5" t="n">
        <v>450</v>
      </c>
      <c r="M131" s="5" t="n">
        <v>450</v>
      </c>
      <c r="N131" s="10">
        <f>IF(AND(ISNUMBER(L131),M131&gt;0),L131/M131,"")</f>
        <v/>
      </c>
      <c r="O131" s="5" t="n">
        <v>20.252</v>
      </c>
      <c r="P131" s="5" t="n">
        <v>0.1</v>
      </c>
      <c r="Q131" s="5" t="n">
        <v>2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2</v>
      </c>
      <c r="W131" s="5" t="n">
        <v>58</v>
      </c>
      <c r="X131" s="5" t="n">
        <v>4</v>
      </c>
      <c r="Y131" s="5" t="n"/>
      <c r="Z131" s="5" t="inlineStr"/>
      <c r="AA131" s="5" t="n">
        <v>4501.3</v>
      </c>
      <c r="AB131" s="5" t="n">
        <v>1573.1</v>
      </c>
      <c r="AC131" s="5" t="n">
        <v>4634.2</v>
      </c>
      <c r="AD131" s="5" t="n">
        <v>1706.1</v>
      </c>
      <c r="AE131" s="5" t="inlineStr">
        <is>
          <t>combined_footing</t>
        </is>
      </c>
      <c r="AF131" s="5">
        <f>IF(AE131="","",IF(OR(AE131=F131,AND(AE131="crane_footing",F131="isolated_footing")),"yes","no"))</f>
        <v/>
      </c>
    </row>
    <row r="132">
      <c r="A132" s="5" t="n">
        <v>131</v>
      </c>
      <c r="B132" s="5" t="inlineStr">
        <is>
          <t>121</t>
        </is>
      </c>
      <c r="C132" s="5" t="inlineStr">
        <is>
          <t>region between joints</t>
        </is>
      </c>
      <c r="D132" s="5" t="inlineStr">
        <is>
          <t>band</t>
        </is>
      </c>
      <c r="E132" s="5" t="n">
        <v>5</v>
      </c>
      <c r="F132" s="5" t="inlineStr">
        <is>
          <t>strip_footing</t>
        </is>
      </c>
      <c r="G132" s="5" t="inlineStr">
        <is>
          <t>Strip footing SF1 7.03 × 0.80 m</t>
        </is>
      </c>
      <c r="H132" s="5" t="inlineStr">
        <is>
          <t>label vote</t>
        </is>
      </c>
      <c r="I132" s="5" t="inlineStr">
        <is>
          <t>SF1</t>
        </is>
      </c>
      <c r="J132" s="5" t="inlineStr">
        <is>
          <t>printed label</t>
        </is>
      </c>
      <c r="K132" s="5" t="inlineStr">
        <is>
          <t>SF1 80x25</t>
        </is>
      </c>
      <c r="L132" s="5" t="n">
        <v>703</v>
      </c>
      <c r="M132" s="5" t="n">
        <v>80</v>
      </c>
      <c r="N132" s="10">
        <f>IF(AND(ISNUMBER(L132),M132&gt;0),L132/M132,"")</f>
        <v/>
      </c>
      <c r="O132" s="5" t="n">
        <v>5.624</v>
      </c>
      <c r="P132" s="5" t="n">
        <v>179.9</v>
      </c>
      <c r="Q132" s="5" t="n">
        <v>1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1</v>
      </c>
      <c r="W132" s="5" t="n">
        <v>11</v>
      </c>
      <c r="X132" s="5" t="n">
        <v>16</v>
      </c>
      <c r="Y132" s="5" t="n">
        <v>7.03</v>
      </c>
      <c r="Z132" s="5" t="inlineStr"/>
      <c r="AA132" s="5" t="n">
        <v>4502.5</v>
      </c>
      <c r="AB132" s="5" t="n">
        <v>2024.6</v>
      </c>
      <c r="AC132" s="5" t="n">
        <v>4710</v>
      </c>
      <c r="AD132" s="5" t="n">
        <v>2048.7</v>
      </c>
      <c r="AE132" s="5" t="inlineStr"/>
      <c r="AF132" s="5">
        <f>IF(AE132="","",IF(OR(AE132=F132,AND(AE132="crane_footing",F132="isolated_footing")),"yes","no"))</f>
        <v/>
      </c>
    </row>
    <row r="133">
      <c r="A133" s="5" t="n">
        <v>132</v>
      </c>
      <c r="B133" s="5" t="inlineStr">
        <is>
          <t>121</t>
        </is>
      </c>
      <c r="C133" s="5" t="inlineStr">
        <is>
          <t>region between joints</t>
        </is>
      </c>
      <c r="D133" s="5" t="inlineStr">
        <is>
          <t>band</t>
        </is>
      </c>
      <c r="E133" s="5" t="n">
        <v>5</v>
      </c>
      <c r="F133" s="5" t="inlineStr">
        <is>
          <t>strip_footing</t>
        </is>
      </c>
      <c r="G133" s="5" t="inlineStr">
        <is>
          <t>Strip footing SF1 3.53 × 0.80 m</t>
        </is>
      </c>
      <c r="H133" s="5" t="inlineStr">
        <is>
          <t>label vote</t>
        </is>
      </c>
      <c r="I133" s="5" t="inlineStr">
        <is>
          <t>SF1</t>
        </is>
      </c>
      <c r="J133" s="5" t="inlineStr">
        <is>
          <t>printed label</t>
        </is>
      </c>
      <c r="K133" s="5" t="inlineStr">
        <is>
          <t>SF1 80x25</t>
        </is>
      </c>
      <c r="L133" s="5" t="n">
        <v>353</v>
      </c>
      <c r="M133" s="5" t="n">
        <v>80</v>
      </c>
      <c r="N133" s="10">
        <f>IF(AND(ISNUMBER(L133),M133&gt;0),L133/M133,"")</f>
        <v/>
      </c>
      <c r="O133" s="5" t="n">
        <v>2.821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4</v>
      </c>
      <c r="X133" s="5" t="n">
        <v>0</v>
      </c>
      <c r="Y133" s="5" t="n">
        <v>3.5</v>
      </c>
      <c r="Z133" s="5" t="inlineStr"/>
      <c r="AA133" s="5" t="n">
        <v>4819.4</v>
      </c>
      <c r="AB133" s="5" t="n">
        <v>1764.1</v>
      </c>
      <c r="AC133" s="5" t="n">
        <v>4923.5</v>
      </c>
      <c r="AD133" s="5" t="n">
        <v>1787.8</v>
      </c>
      <c r="AE133" s="5" t="inlineStr"/>
      <c r="AF133" s="5">
        <f>IF(AE133="","",IF(OR(AE133=F133,AND(AE133="crane_footing",F133="isolated_footing")),"yes","no"))</f>
        <v/>
      </c>
    </row>
    <row r="134">
      <c r="A134" s="5" t="n">
        <v>133</v>
      </c>
      <c r="B134" s="5" t="inlineStr">
        <is>
          <t>121</t>
        </is>
      </c>
      <c r="C134" s="5" t="inlineStr">
        <is>
          <t>region between joints</t>
        </is>
      </c>
      <c r="D134" s="5" t="inlineStr">
        <is>
          <t>band</t>
        </is>
      </c>
      <c r="E134" s="5" t="n">
        <v>5</v>
      </c>
      <c r="F134" s="5" t="inlineStr">
        <is>
          <t>strip_footing</t>
        </is>
      </c>
      <c r="G134" s="5" t="inlineStr">
        <is>
          <t>Strip footing SF1 3.44 × 0.80 m</t>
        </is>
      </c>
      <c r="H134" s="5" t="inlineStr">
        <is>
          <t>label vote</t>
        </is>
      </c>
      <c r="I134" s="5" t="inlineStr">
        <is>
          <t>SF1</t>
        </is>
      </c>
      <c r="J134" s="5" t="inlineStr">
        <is>
          <t>printed label</t>
        </is>
      </c>
      <c r="K134" s="5" t="inlineStr">
        <is>
          <t>SF1 80x25</t>
        </is>
      </c>
      <c r="L134" s="5" t="n">
        <v>344</v>
      </c>
      <c r="M134" s="5" t="n">
        <v>80</v>
      </c>
      <c r="N134" s="10">
        <f>IF(AND(ISNUMBER(L134),M134&gt;0),L134/M134,"")</f>
        <v/>
      </c>
      <c r="O134" s="5" t="n">
        <v>2.755</v>
      </c>
      <c r="P134" s="5" t="n">
        <v>90</v>
      </c>
      <c r="Q134" s="5" t="n">
        <v>1</v>
      </c>
      <c r="R134" s="5" t="n">
        <v>0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2</v>
      </c>
      <c r="X134" s="5" t="n">
        <v>0</v>
      </c>
      <c r="Y134" s="5" t="n">
        <v>3.44</v>
      </c>
      <c r="Z134" s="5" t="inlineStr"/>
      <c r="AA134" s="5" t="n">
        <v>4756.7</v>
      </c>
      <c r="AB134" s="5" t="n">
        <v>1382.3</v>
      </c>
      <c r="AC134" s="5" t="n">
        <v>4780.4</v>
      </c>
      <c r="AD134" s="5" t="n">
        <v>1484</v>
      </c>
      <c r="AE134" s="5" t="inlineStr"/>
      <c r="AF134" s="5">
        <f>IF(AE134="","",IF(OR(AE134=F134,AND(AE134="crane_footing",F134="isolated_footing")),"yes","no"))</f>
        <v/>
      </c>
    </row>
    <row r="135">
      <c r="A135" s="5" t="n">
        <v>134</v>
      </c>
      <c r="B135" s="5" t="inlineStr">
        <is>
          <t>121</t>
        </is>
      </c>
      <c r="C135" s="5" t="inlineStr">
        <is>
          <t>region between joints</t>
        </is>
      </c>
      <c r="D135" s="5" t="inlineStr">
        <is>
          <t>band</t>
        </is>
      </c>
      <c r="E135" s="5" t="n">
        <v>5</v>
      </c>
      <c r="F135" s="5" t="inlineStr">
        <is>
          <t>strip_footing</t>
        </is>
      </c>
      <c r="G135" s="5" t="inlineStr">
        <is>
          <t>Strip footing SF1 2.06 × 0.80 m</t>
        </is>
      </c>
      <c r="H135" s="5" t="inlineStr">
        <is>
          <t>label vote</t>
        </is>
      </c>
      <c r="I135" s="5" t="inlineStr">
        <is>
          <t>SF1</t>
        </is>
      </c>
      <c r="J135" s="5" t="inlineStr">
        <is>
          <t>printed label</t>
        </is>
      </c>
      <c r="K135" s="5" t="inlineStr">
        <is>
          <t>SF1 80x25</t>
        </is>
      </c>
      <c r="L135" s="5" t="n">
        <v>206</v>
      </c>
      <c r="M135" s="5" t="n">
        <v>80</v>
      </c>
      <c r="N135" s="10">
        <f>IF(AND(ISNUMBER(L135),M135&gt;0),L135/M135,"")</f>
        <v/>
      </c>
      <c r="O135" s="5" t="n">
        <v>1.648</v>
      </c>
      <c r="P135" s="5" t="n">
        <v>89.90000000000001</v>
      </c>
      <c r="Q135" s="5" t="n">
        <v>1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1</v>
      </c>
      <c r="W135" s="5" t="n">
        <v>1</v>
      </c>
      <c r="X135" s="5" t="n">
        <v>0</v>
      </c>
      <c r="Y135" s="5" t="n">
        <v>2.06</v>
      </c>
      <c r="Z135" s="5" t="inlineStr"/>
      <c r="AA135" s="5" t="n">
        <v>5004.4</v>
      </c>
      <c r="AB135" s="5" t="n">
        <v>1661.2</v>
      </c>
      <c r="AC135" s="5" t="n">
        <v>5028.1</v>
      </c>
      <c r="AD135" s="5" t="n">
        <v>1722.1</v>
      </c>
      <c r="AE135" s="5" t="inlineStr"/>
      <c r="AF135" s="5">
        <f>IF(AE135="","",IF(OR(AE135=F135,AND(AE135="crane_footing",F135="isolated_footing")),"yes","no"))</f>
        <v/>
      </c>
    </row>
    <row r="136">
      <c r="A136" s="5" t="n">
        <v>135</v>
      </c>
      <c r="B136" s="5" t="inlineStr">
        <is>
          <t>121</t>
        </is>
      </c>
      <c r="C136" s="5" t="inlineStr">
        <is>
          <t>region between joints</t>
        </is>
      </c>
      <c r="D136" s="5" t="inlineStr">
        <is>
          <t>band</t>
        </is>
      </c>
      <c r="E136" s="5" t="n">
        <v>5</v>
      </c>
      <c r="F136" s="5" t="inlineStr">
        <is>
          <t>strip_footing</t>
        </is>
      </c>
      <c r="G136" s="5" t="inlineStr">
        <is>
          <t>Strip footing SF1 1.20 × 0.80 m</t>
        </is>
      </c>
      <c r="H136" s="5" t="inlineStr">
        <is>
          <t>label vote</t>
        </is>
      </c>
      <c r="I136" s="5" t="inlineStr">
        <is>
          <t>SF1</t>
        </is>
      </c>
      <c r="J136" s="5" t="inlineStr">
        <is>
          <t>printed label</t>
        </is>
      </c>
      <c r="K136" s="5" t="inlineStr">
        <is>
          <t>SF1 80x25</t>
        </is>
      </c>
      <c r="L136" s="5" t="n">
        <v>120</v>
      </c>
      <c r="M136" s="5" t="n">
        <v>80</v>
      </c>
      <c r="N136" s="10">
        <f>IF(AND(ISNUMBER(L136),M136&gt;0),L136/M136,"")</f>
        <v/>
      </c>
      <c r="O136" s="5" t="n">
        <v>0.959</v>
      </c>
      <c r="P136" s="5" t="n">
        <v>90.09999999999999</v>
      </c>
      <c r="Q136" s="5" t="n">
        <v>1</v>
      </c>
      <c r="R136" s="5" t="n">
        <v>0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22</v>
      </c>
      <c r="X136" s="5" t="n">
        <v>4</v>
      </c>
      <c r="Y136" s="5" t="n">
        <v>1.2</v>
      </c>
      <c r="Z136" s="5" t="inlineStr"/>
      <c r="AA136" s="5" t="n">
        <v>4759.9</v>
      </c>
      <c r="AB136" s="5" t="n">
        <v>2048.1</v>
      </c>
      <c r="AC136" s="5" t="n">
        <v>4783.5</v>
      </c>
      <c r="AD136" s="5" t="n">
        <v>2083.5</v>
      </c>
      <c r="AE136" s="5" t="inlineStr"/>
      <c r="AF136" s="5">
        <f>IF(AE136="","",IF(OR(AE136=F136,AND(AE136="crane_footing",F136="isolated_footing")),"yes","no"))</f>
        <v/>
      </c>
    </row>
    <row r="137">
      <c r="A137" s="5" t="n">
        <v>136</v>
      </c>
      <c r="B137" s="5" t="inlineStr">
        <is>
          <t>121</t>
        </is>
      </c>
      <c r="C137" s="5" t="inlineStr">
        <is>
          <t>region between joints</t>
        </is>
      </c>
      <c r="D137" s="5" t="inlineStr">
        <is>
          <t>band</t>
        </is>
      </c>
      <c r="E137" s="5" t="n">
        <v>1</v>
      </c>
      <c r="F137" s="5" t="inlineStr">
        <is>
          <t>grade_beam</t>
        </is>
      </c>
      <c r="G137" s="5" t="inlineStr">
        <is>
          <t>Grade beam LG25x40 11.99 × 0.25 m</t>
        </is>
      </c>
      <c r="H137" s="5" t="inlineStr">
        <is>
          <t>label vote</t>
        </is>
      </c>
      <c r="I137" s="5" t="inlineStr">
        <is>
          <t>LG25x40</t>
        </is>
      </c>
      <c r="J137" s="5" t="inlineStr">
        <is>
          <t>printed label</t>
        </is>
      </c>
      <c r="K137" s="5" t="inlineStr">
        <is>
          <t>LG-25x40</t>
        </is>
      </c>
      <c r="L137" s="5" t="n">
        <v>1199</v>
      </c>
      <c r="M137" s="5" t="n">
        <v>25</v>
      </c>
      <c r="N137" s="10">
        <f>IF(AND(ISNUMBER(L137),M137&gt;0),L137/M137,"")</f>
        <v/>
      </c>
      <c r="O137" s="5" t="n">
        <v>2.997</v>
      </c>
      <c r="P137" s="5" t="n">
        <v>179.9</v>
      </c>
      <c r="Q137" s="5" t="n">
        <v>3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1</v>
      </c>
      <c r="W137" s="5" t="n">
        <v>13</v>
      </c>
      <c r="X137" s="5" t="n">
        <v>2</v>
      </c>
      <c r="Y137" s="5" t="n">
        <v>5.1</v>
      </c>
      <c r="Z137" s="5" t="inlineStr"/>
      <c r="AA137" s="5" t="n">
        <v>4164.3</v>
      </c>
      <c r="AB137" s="5" t="n">
        <v>2128.4</v>
      </c>
      <c r="AC137" s="5" t="n">
        <v>4518.3</v>
      </c>
      <c r="AD137" s="5" t="n">
        <v>2136.6</v>
      </c>
      <c r="AE137" s="5" t="inlineStr"/>
      <c r="AF137" s="5">
        <f>IF(AE137="","",IF(OR(AE137=F137,AND(AE137="crane_footing",F137="isolated_footing")),"yes","no"))</f>
        <v/>
      </c>
    </row>
    <row r="138">
      <c r="A138" s="5" t="n">
        <v>137</v>
      </c>
      <c r="B138" s="5" t="inlineStr">
        <is>
          <t>121</t>
        </is>
      </c>
      <c r="C138" s="5" t="inlineStr">
        <is>
          <t>region between joints</t>
        </is>
      </c>
      <c r="D138" s="5" t="inlineStr">
        <is>
          <t>band</t>
        </is>
      </c>
      <c r="E138" s="5" t="n">
        <v>3</v>
      </c>
      <c r="F138" s="5" t="inlineStr">
        <is>
          <t>grade_beam</t>
        </is>
      </c>
      <c r="G138" s="5" t="inlineStr">
        <is>
          <t>Grade beam LG40x15 26.98 × 0.40 m</t>
        </is>
      </c>
      <c r="H138" s="5" t="inlineStr">
        <is>
          <t>label vote</t>
        </is>
      </c>
      <c r="I138" s="5" t="inlineStr">
        <is>
          <t>LG40x15</t>
        </is>
      </c>
      <c r="J138" s="5" t="inlineStr">
        <is>
          <t>printed label</t>
        </is>
      </c>
      <c r="K138" s="5" t="inlineStr">
        <is>
          <t>LG-40x15</t>
        </is>
      </c>
      <c r="L138" s="5" t="n">
        <v>2698</v>
      </c>
      <c r="M138" s="5" t="n">
        <v>40</v>
      </c>
      <c r="N138" s="10">
        <f>IF(AND(ISNUMBER(L138),M138&gt;0),L138/M138,"")</f>
        <v/>
      </c>
      <c r="O138" s="5" t="n">
        <v>10.793</v>
      </c>
      <c r="P138" s="5" t="n">
        <v>90</v>
      </c>
      <c r="Q138" s="5" t="n">
        <v>4</v>
      </c>
      <c r="R138" s="5" t="n">
        <v>0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112</v>
      </c>
      <c r="X138" s="5" t="n">
        <v>7</v>
      </c>
      <c r="Y138" s="5" t="n">
        <v>20.83</v>
      </c>
      <c r="Z138" s="5" t="inlineStr"/>
      <c r="AA138" s="5" t="n">
        <v>4292.7</v>
      </c>
      <c r="AB138" s="5" t="n">
        <v>1333.6</v>
      </c>
      <c r="AC138" s="5" t="n">
        <v>4305.2</v>
      </c>
      <c r="AD138" s="5" t="n">
        <v>2130.3</v>
      </c>
      <c r="AE138" s="5" t="inlineStr"/>
      <c r="AF138" s="5">
        <f>IF(AE138="","",IF(OR(AE138=F138,AND(AE138="crane_footing",F138="isolated_footing")),"yes","no"))</f>
        <v/>
      </c>
    </row>
    <row r="139">
      <c r="A139" s="5" t="n">
        <v>138</v>
      </c>
      <c r="B139" s="5" t="inlineStr">
        <is>
          <t>121</t>
        </is>
      </c>
      <c r="C139" s="5" t="inlineStr">
        <is>
          <t>region between joints</t>
        </is>
      </c>
      <c r="D139" s="5" t="inlineStr">
        <is>
          <t>band</t>
        </is>
      </c>
      <c r="E139" s="5" t="n">
        <v>3</v>
      </c>
      <c r="F139" s="5" t="inlineStr">
        <is>
          <t>grade_beam</t>
        </is>
      </c>
      <c r="G139" s="5" t="inlineStr">
        <is>
          <t>Grade beam LG40x15 23.47 × 0.40 m</t>
        </is>
      </c>
      <c r="H139" s="5" t="inlineStr">
        <is>
          <t>label vote</t>
        </is>
      </c>
      <c r="I139" s="5" t="inlineStr">
        <is>
          <t>LG40x15</t>
        </is>
      </c>
      <c r="J139" s="5" t="inlineStr">
        <is>
          <t>printed label</t>
        </is>
      </c>
      <c r="K139" s="5" t="inlineStr">
        <is>
          <t>LG-40x15</t>
        </is>
      </c>
      <c r="L139" s="5" t="n">
        <v>2347</v>
      </c>
      <c r="M139" s="5" t="n">
        <v>40</v>
      </c>
      <c r="N139" s="10">
        <f>IF(AND(ISNUMBER(L139),M139&gt;0),L139/M139,"")</f>
        <v/>
      </c>
      <c r="O139" s="5" t="n">
        <v>9.387</v>
      </c>
      <c r="P139" s="5" t="n">
        <v>90</v>
      </c>
      <c r="Q139" s="5" t="n">
        <v>5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2</v>
      </c>
      <c r="X139" s="5" t="n">
        <v>9</v>
      </c>
      <c r="Y139" s="5" t="n">
        <v>9.07</v>
      </c>
      <c r="Z139" s="5" t="inlineStr"/>
      <c r="AA139" s="5" t="n">
        <v>4539.9</v>
      </c>
      <c r="AB139" s="5" t="n">
        <v>1340.9</v>
      </c>
      <c r="AC139" s="5" t="n">
        <v>4552.2</v>
      </c>
      <c r="AD139" s="5" t="n">
        <v>2033.8</v>
      </c>
      <c r="AE139" s="5" t="inlineStr"/>
      <c r="AF139" s="5">
        <f>IF(AE139="","",IF(OR(AE139=F139,AND(AE139="crane_footing",F139="isolated_footing")),"yes","no"))</f>
        <v/>
      </c>
    </row>
    <row r="140">
      <c r="A140" s="5" t="n">
        <v>139</v>
      </c>
      <c r="B140" s="5" t="inlineStr">
        <is>
          <t>121</t>
        </is>
      </c>
      <c r="C140" s="5" t="inlineStr">
        <is>
          <t>region between joints</t>
        </is>
      </c>
      <c r="D140" s="5" t="inlineStr">
        <is>
          <t>band</t>
        </is>
      </c>
      <c r="E140" s="5" t="n">
        <v>3</v>
      </c>
      <c r="F140" s="5" t="inlineStr">
        <is>
          <t>grade_beam</t>
        </is>
      </c>
      <c r="G140" s="5" t="inlineStr">
        <is>
          <t>Grade beam LG40x15 20.34 × 0.40 m</t>
        </is>
      </c>
      <c r="H140" s="5" t="inlineStr">
        <is>
          <t>label vote</t>
        </is>
      </c>
      <c r="I140" s="5" t="inlineStr">
        <is>
          <t>LG40x15</t>
        </is>
      </c>
      <c r="J140" s="5" t="inlineStr">
        <is>
          <t>printed label</t>
        </is>
      </c>
      <c r="K140" s="5" t="inlineStr">
        <is>
          <t>LG-40x15</t>
        </is>
      </c>
      <c r="L140" s="5" t="n">
        <v>2034</v>
      </c>
      <c r="M140" s="5" t="n">
        <v>40</v>
      </c>
      <c r="N140" s="10">
        <f>IF(AND(ISNUMBER(L140),M140&gt;0),L140/M140,"")</f>
        <v/>
      </c>
      <c r="O140" s="5" t="n">
        <v>8.138</v>
      </c>
      <c r="P140" s="5" t="n">
        <v>0</v>
      </c>
      <c r="Q140" s="5" t="n">
        <v>5</v>
      </c>
      <c r="R140" s="5" t="n">
        <v>0</v>
      </c>
      <c r="S140" s="5" t="n">
        <v>0</v>
      </c>
      <c r="T140" s="5" t="n">
        <v>0</v>
      </c>
      <c r="U140" s="5" t="n">
        <v>0</v>
      </c>
      <c r="V140" s="5" t="n">
        <v>2</v>
      </c>
      <c r="W140" s="5" t="n">
        <v>14</v>
      </c>
      <c r="X140" s="5" t="n">
        <v>4</v>
      </c>
      <c r="Y140" s="5" t="n">
        <v>12.91</v>
      </c>
      <c r="Z140" s="5" t="inlineStr"/>
      <c r="AA140" s="5" t="n">
        <v>4164.9</v>
      </c>
      <c r="AB140" s="5" t="n">
        <v>1333.6</v>
      </c>
      <c r="AC140" s="5" t="n">
        <v>4765.6</v>
      </c>
      <c r="AD140" s="5" t="n">
        <v>1345.4</v>
      </c>
      <c r="AE140" s="5" t="inlineStr"/>
      <c r="AF140" s="5">
        <f>IF(AE140="","",IF(OR(AE140=F140,AND(AE140="crane_footing",F140="isolated_footing")),"yes","no"))</f>
        <v/>
      </c>
    </row>
    <row r="141">
      <c r="A141" s="5" t="n">
        <v>140</v>
      </c>
      <c r="B141" s="5" t="inlineStr">
        <is>
          <t>121</t>
        </is>
      </c>
      <c r="C141" s="5" t="inlineStr">
        <is>
          <t>region between joints</t>
        </is>
      </c>
      <c r="D141" s="5" t="inlineStr">
        <is>
          <t>band</t>
        </is>
      </c>
      <c r="E141" s="5" t="n">
        <v>3</v>
      </c>
      <c r="F141" s="5" t="inlineStr">
        <is>
          <t>grade_beam</t>
        </is>
      </c>
      <c r="G141" s="5" t="inlineStr">
        <is>
          <t>Grade beam LG40x15 14.79 × 0.40 m</t>
        </is>
      </c>
      <c r="H141" s="5" t="inlineStr">
        <is>
          <t>label vote</t>
        </is>
      </c>
      <c r="I141" s="5" t="inlineStr">
        <is>
          <t>LG40x15</t>
        </is>
      </c>
      <c r="J141" s="5" t="inlineStr">
        <is>
          <t>printed label</t>
        </is>
      </c>
      <c r="K141" s="5" t="inlineStr">
        <is>
          <t>LG-40x15</t>
        </is>
      </c>
      <c r="L141" s="5" t="n">
        <v>1479</v>
      </c>
      <c r="M141" s="5" t="n">
        <v>40</v>
      </c>
      <c r="N141" s="10">
        <f>IF(AND(ISNUMBER(L141),M141&gt;0),L141/M141,"")</f>
        <v/>
      </c>
      <c r="O141" s="5" t="n">
        <v>5.917</v>
      </c>
      <c r="P141" s="5" t="n">
        <v>90</v>
      </c>
      <c r="Q141" s="5" t="n">
        <v>2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31</v>
      </c>
      <c r="X141" s="5" t="n">
        <v>5</v>
      </c>
      <c r="Y141" s="5" t="n">
        <v>3.8</v>
      </c>
      <c r="Z141" s="5" t="inlineStr"/>
      <c r="AA141" s="5" t="n">
        <v>4603.2</v>
      </c>
      <c r="AB141" s="5" t="n">
        <v>1333.5</v>
      </c>
      <c r="AC141" s="5" t="n">
        <v>4615.3</v>
      </c>
      <c r="AD141" s="5" t="n">
        <v>1770.3</v>
      </c>
      <c r="AE141" s="5" t="inlineStr"/>
      <c r="AF141" s="5">
        <f>IF(AE141="","",IF(OR(AE141=F141,AND(AE141="crane_footing",F141="isolated_footing")),"yes","no"))</f>
        <v/>
      </c>
    </row>
    <row r="142">
      <c r="A142" s="5" t="n">
        <v>141</v>
      </c>
      <c r="B142" s="5" t="inlineStr">
        <is>
          <t>121</t>
        </is>
      </c>
      <c r="C142" s="5" t="inlineStr">
        <is>
          <t>region between joints</t>
        </is>
      </c>
      <c r="D142" s="5" t="inlineStr">
        <is>
          <t>band</t>
        </is>
      </c>
      <c r="E142" s="5" t="n">
        <v>3</v>
      </c>
      <c r="F142" s="5" t="inlineStr">
        <is>
          <t>grade_beam</t>
        </is>
      </c>
      <c r="G142" s="5" t="inlineStr">
        <is>
          <t>Grade beam LG40x15 12.72 × 0.40 m</t>
        </is>
      </c>
      <c r="H142" s="5" t="inlineStr">
        <is>
          <t>label vote</t>
        </is>
      </c>
      <c r="I142" s="5" t="inlineStr">
        <is>
          <t>LG40x15</t>
        </is>
      </c>
      <c r="J142" s="5" t="inlineStr">
        <is>
          <t>printed label</t>
        </is>
      </c>
      <c r="K142" s="5" t="inlineStr">
        <is>
          <t>LG-40x15</t>
        </is>
      </c>
      <c r="L142" s="5" t="n">
        <v>1272</v>
      </c>
      <c r="M142" s="5" t="n">
        <v>40</v>
      </c>
      <c r="N142" s="10">
        <f>IF(AND(ISNUMBER(L142),M142&gt;0),L142/M142,"")</f>
        <v/>
      </c>
      <c r="O142" s="5" t="n">
        <v>5.088</v>
      </c>
      <c r="P142" s="5" t="n">
        <v>0</v>
      </c>
      <c r="Q142" s="5" t="n">
        <v>2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1</v>
      </c>
      <c r="W142" s="5" t="n">
        <v>29</v>
      </c>
      <c r="X142" s="5" t="n">
        <v>2</v>
      </c>
      <c r="Y142" s="5" t="n">
        <v>7.2</v>
      </c>
      <c r="Z142" s="5" t="inlineStr"/>
      <c r="AA142" s="5" t="n">
        <v>4164.6</v>
      </c>
      <c r="AB142" s="5" t="n">
        <v>1788.5</v>
      </c>
      <c r="AC142" s="5" t="n">
        <v>4540.2</v>
      </c>
      <c r="AD142" s="5" t="n">
        <v>1800.6</v>
      </c>
      <c r="AE142" s="5" t="inlineStr"/>
      <c r="AF142" s="5">
        <f>IF(AE142="","",IF(OR(AE142=F142,AND(AE142="crane_footing",F142="isolated_footing")),"yes","no"))</f>
        <v/>
      </c>
    </row>
    <row r="143">
      <c r="A143" s="5" t="n">
        <v>142</v>
      </c>
      <c r="B143" s="5" t="inlineStr">
        <is>
          <t>121</t>
        </is>
      </c>
      <c r="C143" s="5" t="inlineStr">
        <is>
          <t>region between joints</t>
        </is>
      </c>
      <c r="D143" s="5" t="inlineStr">
        <is>
          <t>band</t>
        </is>
      </c>
      <c r="E143" s="5" t="n">
        <v>3</v>
      </c>
      <c r="F143" s="5" t="inlineStr">
        <is>
          <t>grade_beam</t>
        </is>
      </c>
      <c r="G143" s="5" t="inlineStr">
        <is>
          <t>Grade beam LG40x15 12.72 × 0.40 m</t>
        </is>
      </c>
      <c r="H143" s="5" t="inlineStr">
        <is>
          <t>label vote</t>
        </is>
      </c>
      <c r="I143" s="5" t="inlineStr">
        <is>
          <t>LG40x15</t>
        </is>
      </c>
      <c r="J143" s="5" t="inlineStr">
        <is>
          <t>printed label</t>
        </is>
      </c>
      <c r="K143" s="5" t="inlineStr">
        <is>
          <t>LG-40x15</t>
        </is>
      </c>
      <c r="L143" s="5" t="n">
        <v>1272</v>
      </c>
      <c r="M143" s="5" t="n">
        <v>40</v>
      </c>
      <c r="N143" s="10">
        <f>IF(AND(ISNUMBER(L143),M143&gt;0),L143/M143,"")</f>
        <v/>
      </c>
      <c r="O143" s="5" t="n">
        <v>5.087</v>
      </c>
      <c r="P143" s="5" t="n">
        <v>0</v>
      </c>
      <c r="Q143" s="5" t="n">
        <v>2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1</v>
      </c>
      <c r="W143" s="5" t="n">
        <v>16</v>
      </c>
      <c r="X143" s="5" t="n">
        <v>2</v>
      </c>
      <c r="Y143" s="5" t="n">
        <v>9.220000000000001</v>
      </c>
      <c r="Z143" s="5" t="inlineStr"/>
      <c r="AA143" s="5" t="n">
        <v>4164.5</v>
      </c>
      <c r="AB143" s="5" t="n">
        <v>2016.8</v>
      </c>
      <c r="AC143" s="5" t="n">
        <v>4540</v>
      </c>
      <c r="AD143" s="5" t="n">
        <v>2029</v>
      </c>
      <c r="AE143" s="5" t="inlineStr"/>
      <c r="AF143" s="5">
        <f>IF(AE143="","",IF(OR(AE143=F143,AND(AE143="crane_footing",F143="isolated_footing")),"yes","no"))</f>
        <v/>
      </c>
    </row>
    <row r="144">
      <c r="A144" s="5" t="n">
        <v>143</v>
      </c>
      <c r="B144" s="5" t="inlineStr">
        <is>
          <t>121</t>
        </is>
      </c>
      <c r="C144" s="5" t="inlineStr">
        <is>
          <t>region between joints</t>
        </is>
      </c>
      <c r="D144" s="5" t="inlineStr">
        <is>
          <t>band</t>
        </is>
      </c>
      <c r="E144" s="5" t="n">
        <v>3</v>
      </c>
      <c r="F144" s="5" t="inlineStr">
        <is>
          <t>grade_beam</t>
        </is>
      </c>
      <c r="G144" s="5" t="inlineStr">
        <is>
          <t>Grade beam LG40x15 12.72 × 0.40 m</t>
        </is>
      </c>
      <c r="H144" s="5" t="inlineStr">
        <is>
          <t>label vote</t>
        </is>
      </c>
      <c r="I144" s="5" t="inlineStr">
        <is>
          <t>LG40x15</t>
        </is>
      </c>
      <c r="J144" s="5" t="inlineStr">
        <is>
          <t>printed label</t>
        </is>
      </c>
      <c r="K144" s="5" t="inlineStr">
        <is>
          <t>LG-40x15</t>
        </is>
      </c>
      <c r="L144" s="5" t="n">
        <v>1272</v>
      </c>
      <c r="M144" s="5" t="n">
        <v>40</v>
      </c>
      <c r="N144" s="10">
        <f>IF(AND(ISNUMBER(L144),M144&gt;0),L144/M144,"")</f>
        <v/>
      </c>
      <c r="O144" s="5" t="n">
        <v>5.087</v>
      </c>
      <c r="P144" s="5" t="n">
        <v>0</v>
      </c>
      <c r="Q144" s="5" t="n">
        <v>2</v>
      </c>
      <c r="R144" s="5" t="n">
        <v>0</v>
      </c>
      <c r="S144" s="5" t="n">
        <v>0</v>
      </c>
      <c r="T144" s="5" t="n">
        <v>1</v>
      </c>
      <c r="U144" s="5" t="n">
        <v>0</v>
      </c>
      <c r="V144" s="5" t="n">
        <v>1</v>
      </c>
      <c r="W144" s="5" t="n">
        <v>14</v>
      </c>
      <c r="X144" s="5" t="n">
        <v>2</v>
      </c>
      <c r="Y144" s="5" t="n">
        <v>12.72</v>
      </c>
      <c r="Z144" s="5" t="inlineStr"/>
      <c r="AA144" s="5" t="n">
        <v>4164.8</v>
      </c>
      <c r="AB144" s="5" t="n">
        <v>1558.6</v>
      </c>
      <c r="AC144" s="5" t="n">
        <v>4540.3</v>
      </c>
      <c r="AD144" s="5" t="n">
        <v>1570.7</v>
      </c>
      <c r="AE144" s="5" t="inlineStr"/>
      <c r="AF144" s="5">
        <f>IF(AE144="","",IF(OR(AE144=F144,AND(AE144="crane_footing",F144="isolated_footing")),"yes","no"))</f>
        <v/>
      </c>
    </row>
    <row r="145">
      <c r="A145" s="5" t="n">
        <v>144</v>
      </c>
      <c r="B145" s="5" t="inlineStr">
        <is>
          <t>121</t>
        </is>
      </c>
      <c r="C145" s="5" t="inlineStr">
        <is>
          <t>region between joints</t>
        </is>
      </c>
      <c r="D145" s="5" t="inlineStr">
        <is>
          <t>band</t>
        </is>
      </c>
      <c r="E145" s="5" t="n">
        <v>3</v>
      </c>
      <c r="F145" s="5" t="inlineStr">
        <is>
          <t>grade_beam</t>
        </is>
      </c>
      <c r="G145" s="5" t="inlineStr">
        <is>
          <t>Grade beam LG40x15 7.98 × 0.40 m</t>
        </is>
      </c>
      <c r="H145" s="5" t="inlineStr">
        <is>
          <t>label vote</t>
        </is>
      </c>
      <c r="I145" s="5" t="inlineStr">
        <is>
          <t>LG40x15</t>
        </is>
      </c>
      <c r="J145" s="5" t="inlineStr">
        <is>
          <t>printed label</t>
        </is>
      </c>
      <c r="K145" s="5" t="inlineStr">
        <is>
          <t>LG-40x15</t>
        </is>
      </c>
      <c r="L145" s="5" t="n">
        <v>798</v>
      </c>
      <c r="M145" s="5" t="n">
        <v>40</v>
      </c>
      <c r="N145" s="10">
        <f>IF(AND(ISNUMBER(L145),M145&gt;0),L145/M145,"")</f>
        <v/>
      </c>
      <c r="O145" s="5" t="n">
        <v>3.19</v>
      </c>
      <c r="P145" s="5" t="n">
        <v>0</v>
      </c>
      <c r="Q145" s="5" t="n">
        <v>1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16</v>
      </c>
      <c r="X145" s="5" t="n">
        <v>2</v>
      </c>
      <c r="Y145" s="5" t="n">
        <v>6.55</v>
      </c>
      <c r="Z145" s="5" t="inlineStr"/>
      <c r="AA145" s="5" t="n">
        <v>4304.8</v>
      </c>
      <c r="AB145" s="5" t="n">
        <v>1653.6</v>
      </c>
      <c r="AC145" s="5" t="n">
        <v>4540.3</v>
      </c>
      <c r="AD145" s="5" t="n">
        <v>1665.5</v>
      </c>
      <c r="AE145" s="5" t="inlineStr"/>
      <c r="AF145" s="5">
        <f>IF(AE145="","",IF(OR(AE145=F145,AND(AE145="crane_footing",F145="isolated_footing")),"yes","no"))</f>
        <v/>
      </c>
    </row>
    <row r="146">
      <c r="A146" s="5" t="n">
        <v>145</v>
      </c>
      <c r="B146" s="5" t="inlineStr">
        <is>
          <t>121</t>
        </is>
      </c>
      <c r="C146" s="5" t="inlineStr">
        <is>
          <t>region between joints</t>
        </is>
      </c>
      <c r="D146" s="5" t="inlineStr">
        <is>
          <t>band</t>
        </is>
      </c>
      <c r="E146" s="5" t="n">
        <v>3</v>
      </c>
      <c r="F146" s="5" t="inlineStr">
        <is>
          <t>grade_beam</t>
        </is>
      </c>
      <c r="G146" s="5" t="inlineStr">
        <is>
          <t>Grade beam LG40x15 7.22 × 0.40 m</t>
        </is>
      </c>
      <c r="H146" s="5" t="inlineStr">
        <is>
          <t>label vote</t>
        </is>
      </c>
      <c r="I146" s="5" t="inlineStr">
        <is>
          <t>LG40x15</t>
        </is>
      </c>
      <c r="J146" s="5" t="inlineStr">
        <is>
          <t>printed label</t>
        </is>
      </c>
      <c r="K146" s="5" t="inlineStr">
        <is>
          <t>LG-40x15</t>
        </is>
      </c>
      <c r="L146" s="5" t="n">
        <v>722</v>
      </c>
      <c r="M146" s="5" t="n">
        <v>40</v>
      </c>
      <c r="N146" s="10">
        <f>IF(AND(ISNUMBER(L146),M146&gt;0),L146/M146,"")</f>
        <v/>
      </c>
      <c r="O146" s="5" t="n">
        <v>2.89</v>
      </c>
      <c r="P146" s="5" t="n">
        <v>0</v>
      </c>
      <c r="Q146" s="5" t="n">
        <v>2</v>
      </c>
      <c r="R146" s="5" t="n">
        <v>0</v>
      </c>
      <c r="S146" s="5" t="n">
        <v>0</v>
      </c>
      <c r="T146" s="5" t="n">
        <v>0</v>
      </c>
      <c r="U146" s="5" t="n">
        <v>0</v>
      </c>
      <c r="V146" s="5" t="n">
        <v>1</v>
      </c>
      <c r="W146" s="5" t="n">
        <v>23</v>
      </c>
      <c r="X146" s="5" t="n">
        <v>1</v>
      </c>
      <c r="Y146" s="5" t="n">
        <v>2.74</v>
      </c>
      <c r="Z146" s="5" t="inlineStr"/>
      <c r="AA146" s="5" t="n">
        <v>4551.9</v>
      </c>
      <c r="AB146" s="5" t="n">
        <v>1938.4</v>
      </c>
      <c r="AC146" s="5" t="n">
        <v>4765.2</v>
      </c>
      <c r="AD146" s="5" t="n">
        <v>1950.3</v>
      </c>
      <c r="AE146" s="5" t="inlineStr"/>
      <c r="AF146" s="5">
        <f>IF(AE146="","",IF(OR(AE146=F146,AND(AE146="crane_footing",F146="isolated_footing")),"yes","no"))</f>
        <v/>
      </c>
    </row>
    <row r="147">
      <c r="A147" s="5" t="n">
        <v>146</v>
      </c>
      <c r="B147" s="5" t="inlineStr">
        <is>
          <t>121</t>
        </is>
      </c>
      <c r="C147" s="5" t="inlineStr">
        <is>
          <t>region between joints</t>
        </is>
      </c>
      <c r="D147" s="5" t="inlineStr">
        <is>
          <t>band</t>
        </is>
      </c>
      <c r="E147" s="5" t="n">
        <v>3</v>
      </c>
      <c r="F147" s="5" t="inlineStr">
        <is>
          <t>grade_beam</t>
        </is>
      </c>
      <c r="G147" s="5" t="inlineStr">
        <is>
          <t>Grade beam LG40x15 7.21 × 0.40 m</t>
        </is>
      </c>
      <c r="H147" s="5" t="inlineStr">
        <is>
          <t>label vote</t>
        </is>
      </c>
      <c r="I147" s="5" t="inlineStr">
        <is>
          <t>LG40x15</t>
        </is>
      </c>
      <c r="J147" s="5" t="inlineStr">
        <is>
          <t>printed label</t>
        </is>
      </c>
      <c r="K147" s="5" t="inlineStr">
        <is>
          <t>LG-40x15</t>
        </is>
      </c>
      <c r="L147" s="5" t="n">
        <v>721</v>
      </c>
      <c r="M147" s="5" t="n">
        <v>40</v>
      </c>
      <c r="N147" s="10">
        <f>IF(AND(ISNUMBER(L147),M147&gt;0),L147/M147,"")</f>
        <v/>
      </c>
      <c r="O147" s="5" t="n">
        <v>2.883</v>
      </c>
      <c r="P147" s="5" t="n">
        <v>0.1</v>
      </c>
      <c r="Q147" s="5" t="n">
        <v>2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8</v>
      </c>
      <c r="X147" s="5" t="n">
        <v>2</v>
      </c>
      <c r="Y147" s="5" t="n">
        <v>3.5</v>
      </c>
      <c r="Z147" s="5" t="inlineStr"/>
      <c r="AA147" s="5" t="n">
        <v>4552</v>
      </c>
      <c r="AB147" s="5" t="n">
        <v>1770.2</v>
      </c>
      <c r="AC147" s="5" t="n">
        <v>4764.8</v>
      </c>
      <c r="AD147" s="5" t="n">
        <v>1782.2</v>
      </c>
      <c r="AE147" s="5" t="inlineStr"/>
      <c r="AF147" s="5">
        <f>IF(AE147="","",IF(OR(AE147=F147,AND(AE147="crane_footing",F147="isolated_footing")),"yes","no"))</f>
        <v/>
      </c>
    </row>
    <row r="148">
      <c r="A148" s="5" t="n">
        <v>147</v>
      </c>
      <c r="B148" s="5" t="inlineStr">
        <is>
          <t>121</t>
        </is>
      </c>
      <c r="C148" s="5" t="inlineStr">
        <is>
          <t>region between joints</t>
        </is>
      </c>
      <c r="D148" s="5" t="inlineStr">
        <is>
          <t>band</t>
        </is>
      </c>
      <c r="E148" s="5" t="n">
        <v>3</v>
      </c>
      <c r="F148" s="5" t="inlineStr">
        <is>
          <t>grade_beam</t>
        </is>
      </c>
      <c r="G148" s="5" t="inlineStr">
        <is>
          <t>Grade beam LG40x15 4.50 × 0.40 m</t>
        </is>
      </c>
      <c r="H148" s="5" t="inlineStr">
        <is>
          <t>label vote</t>
        </is>
      </c>
      <c r="I148" s="5" t="inlineStr">
        <is>
          <t>LG40x15</t>
        </is>
      </c>
      <c r="J148" s="5" t="inlineStr">
        <is>
          <t>printed label</t>
        </is>
      </c>
      <c r="K148" s="5" t="inlineStr">
        <is>
          <t>LG-40x15</t>
        </is>
      </c>
      <c r="L148" s="5" t="n">
        <v>450</v>
      </c>
      <c r="M148" s="5" t="n">
        <v>40</v>
      </c>
      <c r="N148" s="10">
        <f>IF(AND(ISNUMBER(L148),M148&gt;0),L148/M148,"")</f>
        <v/>
      </c>
      <c r="O148" s="5" t="n">
        <v>1.8</v>
      </c>
      <c r="P148" s="5" t="n">
        <v>179.9</v>
      </c>
      <c r="Q148" s="5" t="n">
        <v>1</v>
      </c>
      <c r="R148" s="5" t="n">
        <v>1</v>
      </c>
      <c r="S148" s="5" t="n">
        <v>0</v>
      </c>
      <c r="T148" s="5" t="n">
        <v>0</v>
      </c>
      <c r="U148" s="5" t="n">
        <v>0</v>
      </c>
      <c r="V148" s="5" t="n">
        <v>1</v>
      </c>
      <c r="W148" s="5" t="n">
        <v>2</v>
      </c>
      <c r="X148" s="5" t="n">
        <v>2</v>
      </c>
      <c r="Y148" s="5" t="n">
        <v>1</v>
      </c>
      <c r="Z148" s="5" t="inlineStr"/>
      <c r="AA148" s="5" t="n">
        <v>4552.2</v>
      </c>
      <c r="AB148" s="5" t="n">
        <v>1523.5</v>
      </c>
      <c r="AC148" s="5" t="n">
        <v>4685.1</v>
      </c>
      <c r="AD148" s="5" t="n">
        <v>1535.5</v>
      </c>
      <c r="AE148" s="5" t="inlineStr"/>
      <c r="AF148" s="5">
        <f>IF(AE148="","",IF(OR(AE148=F148,AND(AE148="crane_footing",F148="isolated_footing")),"yes","no"))</f>
        <v/>
      </c>
    </row>
    <row r="149">
      <c r="A149" s="5" t="n">
        <v>148</v>
      </c>
      <c r="B149" s="5" t="inlineStr">
        <is>
          <t>121</t>
        </is>
      </c>
      <c r="C149" s="5" t="inlineStr">
        <is>
          <t>region between joints</t>
        </is>
      </c>
      <c r="D149" s="5" t="inlineStr">
        <is>
          <t>band</t>
        </is>
      </c>
      <c r="E149" s="5" t="n">
        <v>3</v>
      </c>
      <c r="F149" s="5" t="inlineStr">
        <is>
          <t>grade_beam</t>
        </is>
      </c>
      <c r="G149" s="5" t="inlineStr">
        <is>
          <t>Grade beam LG40x15 4.49 × 0.40 m</t>
        </is>
      </c>
      <c r="H149" s="5" t="inlineStr">
        <is>
          <t>label vote</t>
        </is>
      </c>
      <c r="I149" s="5" t="inlineStr">
        <is>
          <t>LG40x15</t>
        </is>
      </c>
      <c r="J149" s="5" t="inlineStr">
        <is>
          <t>printed label</t>
        </is>
      </c>
      <c r="K149" s="5" t="inlineStr">
        <is>
          <t>LG-40x15</t>
        </is>
      </c>
      <c r="L149" s="5" t="n">
        <v>449</v>
      </c>
      <c r="M149" s="5" t="n">
        <v>40</v>
      </c>
      <c r="N149" s="10">
        <f>IF(AND(ISNUMBER(L149),M149&gt;0),L149/M149,"")</f>
        <v/>
      </c>
      <c r="O149" s="5" t="n">
        <v>1.796</v>
      </c>
      <c r="P149" s="5" t="n">
        <v>179.9</v>
      </c>
      <c r="Q149" s="5" t="n">
        <v>1</v>
      </c>
      <c r="R149" s="5" t="n">
        <v>1</v>
      </c>
      <c r="S149" s="5" t="n">
        <v>0</v>
      </c>
      <c r="T149" s="5" t="n">
        <v>0</v>
      </c>
      <c r="U149" s="5" t="n">
        <v>0</v>
      </c>
      <c r="V149" s="5" t="n">
        <v>1</v>
      </c>
      <c r="W149" s="5" t="n">
        <v>4</v>
      </c>
      <c r="X149" s="5" t="n">
        <v>2</v>
      </c>
      <c r="Y149" s="5" t="n">
        <v>1.72</v>
      </c>
      <c r="Z149" s="5" t="inlineStr"/>
      <c r="AA149" s="5" t="n">
        <v>4552.4</v>
      </c>
      <c r="AB149" s="5" t="n">
        <v>1610.5</v>
      </c>
      <c r="AC149" s="5" t="n">
        <v>4685</v>
      </c>
      <c r="AD149" s="5" t="n">
        <v>1622.7</v>
      </c>
      <c r="AE149" s="5" t="inlineStr"/>
      <c r="AF149" s="5">
        <f>IF(AE149="","",IF(OR(AE149=F149,AND(AE149="crane_footing",F149="isolated_footing")),"yes","no"))</f>
        <v/>
      </c>
    </row>
    <row r="150">
      <c r="A150" s="5" t="n">
        <v>149</v>
      </c>
      <c r="B150" s="5" t="inlineStr">
        <is>
          <t>121</t>
        </is>
      </c>
      <c r="C150" s="5" t="inlineStr">
        <is>
          <t>nearest labels</t>
        </is>
      </c>
      <c r="D150" s="5" t="inlineStr">
        <is>
          <t>stamped_region</t>
        </is>
      </c>
      <c r="E150" s="5" t="n">
        <v>39</v>
      </c>
      <c r="F150" s="5" t="inlineStr">
        <is>
          <t>raft</t>
        </is>
      </c>
      <c r="G150" s="5" t="inlineStr">
        <is>
          <t>Raft Radier 190 9.25 × 7.80 m</t>
        </is>
      </c>
      <c r="H150" s="5" t="inlineStr">
        <is>
          <t>label vote</t>
        </is>
      </c>
      <c r="I150" s="5" t="inlineStr">
        <is>
          <t>Radier 190</t>
        </is>
      </c>
      <c r="J150" s="5" t="inlineStr">
        <is>
          <t>printed label</t>
        </is>
      </c>
      <c r="K150" s="5" t="inlineStr">
        <is>
          <t>Radier</t>
        </is>
      </c>
      <c r="L150" s="5" t="n">
        <v>925</v>
      </c>
      <c r="M150" s="5" t="n">
        <v>780</v>
      </c>
      <c r="N150" s="10">
        <f>IF(AND(ISNUMBER(L150),M150&gt;0),L150/M150,"")</f>
        <v/>
      </c>
      <c r="O150" s="5" t="n">
        <v>72.155</v>
      </c>
      <c r="P150" s="5" t="n">
        <v>90</v>
      </c>
      <c r="Q150" s="5" t="n">
        <v>5</v>
      </c>
      <c r="R150" s="5" t="n">
        <v>0</v>
      </c>
      <c r="S150" s="5" t="n">
        <v>0</v>
      </c>
      <c r="T150" s="5" t="n">
        <v>0</v>
      </c>
      <c r="U150" s="5" t="n">
        <v>0</v>
      </c>
      <c r="V150" s="5" t="n">
        <v>3</v>
      </c>
      <c r="W150" s="5" t="n">
        <v>104</v>
      </c>
      <c r="X150" s="5" t="n">
        <v>6</v>
      </c>
      <c r="Y150" s="5" t="n"/>
      <c r="Z150" s="5" t="inlineStr">
        <is>
          <t>diagonals' rectangle (no closed outline drawn)</t>
        </is>
      </c>
      <c r="AA150" s="5" t="n">
        <v>4145.2</v>
      </c>
      <c r="AB150" s="5" t="n">
        <v>1310.4</v>
      </c>
      <c r="AC150" s="5" t="n">
        <v>4375.6</v>
      </c>
      <c r="AD150" s="5" t="n">
        <v>1583.5</v>
      </c>
      <c r="AE150" s="5" t="inlineStr"/>
      <c r="AF150" s="5">
        <f>IF(AE150="","",IF(OR(AE150=F150,AND(AE150="crane_footing",F150="isolated_footing")),"yes","no"))</f>
        <v/>
      </c>
    </row>
    <row r="151">
      <c r="A151" s="5" t="n">
        <v>150</v>
      </c>
      <c r="B151" s="5" t="inlineStr">
        <is>
          <t>121</t>
        </is>
      </c>
      <c r="C151" s="5" t="inlineStr">
        <is>
          <t>region between joints</t>
        </is>
      </c>
      <c r="D151" s="5" t="inlineStr">
        <is>
          <t>stamped_region</t>
        </is>
      </c>
      <c r="E151" s="5" t="n">
        <v>39</v>
      </c>
      <c r="F151" s="5" t="inlineStr">
        <is>
          <t>raft</t>
        </is>
      </c>
      <c r="G151" s="5" t="inlineStr">
        <is>
          <t>Raft Radier 90 12.01 × 6.00 m</t>
        </is>
      </c>
      <c r="H151" s="5" t="inlineStr">
        <is>
          <t>label vote</t>
        </is>
      </c>
      <c r="I151" s="5" t="inlineStr">
        <is>
          <t>Radier 90</t>
        </is>
      </c>
      <c r="J151" s="5" t="inlineStr">
        <is>
          <t>printed label</t>
        </is>
      </c>
      <c r="K151" s="5" t="inlineStr">
        <is>
          <t>Radier</t>
        </is>
      </c>
      <c r="L151" s="5" t="n">
        <v>1201</v>
      </c>
      <c r="M151" s="5" t="n">
        <v>600</v>
      </c>
      <c r="N151" s="10">
        <f>IF(AND(ISNUMBER(L151),M151&gt;0),L151/M151,"")</f>
        <v/>
      </c>
      <c r="O151" s="5" t="n">
        <v>72</v>
      </c>
      <c r="P151" s="5" t="n">
        <v>0.1</v>
      </c>
      <c r="Q151" s="5" t="n">
        <v>11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9</v>
      </c>
      <c r="W151" s="5" t="n">
        <v>163</v>
      </c>
      <c r="X151" s="5" t="n">
        <v>2</v>
      </c>
      <c r="Y151" s="5" t="n"/>
      <c r="Z151" s="5" t="inlineStr">
        <is>
          <t>traced outline</t>
        </is>
      </c>
      <c r="AA151" s="5" t="n">
        <v>4685</v>
      </c>
      <c r="AB151" s="5" t="n">
        <v>1483.7</v>
      </c>
      <c r="AC151" s="5" t="n">
        <v>5039.4</v>
      </c>
      <c r="AD151" s="5" t="n">
        <v>1661.6</v>
      </c>
      <c r="AE151" s="5" t="inlineStr"/>
      <c r="AF151" s="5">
        <f>IF(AE151="","",IF(OR(AE151=F151,AND(AE151="crane_footing",F151="isolated_footing")),"yes","no"))</f>
        <v/>
      </c>
    </row>
    <row r="152">
      <c r="A152" s="5" t="n">
        <v>151</v>
      </c>
      <c r="B152" s="5" t="inlineStr">
        <is>
          <t>121</t>
        </is>
      </c>
      <c r="C152" s="5" t="inlineStr">
        <is>
          <t>region between joints</t>
        </is>
      </c>
      <c r="D152" s="5" t="inlineStr">
        <is>
          <t>outline</t>
        </is>
      </c>
      <c r="E152" s="5" t="n">
        <v>22</v>
      </c>
      <c r="F152" s="5" t="inlineStr">
        <is>
          <t>sump_pit</t>
        </is>
      </c>
      <c r="G152" s="5" t="inlineStr">
        <is>
          <t>Sump pit Fosse 2.90 × 2.40 m</t>
        </is>
      </c>
      <c r="H152" s="5" t="inlineStr">
        <is>
          <t>label vote</t>
        </is>
      </c>
      <c r="I152" s="5" t="inlineStr">
        <is>
          <t>Fosse</t>
        </is>
      </c>
      <c r="J152" s="5" t="inlineStr">
        <is>
          <t>printed label</t>
        </is>
      </c>
      <c r="K152" s="5" t="inlineStr">
        <is>
          <t>FOSSE DE RELEVAGE2.00x1.50x1.50</t>
        </is>
      </c>
      <c r="L152" s="5" t="n">
        <v>290</v>
      </c>
      <c r="M152" s="5" t="n">
        <v>240</v>
      </c>
      <c r="N152" s="10">
        <f>IF(AND(ISNUMBER(L152),M152&gt;0),L152/M152,"")</f>
        <v/>
      </c>
      <c r="O152" s="5" t="n">
        <v>6.961</v>
      </c>
      <c r="P152" s="5" t="n">
        <v>89.90000000000001</v>
      </c>
      <c r="Q152" s="5" t="n">
        <v>4</v>
      </c>
      <c r="R152" s="5" t="n">
        <v>0</v>
      </c>
      <c r="S152" s="5" t="n">
        <v>0</v>
      </c>
      <c r="T152" s="5" t="n">
        <v>0</v>
      </c>
      <c r="U152" s="5" t="n">
        <v>0</v>
      </c>
      <c r="V152" s="5" t="n">
        <v>3</v>
      </c>
      <c r="W152" s="5" t="n">
        <v>7</v>
      </c>
      <c r="X152" s="5" t="n">
        <v>0</v>
      </c>
      <c r="Y152" s="5" t="n"/>
      <c r="Z152" s="5" t="inlineStr"/>
      <c r="AA152" s="5" t="n">
        <v>4708.7</v>
      </c>
      <c r="AB152" s="5" t="n">
        <v>1815</v>
      </c>
      <c r="AC152" s="5" t="n">
        <v>4779.8</v>
      </c>
      <c r="AD152" s="5" t="n">
        <v>1900.8</v>
      </c>
      <c r="AE152" s="5" t="inlineStr"/>
      <c r="AF152" s="5">
        <f>IF(AE152="","",IF(OR(AE152=F152,AND(AE152="crane_footing",F152="isolated_footing")),"yes","no"))</f>
        <v/>
      </c>
    </row>
    <row r="153">
      <c r="A153" s="5" t="n">
        <v>152</v>
      </c>
      <c r="B153" s="5" t="inlineStr">
        <is>
          <t>121</t>
        </is>
      </c>
      <c r="C153" s="5" t="inlineStr">
        <is>
          <t>region between joints</t>
        </is>
      </c>
      <c r="D153" s="5" t="inlineStr">
        <is>
          <t>outline</t>
        </is>
      </c>
      <c r="E153" s="5" t="n">
        <v>20</v>
      </c>
      <c r="F153" s="5" t="inlineStr">
        <is>
          <t>unidentified</t>
        </is>
      </c>
      <c r="G153" s="5" t="inlineStr">
        <is>
          <t>C20</t>
        </is>
      </c>
      <c r="H153" s="5" t="inlineStr">
        <is>
          <t>no label votes</t>
        </is>
      </c>
      <c r="I153" s="5" t="inlineStr">
        <is>
          <t>(none)</t>
        </is>
      </c>
      <c r="J153" s="5" t="inlineStr"/>
      <c r="K153" s="5" t="inlineStr"/>
      <c r="L153" s="5" t="n">
        <v>60</v>
      </c>
      <c r="M153" s="5" t="n">
        <v>60</v>
      </c>
      <c r="N153" s="10">
        <f>IF(AND(ISNUMBER(L153),M153&gt;0),L153/M153,"")</f>
        <v/>
      </c>
      <c r="O153" s="5" t="n">
        <v>0.359</v>
      </c>
      <c r="P153" s="5" t="n">
        <v>90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53</v>
      </c>
      <c r="X153" s="5" t="n">
        <v>2</v>
      </c>
      <c r="Y153" s="5" t="n"/>
      <c r="Z153" s="5" t="inlineStr"/>
      <c r="AA153" s="5" t="n">
        <v>4290.4</v>
      </c>
      <c r="AB153" s="5" t="n">
        <v>1651.6</v>
      </c>
      <c r="AC153" s="5" t="n">
        <v>4308.1</v>
      </c>
      <c r="AD153" s="5" t="n">
        <v>1669.3</v>
      </c>
      <c r="AE153" s="5" t="inlineStr">
        <is>
          <t>mass_concrete_pad</t>
        </is>
      </c>
      <c r="AF153" s="5">
        <f>IF(AE153="","",IF(OR(AE153=F153,AND(AE153="crane_footing",F153="isolated_footing")),"yes","no"))</f>
        <v/>
      </c>
    </row>
    <row r="154">
      <c r="A154" s="5" t="n">
        <v>153</v>
      </c>
      <c r="B154" s="5" t="inlineStr">
        <is>
          <t>121</t>
        </is>
      </c>
      <c r="C154" s="5" t="inlineStr">
        <is>
          <t>nearest labels</t>
        </is>
      </c>
      <c r="D154" s="5" t="inlineStr">
        <is>
          <t>band</t>
        </is>
      </c>
      <c r="E154" s="5" t="n">
        <v>0</v>
      </c>
      <c r="F154" s="5" t="inlineStr">
        <is>
          <t>unidentified</t>
        </is>
      </c>
      <c r="G154" s="5" t="inlineStr">
        <is>
          <t>C0</t>
        </is>
      </c>
      <c r="H154" s="5" t="inlineStr">
        <is>
          <t>no label votes</t>
        </is>
      </c>
      <c r="I154" s="5" t="inlineStr">
        <is>
          <t>(none)</t>
        </is>
      </c>
      <c r="J154" s="5" t="inlineStr"/>
      <c r="K154" s="5" t="inlineStr"/>
      <c r="L154" s="5" t="n">
        <v>1219</v>
      </c>
      <c r="M154" s="5" t="n">
        <v>10</v>
      </c>
      <c r="N154" s="10">
        <f>IF(AND(ISNUMBER(L154),M154&gt;0),L154/M154,"")</f>
        <v/>
      </c>
      <c r="O154" s="5" t="n">
        <v>1.231</v>
      </c>
      <c r="P154" s="5" t="n">
        <v>179.9</v>
      </c>
      <c r="Q154" s="5" t="n">
        <v>6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2</v>
      </c>
      <c r="Y154" s="5" t="n">
        <v>5.3</v>
      </c>
      <c r="Z154" s="5" t="inlineStr"/>
      <c r="AA154" s="5" t="n">
        <v>4158.5</v>
      </c>
      <c r="AB154" s="5" t="n">
        <v>2135.8</v>
      </c>
      <c r="AC154" s="5" t="n">
        <v>4518.3</v>
      </c>
      <c r="AD154" s="5" t="n">
        <v>2139.6</v>
      </c>
      <c r="AE154" s="5" t="inlineStr"/>
      <c r="AF154" s="5">
        <f>IF(AE154="","",IF(OR(AE154=F154,AND(AE154="crane_footing",F154="isolated_footing")),"yes","no"))</f>
        <v/>
      </c>
    </row>
    <row r="155">
      <c r="A155" s="5" t="n">
        <v>154</v>
      </c>
      <c r="B155" s="5" t="inlineStr">
        <is>
          <t>121</t>
        </is>
      </c>
      <c r="C155" s="5" t="inlineStr">
        <is>
          <t>region between joints</t>
        </is>
      </c>
      <c r="D155" s="5" t="inlineStr">
        <is>
          <t>band</t>
        </is>
      </c>
      <c r="E155" s="5" t="n">
        <v>2</v>
      </c>
      <c r="F155" s="5" t="inlineStr">
        <is>
          <t>unidentified</t>
        </is>
      </c>
      <c r="G155" s="5" t="inlineStr">
        <is>
          <t>C2</t>
        </is>
      </c>
      <c r="H155" s="5" t="inlineStr">
        <is>
          <t>no label votes</t>
        </is>
      </c>
      <c r="I155" s="5" t="inlineStr">
        <is>
          <t>(none)</t>
        </is>
      </c>
      <c r="J155" s="5" t="inlineStr"/>
      <c r="K155" s="5" t="inlineStr"/>
      <c r="L155" s="5" t="n">
        <v>217</v>
      </c>
      <c r="M155" s="5" t="n">
        <v>32</v>
      </c>
      <c r="N155" s="10">
        <f>IF(AND(ISNUMBER(L155),M155&gt;0),L155/M155,"")</f>
        <v/>
      </c>
      <c r="O155" s="5" t="n">
        <v>0.6909999999999999</v>
      </c>
      <c r="P155" s="5" t="n">
        <v>36.6</v>
      </c>
      <c r="Q155" s="5" t="n">
        <v>1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15</v>
      </c>
      <c r="Y155" s="5" t="n">
        <v>2.17</v>
      </c>
      <c r="Z155" s="5" t="inlineStr"/>
      <c r="AA155" s="5" t="n">
        <v>4676.2</v>
      </c>
      <c r="AB155" s="5" t="n">
        <v>2038</v>
      </c>
      <c r="AC155" s="5" t="n">
        <v>4733.2</v>
      </c>
      <c r="AD155" s="5" t="n">
        <v>2083.9</v>
      </c>
      <c r="AE155" s="5" t="inlineStr"/>
      <c r="AF155" s="5">
        <f>IF(AE155="","",IF(OR(AE155=F155,AND(AE155="crane_footing",F155="isolated_footing")),"yes","no"))</f>
        <v/>
      </c>
    </row>
    <row r="156">
      <c r="A156" s="5" t="n">
        <v>155</v>
      </c>
      <c r="B156" s="5" t="inlineStr">
        <is>
          <t>121</t>
        </is>
      </c>
      <c r="C156" s="5" t="inlineStr">
        <is>
          <t>region between joints</t>
        </is>
      </c>
      <c r="D156" s="5" t="inlineStr">
        <is>
          <t>band</t>
        </is>
      </c>
      <c r="E156" s="5" t="n">
        <v>2</v>
      </c>
      <c r="F156" s="5" t="inlineStr">
        <is>
          <t>unidentified</t>
        </is>
      </c>
      <c r="G156" s="5" t="inlineStr">
        <is>
          <t>C2</t>
        </is>
      </c>
      <c r="H156" s="5" t="inlineStr">
        <is>
          <t>no label votes</t>
        </is>
      </c>
      <c r="I156" s="5" t="inlineStr">
        <is>
          <t>(none)</t>
        </is>
      </c>
      <c r="J156" s="5" t="inlineStr"/>
      <c r="K156" s="5" t="inlineStr"/>
      <c r="L156" s="5" t="n">
        <v>217</v>
      </c>
      <c r="M156" s="5" t="n">
        <v>32</v>
      </c>
      <c r="N156" s="10">
        <f>IF(AND(ISNUMBER(L156),M156&gt;0),L156/M156,"")</f>
        <v/>
      </c>
      <c r="O156" s="5" t="n">
        <v>0.6909999999999999</v>
      </c>
      <c r="P156" s="5" t="n">
        <v>36.6</v>
      </c>
      <c r="Q156" s="5" t="n">
        <v>1</v>
      </c>
      <c r="R156" s="5" t="n">
        <v>0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11</v>
      </c>
      <c r="Y156" s="5" t="n">
        <v>2.17</v>
      </c>
      <c r="Z156" s="5" t="inlineStr"/>
      <c r="AA156" s="5" t="n">
        <v>4707.5</v>
      </c>
      <c r="AB156" s="5" t="n">
        <v>2038</v>
      </c>
      <c r="AC156" s="5" t="n">
        <v>4764.6</v>
      </c>
      <c r="AD156" s="5" t="n">
        <v>2083.8</v>
      </c>
      <c r="AE156" s="5" t="inlineStr"/>
      <c r="AF156" s="5">
        <f>IF(AE156="","",IF(OR(AE156=F156,AND(AE156="crane_footing",F156="isolated_footing")),"yes","no"))</f>
        <v/>
      </c>
    </row>
    <row r="157">
      <c r="A157" s="5" t="n">
        <v>156</v>
      </c>
      <c r="B157" s="5" t="inlineStr">
        <is>
          <t>121</t>
        </is>
      </c>
      <c r="C157" s="5" t="inlineStr">
        <is>
          <t>region between joints</t>
        </is>
      </c>
      <c r="D157" s="5" t="inlineStr">
        <is>
          <t>band</t>
        </is>
      </c>
      <c r="E157" s="5" t="n">
        <v>2</v>
      </c>
      <c r="F157" s="5" t="inlineStr">
        <is>
          <t>unidentified</t>
        </is>
      </c>
      <c r="G157" s="5" t="inlineStr">
        <is>
          <t>C2</t>
        </is>
      </c>
      <c r="H157" s="5" t="inlineStr">
        <is>
          <t>no label votes</t>
        </is>
      </c>
      <c r="I157" s="5" t="inlineStr">
        <is>
          <t>(none)</t>
        </is>
      </c>
      <c r="J157" s="5" t="inlineStr"/>
      <c r="K157" s="5" t="inlineStr"/>
      <c r="L157" s="5" t="n">
        <v>217</v>
      </c>
      <c r="M157" s="5" t="n">
        <v>32</v>
      </c>
      <c r="N157" s="10">
        <f>IF(AND(ISNUMBER(L157),M157&gt;0),L157/M157,"")</f>
        <v/>
      </c>
      <c r="O157" s="5" t="n">
        <v>0.6899999999999999</v>
      </c>
      <c r="P157" s="5" t="n">
        <v>36.6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14</v>
      </c>
      <c r="X157" s="5" t="n">
        <v>14</v>
      </c>
      <c r="Y157" s="5" t="n">
        <v>2.17</v>
      </c>
      <c r="Z157" s="5" t="inlineStr"/>
      <c r="AA157" s="5" t="n">
        <v>4691.8</v>
      </c>
      <c r="AB157" s="5" t="n">
        <v>2038</v>
      </c>
      <c r="AC157" s="5" t="n">
        <v>4748.9</v>
      </c>
      <c r="AD157" s="5" t="n">
        <v>2083.8</v>
      </c>
      <c r="AE157" s="5" t="inlineStr"/>
      <c r="AF157" s="5">
        <f>IF(AE157="","",IF(OR(AE157=F157,AND(AE157="crane_footing",F157="isolated_footing")),"yes","no"))</f>
        <v/>
      </c>
    </row>
    <row r="158">
      <c r="A158" s="5" t="n">
        <v>157</v>
      </c>
      <c r="B158" s="5" t="inlineStr">
        <is>
          <t>121</t>
        </is>
      </c>
      <c r="C158" s="5" t="inlineStr">
        <is>
          <t>region between joints</t>
        </is>
      </c>
      <c r="D158" s="5" t="inlineStr">
        <is>
          <t>band</t>
        </is>
      </c>
      <c r="E158" s="5" t="n">
        <v>2</v>
      </c>
      <c r="F158" s="5" t="inlineStr">
        <is>
          <t>unidentified</t>
        </is>
      </c>
      <c r="G158" s="5" t="inlineStr">
        <is>
          <t>C2</t>
        </is>
      </c>
      <c r="H158" s="5" t="inlineStr">
        <is>
          <t>no label votes</t>
        </is>
      </c>
      <c r="I158" s="5" t="inlineStr">
        <is>
          <t>(none)</t>
        </is>
      </c>
      <c r="J158" s="5" t="inlineStr"/>
      <c r="K158" s="5" t="inlineStr"/>
      <c r="L158" s="5" t="n">
        <v>217</v>
      </c>
      <c r="M158" s="5" t="n">
        <v>32</v>
      </c>
      <c r="N158" s="10">
        <f>IF(AND(ISNUMBER(L158),M158&gt;0),L158/M158,"")</f>
        <v/>
      </c>
      <c r="O158" s="5" t="n">
        <v>0.6899999999999999</v>
      </c>
      <c r="P158" s="5" t="n">
        <v>36.7</v>
      </c>
      <c r="Q158" s="5" t="n">
        <v>1</v>
      </c>
      <c r="R158" s="5" t="n">
        <v>0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14</v>
      </c>
      <c r="X158" s="5" t="n">
        <v>15</v>
      </c>
      <c r="Y158" s="5" t="n">
        <v>2.17</v>
      </c>
      <c r="Z158" s="5" t="inlineStr"/>
      <c r="AA158" s="5" t="n">
        <v>4629.2</v>
      </c>
      <c r="AB158" s="5" t="n">
        <v>2038.1</v>
      </c>
      <c r="AC158" s="5" t="n">
        <v>4686.2</v>
      </c>
      <c r="AD158" s="5" t="n">
        <v>2083.9</v>
      </c>
      <c r="AE158" s="5" t="inlineStr"/>
      <c r="AF158" s="5">
        <f>IF(AE158="","",IF(OR(AE158=F158,AND(AE158="crane_footing",F158="isolated_footing")),"yes","no"))</f>
        <v/>
      </c>
    </row>
    <row r="159">
      <c r="A159" s="5" t="n">
        <v>158</v>
      </c>
      <c r="B159" s="5" t="inlineStr">
        <is>
          <t>121</t>
        </is>
      </c>
      <c r="C159" s="5" t="inlineStr">
        <is>
          <t>region between joints</t>
        </is>
      </c>
      <c r="D159" s="5" t="inlineStr">
        <is>
          <t>band</t>
        </is>
      </c>
      <c r="E159" s="5" t="n">
        <v>2</v>
      </c>
      <c r="F159" s="5" t="inlineStr">
        <is>
          <t>unidentified</t>
        </is>
      </c>
      <c r="G159" s="5" t="inlineStr">
        <is>
          <t>C2</t>
        </is>
      </c>
      <c r="H159" s="5" t="inlineStr">
        <is>
          <t>no label votes</t>
        </is>
      </c>
      <c r="I159" s="5" t="inlineStr">
        <is>
          <t>(none)</t>
        </is>
      </c>
      <c r="J159" s="5" t="inlineStr"/>
      <c r="K159" s="5" t="inlineStr"/>
      <c r="L159" s="5" t="n">
        <v>217</v>
      </c>
      <c r="M159" s="5" t="n">
        <v>32</v>
      </c>
      <c r="N159" s="10">
        <f>IF(AND(ISNUMBER(L159),M159&gt;0),L159/M159,"")</f>
        <v/>
      </c>
      <c r="O159" s="5" t="n">
        <v>0.6899999999999999</v>
      </c>
      <c r="P159" s="5" t="n">
        <v>36.6</v>
      </c>
      <c r="Q159" s="5" t="n">
        <v>1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2</v>
      </c>
      <c r="X159" s="5" t="n">
        <v>15</v>
      </c>
      <c r="Y159" s="5" t="n">
        <v>2.17</v>
      </c>
      <c r="Z159" s="5" t="inlineStr"/>
      <c r="AA159" s="5" t="n">
        <v>4660.5</v>
      </c>
      <c r="AB159" s="5" t="n">
        <v>2038.1</v>
      </c>
      <c r="AC159" s="5" t="n">
        <v>4717.5</v>
      </c>
      <c r="AD159" s="5" t="n">
        <v>2083.9</v>
      </c>
      <c r="AE159" s="5" t="inlineStr"/>
      <c r="AF159" s="5">
        <f>IF(AE159="","",IF(OR(AE159=F159,AND(AE159="crane_footing",F159="isolated_footing")),"yes","no"))</f>
        <v/>
      </c>
    </row>
    <row r="160">
      <c r="A160" s="5" t="n">
        <v>159</v>
      </c>
      <c r="B160" s="5" t="inlineStr">
        <is>
          <t>121</t>
        </is>
      </c>
      <c r="C160" s="5" t="inlineStr">
        <is>
          <t>region between joints</t>
        </is>
      </c>
      <c r="D160" s="5" t="inlineStr">
        <is>
          <t>band</t>
        </is>
      </c>
      <c r="E160" s="5" t="n">
        <v>2</v>
      </c>
      <c r="F160" s="5" t="inlineStr">
        <is>
          <t>unidentified</t>
        </is>
      </c>
      <c r="G160" s="5" t="inlineStr">
        <is>
          <t>C2</t>
        </is>
      </c>
      <c r="H160" s="5" t="inlineStr">
        <is>
          <t>no label votes</t>
        </is>
      </c>
      <c r="I160" s="5" t="inlineStr">
        <is>
          <t>(none)</t>
        </is>
      </c>
      <c r="J160" s="5" t="inlineStr"/>
      <c r="K160" s="5" t="inlineStr"/>
      <c r="L160" s="5" t="n">
        <v>217</v>
      </c>
      <c r="M160" s="5" t="n">
        <v>32</v>
      </c>
      <c r="N160" s="10">
        <f>IF(AND(ISNUMBER(L160),M160&gt;0),L160/M160,"")</f>
        <v/>
      </c>
      <c r="O160" s="5" t="n">
        <v>0.6899999999999999</v>
      </c>
      <c r="P160" s="5" t="n">
        <v>36.6</v>
      </c>
      <c r="Q160" s="5" t="n">
        <v>1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15</v>
      </c>
      <c r="Y160" s="5" t="n">
        <v>2.17</v>
      </c>
      <c r="Z160" s="5" t="inlineStr"/>
      <c r="AA160" s="5" t="n">
        <v>4644.8</v>
      </c>
      <c r="AB160" s="5" t="n">
        <v>2038.1</v>
      </c>
      <c r="AC160" s="5" t="n">
        <v>4701.8</v>
      </c>
      <c r="AD160" s="5" t="n">
        <v>2083.9</v>
      </c>
      <c r="AE160" s="5" t="inlineStr"/>
      <c r="AF160" s="5">
        <f>IF(AE160="","",IF(OR(AE160=F160,AND(AE160="crane_footing",F160="isolated_footing")),"yes","no"))</f>
        <v/>
      </c>
    </row>
    <row r="161">
      <c r="A161" s="5" t="n">
        <v>160</v>
      </c>
      <c r="B161" s="5" t="inlineStr">
        <is>
          <t>121</t>
        </is>
      </c>
      <c r="C161" s="5" t="inlineStr">
        <is>
          <t>region between joints</t>
        </is>
      </c>
      <c r="D161" s="5" t="inlineStr">
        <is>
          <t>band</t>
        </is>
      </c>
      <c r="E161" s="5" t="n">
        <v>2</v>
      </c>
      <c r="F161" s="5" t="inlineStr">
        <is>
          <t>unidentified</t>
        </is>
      </c>
      <c r="G161" s="5" t="inlineStr">
        <is>
          <t>C2</t>
        </is>
      </c>
      <c r="H161" s="5" t="inlineStr">
        <is>
          <t>no label votes</t>
        </is>
      </c>
      <c r="I161" s="5" t="inlineStr">
        <is>
          <t>(none)</t>
        </is>
      </c>
      <c r="J161" s="5" t="inlineStr"/>
      <c r="K161" s="5" t="inlineStr"/>
      <c r="L161" s="5" t="n">
        <v>217</v>
      </c>
      <c r="M161" s="5" t="n">
        <v>32</v>
      </c>
      <c r="N161" s="10">
        <f>IF(AND(ISNUMBER(L161),M161&gt;0),L161/M161,"")</f>
        <v/>
      </c>
      <c r="O161" s="5" t="n">
        <v>0.6889999999999999</v>
      </c>
      <c r="P161" s="5" t="n">
        <v>36.6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14</v>
      </c>
      <c r="X161" s="5" t="n">
        <v>15</v>
      </c>
      <c r="Y161" s="5" t="n">
        <v>2.17</v>
      </c>
      <c r="Z161" s="5" t="inlineStr"/>
      <c r="AA161" s="5" t="n">
        <v>4582.2</v>
      </c>
      <c r="AB161" s="5" t="n">
        <v>2038.2</v>
      </c>
      <c r="AC161" s="5" t="n">
        <v>4639.2</v>
      </c>
      <c r="AD161" s="5" t="n">
        <v>2084</v>
      </c>
      <c r="AE161" s="5" t="inlineStr"/>
      <c r="AF161" s="5">
        <f>IF(AE161="","",IF(OR(AE161=F161,AND(AE161="crane_footing",F161="isolated_footing")),"yes","no"))</f>
        <v/>
      </c>
    </row>
    <row r="162">
      <c r="A162" s="5" t="n">
        <v>161</v>
      </c>
      <c r="B162" s="5" t="inlineStr">
        <is>
          <t>121</t>
        </is>
      </c>
      <c r="C162" s="5" t="inlineStr">
        <is>
          <t>region between joints</t>
        </is>
      </c>
      <c r="D162" s="5" t="inlineStr">
        <is>
          <t>band</t>
        </is>
      </c>
      <c r="E162" s="5" t="n">
        <v>2</v>
      </c>
      <c r="F162" s="5" t="inlineStr">
        <is>
          <t>unidentified</t>
        </is>
      </c>
      <c r="G162" s="5" t="inlineStr">
        <is>
          <t>C2</t>
        </is>
      </c>
      <c r="H162" s="5" t="inlineStr">
        <is>
          <t>no label votes</t>
        </is>
      </c>
      <c r="I162" s="5" t="inlineStr">
        <is>
          <t>(none)</t>
        </is>
      </c>
      <c r="J162" s="5" t="inlineStr"/>
      <c r="K162" s="5" t="inlineStr"/>
      <c r="L162" s="5" t="n">
        <v>217</v>
      </c>
      <c r="M162" s="5" t="n">
        <v>32</v>
      </c>
      <c r="N162" s="10">
        <f>IF(AND(ISNUMBER(L162),M162&gt;0),L162/M162,"")</f>
        <v/>
      </c>
      <c r="O162" s="5" t="n">
        <v>0.6889999999999999</v>
      </c>
      <c r="P162" s="5" t="n">
        <v>36.6</v>
      </c>
      <c r="Q162" s="5" t="n">
        <v>1</v>
      </c>
      <c r="R162" s="5" t="n">
        <v>0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15</v>
      </c>
      <c r="Y162" s="5" t="n">
        <v>2.17</v>
      </c>
      <c r="Z162" s="5" t="inlineStr"/>
      <c r="AA162" s="5" t="n">
        <v>4613.5</v>
      </c>
      <c r="AB162" s="5" t="n">
        <v>2038.2</v>
      </c>
      <c r="AC162" s="5" t="n">
        <v>4670.5</v>
      </c>
      <c r="AD162" s="5" t="n">
        <v>2083.9</v>
      </c>
      <c r="AE162" s="5" t="inlineStr"/>
      <c r="AF162" s="5">
        <f>IF(AE162="","",IF(OR(AE162=F162,AND(AE162="crane_footing",F162="isolated_footing")),"yes","no"))</f>
        <v/>
      </c>
    </row>
    <row r="163">
      <c r="A163" s="5" t="n">
        <v>162</v>
      </c>
      <c r="B163" s="5" t="inlineStr">
        <is>
          <t>121</t>
        </is>
      </c>
      <c r="C163" s="5" t="inlineStr">
        <is>
          <t>region between joints</t>
        </is>
      </c>
      <c r="D163" s="5" t="inlineStr">
        <is>
          <t>band</t>
        </is>
      </c>
      <c r="E163" s="5" t="n">
        <v>2</v>
      </c>
      <c r="F163" s="5" t="inlineStr">
        <is>
          <t>unidentified</t>
        </is>
      </c>
      <c r="G163" s="5" t="inlineStr">
        <is>
          <t>C2</t>
        </is>
      </c>
      <c r="H163" s="5" t="inlineStr">
        <is>
          <t>no label votes</t>
        </is>
      </c>
      <c r="I163" s="5" t="inlineStr">
        <is>
          <t>(none)</t>
        </is>
      </c>
      <c r="J163" s="5" t="inlineStr"/>
      <c r="K163" s="5" t="inlineStr"/>
      <c r="L163" s="5" t="n">
        <v>217</v>
      </c>
      <c r="M163" s="5" t="n">
        <v>32</v>
      </c>
      <c r="N163" s="10">
        <f>IF(AND(ISNUMBER(L163),M163&gt;0),L163/M163,"")</f>
        <v/>
      </c>
      <c r="O163" s="5" t="n">
        <v>0.6889999999999999</v>
      </c>
      <c r="P163" s="5" t="n">
        <v>36.7</v>
      </c>
      <c r="Q163" s="5" t="n">
        <v>1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2</v>
      </c>
      <c r="X163" s="5" t="n">
        <v>16</v>
      </c>
      <c r="Y163" s="5" t="n">
        <v>2.17</v>
      </c>
      <c r="Z163" s="5" t="inlineStr"/>
      <c r="AA163" s="5" t="n">
        <v>4597.9</v>
      </c>
      <c r="AB163" s="5" t="n">
        <v>2038.2</v>
      </c>
      <c r="AC163" s="5" t="n">
        <v>4654.8</v>
      </c>
      <c r="AD163" s="5" t="n">
        <v>2083.9</v>
      </c>
      <c r="AE163" s="5" t="inlineStr"/>
      <c r="AF163" s="5">
        <f>IF(AE163="","",IF(OR(AE163=F163,AND(AE163="crane_footing",F163="isolated_footing")),"yes","no"))</f>
        <v/>
      </c>
    </row>
    <row r="164">
      <c r="A164" s="5" t="n">
        <v>163</v>
      </c>
      <c r="B164" s="5" t="inlineStr">
        <is>
          <t>121</t>
        </is>
      </c>
      <c r="C164" s="5" t="inlineStr">
        <is>
          <t>region between joints</t>
        </is>
      </c>
      <c r="D164" s="5" t="inlineStr">
        <is>
          <t>band</t>
        </is>
      </c>
      <c r="E164" s="5" t="n">
        <v>2</v>
      </c>
      <c r="F164" s="5" t="inlineStr">
        <is>
          <t>unidentified</t>
        </is>
      </c>
      <c r="G164" s="5" t="inlineStr">
        <is>
          <t>C2</t>
        </is>
      </c>
      <c r="H164" s="5" t="inlineStr">
        <is>
          <t>no label votes</t>
        </is>
      </c>
      <c r="I164" s="5" t="inlineStr">
        <is>
          <t>(none)</t>
        </is>
      </c>
      <c r="J164" s="5" t="inlineStr"/>
      <c r="K164" s="5" t="inlineStr"/>
      <c r="L164" s="5" t="n">
        <v>209</v>
      </c>
      <c r="M164" s="5" t="n">
        <v>32</v>
      </c>
      <c r="N164" s="10">
        <f>IF(AND(ISNUMBER(L164),M164&gt;0),L164/M164,"")</f>
        <v/>
      </c>
      <c r="O164" s="5" t="n">
        <v>0.663</v>
      </c>
      <c r="P164" s="5" t="n">
        <v>36.7</v>
      </c>
      <c r="Q164" s="5" t="n">
        <v>1</v>
      </c>
      <c r="R164" s="5" t="n">
        <v>0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15</v>
      </c>
      <c r="Y164" s="5" t="n">
        <v>1.5</v>
      </c>
      <c r="Z164" s="5" t="inlineStr"/>
      <c r="AA164" s="5" t="n">
        <v>4537.1</v>
      </c>
      <c r="AB164" s="5" t="n">
        <v>2039.8</v>
      </c>
      <c r="AC164" s="5" t="n">
        <v>4592.1</v>
      </c>
      <c r="AD164" s="5" t="n">
        <v>2084</v>
      </c>
      <c r="AE164" s="5" t="inlineStr"/>
      <c r="AF164" s="5">
        <f>IF(AE164="","",IF(OR(AE164=F164,AND(AE164="crane_footing",F164="isolated_footing")),"yes","no"))</f>
        <v/>
      </c>
    </row>
    <row r="165">
      <c r="A165" s="5" t="n">
        <v>164</v>
      </c>
      <c r="B165" s="5" t="inlineStr">
        <is>
          <t>121</t>
        </is>
      </c>
      <c r="C165" s="5" t="inlineStr">
        <is>
          <t>region between joints</t>
        </is>
      </c>
      <c r="D165" s="5" t="inlineStr">
        <is>
          <t>band</t>
        </is>
      </c>
      <c r="E165" s="5" t="n">
        <v>2</v>
      </c>
      <c r="F165" s="5" t="inlineStr">
        <is>
          <t>unidentified</t>
        </is>
      </c>
      <c r="G165" s="5" t="inlineStr">
        <is>
          <t>C2</t>
        </is>
      </c>
      <c r="H165" s="5" t="inlineStr">
        <is>
          <t>no label votes</t>
        </is>
      </c>
      <c r="I165" s="5" t="inlineStr">
        <is>
          <t>(none)</t>
        </is>
      </c>
      <c r="J165" s="5" t="inlineStr"/>
      <c r="K165" s="5" t="inlineStr"/>
      <c r="L165" s="5" t="n">
        <v>209</v>
      </c>
      <c r="M165" s="5" t="n">
        <v>32</v>
      </c>
      <c r="N165" s="10">
        <f>IF(AND(ISNUMBER(L165),M165&gt;0),L165/M165,"")</f>
        <v/>
      </c>
      <c r="O165" s="5" t="n">
        <v>0.663</v>
      </c>
      <c r="P165" s="5" t="n">
        <v>36.6</v>
      </c>
      <c r="Q165" s="5" t="n">
        <v>1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15</v>
      </c>
      <c r="Y165" s="5" t="n">
        <v>1.94</v>
      </c>
      <c r="Z165" s="5" t="inlineStr"/>
      <c r="AA165" s="5" t="n">
        <v>4568.5</v>
      </c>
      <c r="AB165" s="5" t="n">
        <v>2039.7</v>
      </c>
      <c r="AC165" s="5" t="n">
        <v>4623.5</v>
      </c>
      <c r="AD165" s="5" t="n">
        <v>2084</v>
      </c>
      <c r="AE165" s="5" t="inlineStr"/>
      <c r="AF165" s="5">
        <f>IF(AE165="","",IF(OR(AE165=F165,AND(AE165="crane_footing",F165="isolated_footing")),"yes","no"))</f>
        <v/>
      </c>
    </row>
    <row r="166">
      <c r="A166" s="5" t="n">
        <v>165</v>
      </c>
      <c r="B166" s="5" t="inlineStr">
        <is>
          <t>121</t>
        </is>
      </c>
      <c r="C166" s="5" t="inlineStr">
        <is>
          <t>region between joints</t>
        </is>
      </c>
      <c r="D166" s="5" t="inlineStr">
        <is>
          <t>band</t>
        </is>
      </c>
      <c r="E166" s="5" t="n">
        <v>2</v>
      </c>
      <c r="F166" s="5" t="inlineStr">
        <is>
          <t>unidentified</t>
        </is>
      </c>
      <c r="G166" s="5" t="inlineStr">
        <is>
          <t>C2</t>
        </is>
      </c>
      <c r="H166" s="5" t="inlineStr">
        <is>
          <t>no label votes</t>
        </is>
      </c>
      <c r="I166" s="5" t="inlineStr">
        <is>
          <t>(none)</t>
        </is>
      </c>
      <c r="J166" s="5" t="inlineStr"/>
      <c r="K166" s="5" t="inlineStr"/>
      <c r="L166" s="5" t="n">
        <v>208</v>
      </c>
      <c r="M166" s="5" t="n">
        <v>32</v>
      </c>
      <c r="N166" s="10">
        <f>IF(AND(ISNUMBER(L166),M166&gt;0),L166/M166,"")</f>
        <v/>
      </c>
      <c r="O166" s="5" t="n">
        <v>0.663</v>
      </c>
      <c r="P166" s="5" t="n">
        <v>36.6</v>
      </c>
      <c r="Q166" s="5" t="n">
        <v>1</v>
      </c>
      <c r="R166" s="5" t="n">
        <v>0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1</v>
      </c>
      <c r="X166" s="5" t="n">
        <v>15</v>
      </c>
      <c r="Y166" s="5" t="n">
        <v>1.5</v>
      </c>
      <c r="Z166" s="5" t="inlineStr"/>
      <c r="AA166" s="5" t="n">
        <v>4552.8</v>
      </c>
      <c r="AB166" s="5" t="n">
        <v>2039.7</v>
      </c>
      <c r="AC166" s="5" t="n">
        <v>4607.8</v>
      </c>
      <c r="AD166" s="5" t="n">
        <v>2084</v>
      </c>
      <c r="AE166" s="5" t="inlineStr"/>
      <c r="AF166" s="5">
        <f>IF(AE166="","",IF(OR(AE166=F166,AND(AE166="crane_footing",F166="isolated_footing")),"yes","no"))</f>
        <v/>
      </c>
    </row>
    <row r="167">
      <c r="A167" s="5" t="n">
        <v>166</v>
      </c>
      <c r="B167" s="5" t="inlineStr">
        <is>
          <t>121</t>
        </is>
      </c>
      <c r="C167" s="5" t="inlineStr">
        <is>
          <t>region between joints</t>
        </is>
      </c>
      <c r="D167" s="5" t="inlineStr">
        <is>
          <t>band</t>
        </is>
      </c>
      <c r="E167" s="5" t="n">
        <v>2</v>
      </c>
      <c r="F167" s="5" t="inlineStr">
        <is>
          <t>unidentified</t>
        </is>
      </c>
      <c r="G167" s="5" t="inlineStr">
        <is>
          <t>C2</t>
        </is>
      </c>
      <c r="H167" s="5" t="inlineStr">
        <is>
          <t>no label votes</t>
        </is>
      </c>
      <c r="I167" s="5" t="inlineStr">
        <is>
          <t>(none)</t>
        </is>
      </c>
      <c r="J167" s="5" t="inlineStr"/>
      <c r="K167" s="5" t="inlineStr"/>
      <c r="L167" s="5" t="n">
        <v>208</v>
      </c>
      <c r="M167" s="5" t="n">
        <v>32</v>
      </c>
      <c r="N167" s="10">
        <f>IF(AND(ISNUMBER(L167),M167&gt;0),L167/M167,"")</f>
        <v/>
      </c>
      <c r="O167" s="5" t="n">
        <v>0.663</v>
      </c>
      <c r="P167" s="5" t="n">
        <v>36.6</v>
      </c>
      <c r="Q167" s="5" t="n">
        <v>1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14</v>
      </c>
      <c r="X167" s="5" t="n">
        <v>13</v>
      </c>
      <c r="Y167" s="5" t="n">
        <v>1.5</v>
      </c>
      <c r="Z167" s="5" t="inlineStr"/>
      <c r="AA167" s="5" t="n">
        <v>4521.5</v>
      </c>
      <c r="AB167" s="5" t="n">
        <v>2039.8</v>
      </c>
      <c r="AC167" s="5" t="n">
        <v>4576.4</v>
      </c>
      <c r="AD167" s="5" t="n">
        <v>2084</v>
      </c>
      <c r="AE167" s="5" t="inlineStr"/>
      <c r="AF167" s="5">
        <f>IF(AE167="","",IF(OR(AE167=F167,AND(AE167="crane_footing",F167="isolated_footing")),"yes","no"))</f>
        <v/>
      </c>
    </row>
    <row r="168">
      <c r="A168" s="5" t="n">
        <v>167</v>
      </c>
      <c r="B168" s="5" t="inlineStr">
        <is>
          <t>121</t>
        </is>
      </c>
      <c r="C168" s="5" t="inlineStr">
        <is>
          <t>region between joints</t>
        </is>
      </c>
      <c r="D168" s="5" t="inlineStr">
        <is>
          <t>band</t>
        </is>
      </c>
      <c r="E168" s="5" t="n">
        <v>2</v>
      </c>
      <c r="F168" s="5" t="inlineStr">
        <is>
          <t>unidentified</t>
        </is>
      </c>
      <c r="G168" s="5" t="inlineStr">
        <is>
          <t>C2</t>
        </is>
      </c>
      <c r="H168" s="5" t="inlineStr">
        <is>
          <t>no label votes</t>
        </is>
      </c>
      <c r="I168" s="5" t="inlineStr">
        <is>
          <t>(none)</t>
        </is>
      </c>
      <c r="J168" s="5" t="inlineStr"/>
      <c r="K168" s="5" t="inlineStr"/>
      <c r="L168" s="5" t="n">
        <v>163</v>
      </c>
      <c r="M168" s="5" t="n">
        <v>32</v>
      </c>
      <c r="N168" s="10">
        <f>IF(AND(ISNUMBER(L168),M168&gt;0),L168/M168,"")</f>
        <v/>
      </c>
      <c r="O168" s="5" t="n">
        <v>0.52</v>
      </c>
      <c r="P168" s="5" t="n">
        <v>126.6</v>
      </c>
      <c r="Q168" s="5" t="n">
        <v>1</v>
      </c>
      <c r="R168" s="5" t="n">
        <v>1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28</v>
      </c>
      <c r="X168" s="5" t="n">
        <v>11</v>
      </c>
      <c r="Y168" s="5" t="n">
        <v>0</v>
      </c>
      <c r="Z168" s="5" t="inlineStr"/>
      <c r="AA168" s="5" t="n">
        <v>4528.5</v>
      </c>
      <c r="AB168" s="5" t="n">
        <v>2084</v>
      </c>
      <c r="AC168" s="5" t="n">
        <v>4564.8</v>
      </c>
      <c r="AD168" s="5" t="n">
        <v>2128.4</v>
      </c>
      <c r="AE168" s="5" t="inlineStr"/>
      <c r="AF168" s="5">
        <f>IF(AE168="","",IF(OR(AE168=F168,AND(AE168="crane_footing",F168="isolated_footing")),"yes","no"))</f>
        <v/>
      </c>
    </row>
    <row r="169">
      <c r="A169" s="5" t="n">
        <v>168</v>
      </c>
      <c r="B169" s="5" t="inlineStr">
        <is>
          <t>121</t>
        </is>
      </c>
      <c r="C169" s="5" t="inlineStr">
        <is>
          <t>region between joints</t>
        </is>
      </c>
      <c r="D169" s="5" t="inlineStr">
        <is>
          <t>band</t>
        </is>
      </c>
      <c r="E169" s="5" t="n">
        <v>2</v>
      </c>
      <c r="F169" s="5" t="inlineStr">
        <is>
          <t>unidentified</t>
        </is>
      </c>
      <c r="G169" s="5" t="inlineStr">
        <is>
          <t>C2</t>
        </is>
      </c>
      <c r="H169" s="5" t="inlineStr">
        <is>
          <t>no label votes</t>
        </is>
      </c>
      <c r="I169" s="5" t="inlineStr">
        <is>
          <t>(none)</t>
        </is>
      </c>
      <c r="J169" s="5" t="inlineStr"/>
      <c r="K169" s="5" t="inlineStr"/>
      <c r="L169" s="5" t="n">
        <v>163</v>
      </c>
      <c r="M169" s="5" t="n">
        <v>32</v>
      </c>
      <c r="N169" s="10">
        <f>IF(AND(ISNUMBER(L169),M169&gt;0),L169/M169,"")</f>
        <v/>
      </c>
      <c r="O169" s="5" t="n">
        <v>0.52</v>
      </c>
      <c r="P169" s="5" t="n">
        <v>126.6</v>
      </c>
      <c r="Q169" s="5" t="n">
        <v>1</v>
      </c>
      <c r="R169" s="5" t="n">
        <v>1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14</v>
      </c>
      <c r="X169" s="5" t="n">
        <v>13</v>
      </c>
      <c r="Y169" s="5" t="n">
        <v>0</v>
      </c>
      <c r="Z169" s="5" t="inlineStr"/>
      <c r="AA169" s="5" t="n">
        <v>4540.2</v>
      </c>
      <c r="AB169" s="5" t="n">
        <v>2084</v>
      </c>
      <c r="AC169" s="5" t="n">
        <v>4576.5</v>
      </c>
      <c r="AD169" s="5" t="n">
        <v>2128.4</v>
      </c>
      <c r="AE169" s="5" t="inlineStr"/>
      <c r="AF169" s="5">
        <f>IF(AE169="","",IF(OR(AE169=F169,AND(AE169="crane_footing",F169="isolated_footing")),"yes","no"))</f>
        <v/>
      </c>
    </row>
    <row r="170">
      <c r="A170" s="5" t="n">
        <v>169</v>
      </c>
      <c r="B170" s="5" t="inlineStr">
        <is>
          <t>121</t>
        </is>
      </c>
      <c r="C170" s="5" t="inlineStr">
        <is>
          <t>region between joints</t>
        </is>
      </c>
      <c r="D170" s="5" t="inlineStr">
        <is>
          <t>band</t>
        </is>
      </c>
      <c r="E170" s="5" t="n">
        <v>2</v>
      </c>
      <c r="F170" s="5" t="inlineStr">
        <is>
          <t>unidentified</t>
        </is>
      </c>
      <c r="G170" s="5" t="inlineStr">
        <is>
          <t>C2</t>
        </is>
      </c>
      <c r="H170" s="5" t="inlineStr">
        <is>
          <t>no label votes</t>
        </is>
      </c>
      <c r="I170" s="5" t="inlineStr">
        <is>
          <t>(none)</t>
        </is>
      </c>
      <c r="J170" s="5" t="inlineStr"/>
      <c r="K170" s="5" t="inlineStr"/>
      <c r="L170" s="5" t="n">
        <v>163</v>
      </c>
      <c r="M170" s="5" t="n">
        <v>32</v>
      </c>
      <c r="N170" s="10">
        <f>IF(AND(ISNUMBER(L170),M170&gt;0),L170/M170,"")</f>
        <v/>
      </c>
      <c r="O170" s="5" t="n">
        <v>0.519</v>
      </c>
      <c r="P170" s="5" t="n">
        <v>126.6</v>
      </c>
      <c r="Q170" s="5" t="n">
        <v>0</v>
      </c>
      <c r="R170" s="5" t="n">
        <v>1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13</v>
      </c>
      <c r="Y170" s="5" t="n">
        <v>0</v>
      </c>
      <c r="Z170" s="5" t="inlineStr"/>
      <c r="AA170" s="5" t="n">
        <v>4563.6</v>
      </c>
      <c r="AB170" s="5" t="n">
        <v>2084</v>
      </c>
      <c r="AC170" s="5" t="n">
        <v>4599.9</v>
      </c>
      <c r="AD170" s="5" t="n">
        <v>2128.3</v>
      </c>
      <c r="AE170" s="5" t="inlineStr"/>
      <c r="AF170" s="5">
        <f>IF(AE170="","",IF(OR(AE170=F170,AND(AE170="crane_footing",F170="isolated_footing")),"yes","no"))</f>
        <v/>
      </c>
    </row>
    <row r="171">
      <c r="A171" s="5" t="n">
        <v>170</v>
      </c>
      <c r="B171" s="5" t="inlineStr">
        <is>
          <t>121</t>
        </is>
      </c>
      <c r="C171" s="5" t="inlineStr">
        <is>
          <t>region between joints</t>
        </is>
      </c>
      <c r="D171" s="5" t="inlineStr">
        <is>
          <t>band</t>
        </is>
      </c>
      <c r="E171" s="5" t="n">
        <v>2</v>
      </c>
      <c r="F171" s="5" t="inlineStr">
        <is>
          <t>unidentified</t>
        </is>
      </c>
      <c r="G171" s="5" t="inlineStr">
        <is>
          <t>C2</t>
        </is>
      </c>
      <c r="H171" s="5" t="inlineStr">
        <is>
          <t>no label votes</t>
        </is>
      </c>
      <c r="I171" s="5" t="inlineStr">
        <is>
          <t>(none)</t>
        </is>
      </c>
      <c r="J171" s="5" t="inlineStr"/>
      <c r="K171" s="5" t="inlineStr"/>
      <c r="L171" s="5" t="n">
        <v>163</v>
      </c>
      <c r="M171" s="5" t="n">
        <v>32</v>
      </c>
      <c r="N171" s="10">
        <f>IF(AND(ISNUMBER(L171),M171&gt;0),L171/M171,"")</f>
        <v/>
      </c>
      <c r="O171" s="5" t="n">
        <v>0.519</v>
      </c>
      <c r="P171" s="5" t="n">
        <v>126.7</v>
      </c>
      <c r="Q171" s="5" t="n">
        <v>0</v>
      </c>
      <c r="R171" s="5" t="n">
        <v>1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14</v>
      </c>
      <c r="Y171" s="5" t="n">
        <v>0.53</v>
      </c>
      <c r="Z171" s="5" t="inlineStr"/>
      <c r="AA171" s="5" t="n">
        <v>4587</v>
      </c>
      <c r="AB171" s="5" t="n">
        <v>2084</v>
      </c>
      <c r="AC171" s="5" t="n">
        <v>4623.3</v>
      </c>
      <c r="AD171" s="5" t="n">
        <v>2128.2</v>
      </c>
      <c r="AE171" s="5" t="inlineStr"/>
      <c r="AF171" s="5">
        <f>IF(AE171="","",IF(OR(AE171=F171,AND(AE171="crane_footing",F171="isolated_footing")),"yes","no"))</f>
        <v/>
      </c>
    </row>
    <row r="172">
      <c r="A172" s="5" t="n">
        <v>171</v>
      </c>
      <c r="B172" s="5" t="inlineStr">
        <is>
          <t>121</t>
        </is>
      </c>
      <c r="C172" s="5" t="inlineStr">
        <is>
          <t>region between joints</t>
        </is>
      </c>
      <c r="D172" s="5" t="inlineStr">
        <is>
          <t>band</t>
        </is>
      </c>
      <c r="E172" s="5" t="n">
        <v>2</v>
      </c>
      <c r="F172" s="5" t="inlineStr">
        <is>
          <t>unidentified</t>
        </is>
      </c>
      <c r="G172" s="5" t="inlineStr">
        <is>
          <t>C2</t>
        </is>
      </c>
      <c r="H172" s="5" t="inlineStr">
        <is>
          <t>no label votes</t>
        </is>
      </c>
      <c r="I172" s="5" t="inlineStr">
        <is>
          <t>(none)</t>
        </is>
      </c>
      <c r="J172" s="5" t="inlineStr"/>
      <c r="K172" s="5" t="inlineStr"/>
      <c r="L172" s="5" t="n">
        <v>163</v>
      </c>
      <c r="M172" s="5" t="n">
        <v>32</v>
      </c>
      <c r="N172" s="10">
        <f>IF(AND(ISNUMBER(L172),M172&gt;0),L172/M172,"")</f>
        <v/>
      </c>
      <c r="O172" s="5" t="n">
        <v>0.519</v>
      </c>
      <c r="P172" s="5" t="n">
        <v>126.7</v>
      </c>
      <c r="Q172" s="5" t="n">
        <v>0</v>
      </c>
      <c r="R172" s="5" t="n">
        <v>1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14</v>
      </c>
      <c r="Y172" s="5" t="n">
        <v>0</v>
      </c>
      <c r="Z172" s="5" t="inlineStr"/>
      <c r="AA172" s="5" t="n">
        <v>4575.3</v>
      </c>
      <c r="AB172" s="5" t="n">
        <v>2084</v>
      </c>
      <c r="AC172" s="5" t="n">
        <v>4611.6</v>
      </c>
      <c r="AD172" s="5" t="n">
        <v>2128.2</v>
      </c>
      <c r="AE172" s="5" t="inlineStr"/>
      <c r="AF172" s="5">
        <f>IF(AE172="","",IF(OR(AE172=F172,AND(AE172="crane_footing",F172="isolated_footing")),"yes","no"))</f>
        <v/>
      </c>
    </row>
    <row r="173">
      <c r="A173" s="5" t="n">
        <v>172</v>
      </c>
      <c r="B173" s="5" t="inlineStr">
        <is>
          <t>121</t>
        </is>
      </c>
      <c r="C173" s="5" t="inlineStr">
        <is>
          <t>region between joints</t>
        </is>
      </c>
      <c r="D173" s="5" t="inlineStr">
        <is>
          <t>band</t>
        </is>
      </c>
      <c r="E173" s="5" t="n">
        <v>2</v>
      </c>
      <c r="F173" s="5" t="inlineStr">
        <is>
          <t>unidentified</t>
        </is>
      </c>
      <c r="G173" s="5" t="inlineStr">
        <is>
          <t>C2</t>
        </is>
      </c>
      <c r="H173" s="5" t="inlineStr">
        <is>
          <t>no label votes</t>
        </is>
      </c>
      <c r="I173" s="5" t="inlineStr">
        <is>
          <t>(none)</t>
        </is>
      </c>
      <c r="J173" s="5" t="inlineStr"/>
      <c r="K173" s="5" t="inlineStr"/>
      <c r="L173" s="5" t="n">
        <v>163</v>
      </c>
      <c r="M173" s="5" t="n">
        <v>32</v>
      </c>
      <c r="N173" s="10">
        <f>IF(AND(ISNUMBER(L173),M173&gt;0),L173/M173,"")</f>
        <v/>
      </c>
      <c r="O173" s="5" t="n">
        <v>0.519</v>
      </c>
      <c r="P173" s="5" t="n">
        <v>126.6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14</v>
      </c>
      <c r="Y173" s="5" t="n">
        <v>1.63</v>
      </c>
      <c r="Z173" s="5" t="inlineStr"/>
      <c r="AA173" s="5" t="n">
        <v>4622.1</v>
      </c>
      <c r="AB173" s="5" t="n">
        <v>2083.9</v>
      </c>
      <c r="AC173" s="5" t="n">
        <v>4658.3</v>
      </c>
      <c r="AD173" s="5" t="n">
        <v>2128.2</v>
      </c>
      <c r="AE173" s="5" t="inlineStr"/>
      <c r="AF173" s="5">
        <f>IF(AE173="","",IF(OR(AE173=F173,AND(AE173="crane_footing",F173="isolated_footing")),"yes","no"))</f>
        <v/>
      </c>
    </row>
    <row r="174">
      <c r="A174" s="5" t="n">
        <v>173</v>
      </c>
      <c r="B174" s="5" t="inlineStr">
        <is>
          <t>121</t>
        </is>
      </c>
      <c r="C174" s="5" t="inlineStr">
        <is>
          <t>region between joints</t>
        </is>
      </c>
      <c r="D174" s="5" t="inlineStr">
        <is>
          <t>band</t>
        </is>
      </c>
      <c r="E174" s="5" t="n">
        <v>2</v>
      </c>
      <c r="F174" s="5" t="inlineStr">
        <is>
          <t>unidentified</t>
        </is>
      </c>
      <c r="G174" s="5" t="inlineStr">
        <is>
          <t>C2</t>
        </is>
      </c>
      <c r="H174" s="5" t="inlineStr">
        <is>
          <t>no label votes</t>
        </is>
      </c>
      <c r="I174" s="5" t="inlineStr">
        <is>
          <t>(none)</t>
        </is>
      </c>
      <c r="J174" s="5" t="inlineStr"/>
      <c r="K174" s="5" t="inlineStr"/>
      <c r="L174" s="5" t="n">
        <v>163</v>
      </c>
      <c r="M174" s="5" t="n">
        <v>32</v>
      </c>
      <c r="N174" s="10">
        <f>IF(AND(ISNUMBER(L174),M174&gt;0),L174/M174,"")</f>
        <v/>
      </c>
      <c r="O174" s="5" t="n">
        <v>0.519</v>
      </c>
      <c r="P174" s="5" t="n">
        <v>126.6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14</v>
      </c>
      <c r="Y174" s="5" t="n">
        <v>1.19</v>
      </c>
      <c r="Z174" s="5" t="inlineStr"/>
      <c r="AA174" s="5" t="n">
        <v>4598.7</v>
      </c>
      <c r="AB174" s="5" t="n">
        <v>2084</v>
      </c>
      <c r="AC174" s="5" t="n">
        <v>4635</v>
      </c>
      <c r="AD174" s="5" t="n">
        <v>2128.2</v>
      </c>
      <c r="AE174" s="5" t="inlineStr"/>
      <c r="AF174" s="5">
        <f>IF(AE174="","",IF(OR(AE174=F174,AND(AE174="crane_footing",F174="isolated_footing")),"yes","no"))</f>
        <v/>
      </c>
    </row>
    <row r="175">
      <c r="A175" s="5" t="n">
        <v>174</v>
      </c>
      <c r="B175" s="5" t="inlineStr">
        <is>
          <t>121</t>
        </is>
      </c>
      <c r="C175" s="5" t="inlineStr">
        <is>
          <t>region between joints</t>
        </is>
      </c>
      <c r="D175" s="5" t="inlineStr">
        <is>
          <t>band</t>
        </is>
      </c>
      <c r="E175" s="5" t="n">
        <v>2</v>
      </c>
      <c r="F175" s="5" t="inlineStr">
        <is>
          <t>unidentified</t>
        </is>
      </c>
      <c r="G175" s="5" t="inlineStr">
        <is>
          <t>C2</t>
        </is>
      </c>
      <c r="H175" s="5" t="inlineStr">
        <is>
          <t>no label votes</t>
        </is>
      </c>
      <c r="I175" s="5" t="inlineStr">
        <is>
          <t>(none)</t>
        </is>
      </c>
      <c r="J175" s="5" t="inlineStr"/>
      <c r="K175" s="5" t="inlineStr"/>
      <c r="L175" s="5" t="n">
        <v>163</v>
      </c>
      <c r="M175" s="5" t="n">
        <v>32</v>
      </c>
      <c r="N175" s="10">
        <f>IF(AND(ISNUMBER(L175),M175&gt;0),L175/M175,"")</f>
        <v/>
      </c>
      <c r="O175" s="5" t="n">
        <v>0.519</v>
      </c>
      <c r="P175" s="5" t="n">
        <v>126.7</v>
      </c>
      <c r="Q175" s="5" t="n">
        <v>0</v>
      </c>
      <c r="R175" s="5" t="n">
        <v>1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13</v>
      </c>
      <c r="Y175" s="5" t="n">
        <v>0</v>
      </c>
      <c r="Z175" s="5" t="inlineStr"/>
      <c r="AA175" s="5" t="n">
        <v>4551.9</v>
      </c>
      <c r="AB175" s="5" t="n">
        <v>2084.1</v>
      </c>
      <c r="AC175" s="5" t="n">
        <v>4588.2</v>
      </c>
      <c r="AD175" s="5" t="n">
        <v>2128.3</v>
      </c>
      <c r="AE175" s="5" t="inlineStr"/>
      <c r="AF175" s="5">
        <f>IF(AE175="","",IF(OR(AE175=F175,AND(AE175="crane_footing",F175="isolated_footing")),"yes","no"))</f>
        <v/>
      </c>
    </row>
    <row r="176">
      <c r="A176" s="5" t="n">
        <v>175</v>
      </c>
      <c r="B176" s="5" t="inlineStr">
        <is>
          <t>121</t>
        </is>
      </c>
      <c r="C176" s="5" t="inlineStr">
        <is>
          <t>region between joints</t>
        </is>
      </c>
      <c r="D176" s="5" t="inlineStr">
        <is>
          <t>band</t>
        </is>
      </c>
      <c r="E176" s="5" t="n">
        <v>2</v>
      </c>
      <c r="F176" s="5" t="inlineStr">
        <is>
          <t>unidentified</t>
        </is>
      </c>
      <c r="G176" s="5" t="inlineStr">
        <is>
          <t>C2</t>
        </is>
      </c>
      <c r="H176" s="5" t="inlineStr">
        <is>
          <t>no label votes</t>
        </is>
      </c>
      <c r="I176" s="5" t="inlineStr">
        <is>
          <t>(none)</t>
        </is>
      </c>
      <c r="J176" s="5" t="inlineStr"/>
      <c r="K176" s="5" t="inlineStr"/>
      <c r="L176" s="5" t="n">
        <v>163</v>
      </c>
      <c r="M176" s="5" t="n">
        <v>32</v>
      </c>
      <c r="N176" s="10">
        <f>IF(AND(ISNUMBER(L176),M176&gt;0),L176/M176,"")</f>
        <v/>
      </c>
      <c r="O176" s="5" t="n">
        <v>0.518</v>
      </c>
      <c r="P176" s="5" t="n">
        <v>126.6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14</v>
      </c>
      <c r="Y176" s="5" t="n">
        <v>1.63</v>
      </c>
      <c r="Z176" s="5" t="inlineStr"/>
      <c r="AA176" s="5" t="n">
        <v>4657.2</v>
      </c>
      <c r="AB176" s="5" t="n">
        <v>2083.9</v>
      </c>
      <c r="AC176" s="5" t="n">
        <v>4693.4</v>
      </c>
      <c r="AD176" s="5" t="n">
        <v>2128.1</v>
      </c>
      <c r="AE176" s="5" t="inlineStr"/>
      <c r="AF176" s="5">
        <f>IF(AE176="","",IF(OR(AE176=F176,AND(AE176="crane_footing",F176="isolated_footing")),"yes","no"))</f>
        <v/>
      </c>
    </row>
    <row r="177">
      <c r="A177" s="5" t="n">
        <v>176</v>
      </c>
      <c r="B177" s="5" t="inlineStr">
        <is>
          <t>121</t>
        </is>
      </c>
      <c r="C177" s="5" t="inlineStr">
        <is>
          <t>region between joints</t>
        </is>
      </c>
      <c r="D177" s="5" t="inlineStr">
        <is>
          <t>band</t>
        </is>
      </c>
      <c r="E177" s="5" t="n">
        <v>2</v>
      </c>
      <c r="F177" s="5" t="inlineStr">
        <is>
          <t>unidentified</t>
        </is>
      </c>
      <c r="G177" s="5" t="inlineStr">
        <is>
          <t>C2</t>
        </is>
      </c>
      <c r="H177" s="5" t="inlineStr">
        <is>
          <t>no label votes</t>
        </is>
      </c>
      <c r="I177" s="5" t="inlineStr">
        <is>
          <t>(none)</t>
        </is>
      </c>
      <c r="J177" s="5" t="inlineStr"/>
      <c r="K177" s="5" t="inlineStr"/>
      <c r="L177" s="5" t="n">
        <v>163</v>
      </c>
      <c r="M177" s="5" t="n">
        <v>32</v>
      </c>
      <c r="N177" s="10">
        <f>IF(AND(ISNUMBER(L177),M177&gt;0),L177/M177,"")</f>
        <v/>
      </c>
      <c r="O177" s="5" t="n">
        <v>0.518</v>
      </c>
      <c r="P177" s="5" t="n">
        <v>126.6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13</v>
      </c>
      <c r="Y177" s="5" t="n">
        <v>1.63</v>
      </c>
      <c r="Z177" s="5" t="inlineStr"/>
      <c r="AA177" s="5" t="n">
        <v>4610.4</v>
      </c>
      <c r="AB177" s="5" t="n">
        <v>2084</v>
      </c>
      <c r="AC177" s="5" t="n">
        <v>4646.6</v>
      </c>
      <c r="AD177" s="5" t="n">
        <v>2128.2</v>
      </c>
      <c r="AE177" s="5" t="inlineStr"/>
      <c r="AF177" s="5">
        <f>IF(AE177="","",IF(OR(AE177=F177,AND(AE177="crane_footing",F177="isolated_footing")),"yes","no"))</f>
        <v/>
      </c>
    </row>
    <row r="178">
      <c r="A178" s="5" t="n">
        <v>177</v>
      </c>
      <c r="B178" s="5" t="inlineStr">
        <is>
          <t>121</t>
        </is>
      </c>
      <c r="C178" s="5" t="inlineStr">
        <is>
          <t>region between joints</t>
        </is>
      </c>
      <c r="D178" s="5" t="inlineStr">
        <is>
          <t>band</t>
        </is>
      </c>
      <c r="E178" s="5" t="n">
        <v>2</v>
      </c>
      <c r="F178" s="5" t="inlineStr">
        <is>
          <t>unidentified</t>
        </is>
      </c>
      <c r="G178" s="5" t="inlineStr">
        <is>
          <t>C2</t>
        </is>
      </c>
      <c r="H178" s="5" t="inlineStr">
        <is>
          <t>no label votes</t>
        </is>
      </c>
      <c r="I178" s="5" t="inlineStr">
        <is>
          <t>(none)</t>
        </is>
      </c>
      <c r="J178" s="5" t="inlineStr"/>
      <c r="K178" s="5" t="inlineStr"/>
      <c r="L178" s="5" t="n">
        <v>163</v>
      </c>
      <c r="M178" s="5" t="n">
        <v>32</v>
      </c>
      <c r="N178" s="10">
        <f>IF(AND(ISNUMBER(L178),M178&gt;0),L178/M178,"")</f>
        <v/>
      </c>
      <c r="O178" s="5" t="n">
        <v>0.518</v>
      </c>
      <c r="P178" s="5" t="n">
        <v>126.6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14</v>
      </c>
      <c r="Y178" s="5" t="n">
        <v>1.63</v>
      </c>
      <c r="Z178" s="5" t="inlineStr"/>
      <c r="AA178" s="5" t="n">
        <v>4633.8</v>
      </c>
      <c r="AB178" s="5" t="n">
        <v>2083.9</v>
      </c>
      <c r="AC178" s="5" t="n">
        <v>4670</v>
      </c>
      <c r="AD178" s="5" t="n">
        <v>2128.1</v>
      </c>
      <c r="AE178" s="5" t="inlineStr"/>
      <c r="AF178" s="5">
        <f>IF(AE178="","",IF(OR(AE178=F178,AND(AE178="crane_footing",F178="isolated_footing")),"yes","no"))</f>
        <v/>
      </c>
    </row>
    <row r="179">
      <c r="A179" s="5" t="n">
        <v>178</v>
      </c>
      <c r="B179" s="5" t="inlineStr">
        <is>
          <t>121</t>
        </is>
      </c>
      <c r="C179" s="5" t="inlineStr">
        <is>
          <t>region between joints</t>
        </is>
      </c>
      <c r="D179" s="5" t="inlineStr">
        <is>
          <t>band</t>
        </is>
      </c>
      <c r="E179" s="5" t="n">
        <v>2</v>
      </c>
      <c r="F179" s="5" t="inlineStr">
        <is>
          <t>unidentified</t>
        </is>
      </c>
      <c r="G179" s="5" t="inlineStr">
        <is>
          <t>C2</t>
        </is>
      </c>
      <c r="H179" s="5" t="inlineStr">
        <is>
          <t>no label votes</t>
        </is>
      </c>
      <c r="I179" s="5" t="inlineStr">
        <is>
          <t>(none)</t>
        </is>
      </c>
      <c r="J179" s="5" t="inlineStr"/>
      <c r="K179" s="5" t="inlineStr"/>
      <c r="L179" s="5" t="n">
        <v>163</v>
      </c>
      <c r="M179" s="5" t="n">
        <v>32</v>
      </c>
      <c r="N179" s="10">
        <f>IF(AND(ISNUMBER(L179),M179&gt;0),L179/M179,"")</f>
        <v/>
      </c>
      <c r="O179" s="5" t="n">
        <v>0.518</v>
      </c>
      <c r="P179" s="5" t="n">
        <v>126.6</v>
      </c>
      <c r="Q179" s="5" t="n">
        <v>0</v>
      </c>
      <c r="R179" s="5" t="n">
        <v>1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14</v>
      </c>
      <c r="Y179" s="5" t="n">
        <v>0.63</v>
      </c>
      <c r="Z179" s="5" t="inlineStr"/>
      <c r="AA179" s="5" t="n">
        <v>4680.6</v>
      </c>
      <c r="AB179" s="5" t="n">
        <v>2083.9</v>
      </c>
      <c r="AC179" s="5" t="n">
        <v>4716.8</v>
      </c>
      <c r="AD179" s="5" t="n">
        <v>2128</v>
      </c>
      <c r="AE179" s="5" t="inlineStr"/>
      <c r="AF179" s="5">
        <f>IF(AE179="","",IF(OR(AE179=F179,AND(AE179="crane_footing",F179="isolated_footing")),"yes","no"))</f>
        <v/>
      </c>
    </row>
    <row r="180">
      <c r="A180" s="5" t="n">
        <v>179</v>
      </c>
      <c r="B180" s="5" t="inlineStr">
        <is>
          <t>121</t>
        </is>
      </c>
      <c r="C180" s="5" t="inlineStr">
        <is>
          <t>region between joints</t>
        </is>
      </c>
      <c r="D180" s="5" t="inlineStr">
        <is>
          <t>band</t>
        </is>
      </c>
      <c r="E180" s="5" t="n">
        <v>2</v>
      </c>
      <c r="F180" s="5" t="inlineStr">
        <is>
          <t>unidentified</t>
        </is>
      </c>
      <c r="G180" s="5" t="inlineStr">
        <is>
          <t>C2</t>
        </is>
      </c>
      <c r="H180" s="5" t="inlineStr">
        <is>
          <t>no label votes</t>
        </is>
      </c>
      <c r="I180" s="5" t="inlineStr">
        <is>
          <t>(none)</t>
        </is>
      </c>
      <c r="J180" s="5" t="inlineStr"/>
      <c r="K180" s="5" t="inlineStr"/>
      <c r="L180" s="5" t="n">
        <v>163</v>
      </c>
      <c r="M180" s="5" t="n">
        <v>32</v>
      </c>
      <c r="N180" s="10">
        <f>IF(AND(ISNUMBER(L180),M180&gt;0),L180/M180,"")</f>
        <v/>
      </c>
      <c r="O180" s="5" t="n">
        <v>0.518</v>
      </c>
      <c r="P180" s="5" t="n">
        <v>126.6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14</v>
      </c>
      <c r="Y180" s="5" t="n">
        <v>1.3</v>
      </c>
      <c r="Z180" s="5" t="inlineStr"/>
      <c r="AA180" s="5" t="n">
        <v>4668.9</v>
      </c>
      <c r="AB180" s="5" t="n">
        <v>2083.9</v>
      </c>
      <c r="AC180" s="5" t="n">
        <v>4705.2</v>
      </c>
      <c r="AD180" s="5" t="n">
        <v>2128.1</v>
      </c>
      <c r="AE180" s="5" t="inlineStr"/>
      <c r="AF180" s="5">
        <f>IF(AE180="","",IF(OR(AE180=F180,AND(AE180="crane_footing",F180="isolated_footing")),"yes","no"))</f>
        <v/>
      </c>
    </row>
    <row r="181">
      <c r="A181" s="5" t="n">
        <v>180</v>
      </c>
      <c r="B181" s="5" t="inlineStr">
        <is>
          <t>121</t>
        </is>
      </c>
      <c r="C181" s="5" t="inlineStr">
        <is>
          <t>region between joints</t>
        </is>
      </c>
      <c r="D181" s="5" t="inlineStr">
        <is>
          <t>band</t>
        </is>
      </c>
      <c r="E181" s="5" t="n">
        <v>2</v>
      </c>
      <c r="F181" s="5" t="inlineStr">
        <is>
          <t>unidentified</t>
        </is>
      </c>
      <c r="G181" s="5" t="inlineStr">
        <is>
          <t>C2</t>
        </is>
      </c>
      <c r="H181" s="5" t="inlineStr">
        <is>
          <t>no label votes</t>
        </is>
      </c>
      <c r="I181" s="5" t="inlineStr">
        <is>
          <t>(none)</t>
        </is>
      </c>
      <c r="J181" s="5" t="inlineStr"/>
      <c r="K181" s="5" t="inlineStr"/>
      <c r="L181" s="5" t="n">
        <v>163</v>
      </c>
      <c r="M181" s="5" t="n">
        <v>32</v>
      </c>
      <c r="N181" s="10">
        <f>IF(AND(ISNUMBER(L181),M181&gt;0),L181/M181,"")</f>
        <v/>
      </c>
      <c r="O181" s="5" t="n">
        <v>0.518</v>
      </c>
      <c r="P181" s="5" t="n">
        <v>126.7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14</v>
      </c>
      <c r="Y181" s="5" t="n">
        <v>1.63</v>
      </c>
      <c r="Z181" s="5" t="inlineStr"/>
      <c r="AA181" s="5" t="n">
        <v>4645.5</v>
      </c>
      <c r="AB181" s="5" t="n">
        <v>2083.9</v>
      </c>
      <c r="AC181" s="5" t="n">
        <v>4681.7</v>
      </c>
      <c r="AD181" s="5" t="n">
        <v>2128.1</v>
      </c>
      <c r="AE181" s="5" t="inlineStr"/>
      <c r="AF181" s="5">
        <f>IF(AE181="","",IF(OR(AE181=F181,AND(AE181="crane_footing",F181="isolated_footing")),"yes","no"))</f>
        <v/>
      </c>
    </row>
    <row r="182">
      <c r="A182" s="5" t="n">
        <v>181</v>
      </c>
      <c r="B182" s="5" t="inlineStr">
        <is>
          <t>121</t>
        </is>
      </c>
      <c r="C182" s="5" t="inlineStr">
        <is>
          <t>region between joints</t>
        </is>
      </c>
      <c r="D182" s="5" t="inlineStr">
        <is>
          <t>band</t>
        </is>
      </c>
      <c r="E182" s="5" t="n">
        <v>2</v>
      </c>
      <c r="F182" s="5" t="inlineStr">
        <is>
          <t>unidentified</t>
        </is>
      </c>
      <c r="G182" s="5" t="inlineStr">
        <is>
          <t>C2</t>
        </is>
      </c>
      <c r="H182" s="5" t="inlineStr">
        <is>
          <t>no label votes</t>
        </is>
      </c>
      <c r="I182" s="5" t="inlineStr">
        <is>
          <t>(none)</t>
        </is>
      </c>
      <c r="J182" s="5" t="inlineStr"/>
      <c r="K182" s="5" t="inlineStr"/>
      <c r="L182" s="5" t="n">
        <v>163</v>
      </c>
      <c r="M182" s="5" t="n">
        <v>32</v>
      </c>
      <c r="N182" s="10">
        <f>IF(AND(ISNUMBER(L182),M182&gt;0),L182/M182,"")</f>
        <v/>
      </c>
      <c r="O182" s="5" t="n">
        <v>0.518</v>
      </c>
      <c r="P182" s="5" t="n">
        <v>126.6</v>
      </c>
      <c r="Q182" s="5" t="n">
        <v>0</v>
      </c>
      <c r="R182" s="5" t="n">
        <v>1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9</v>
      </c>
      <c r="Y182" s="5" t="n">
        <v>0</v>
      </c>
      <c r="Z182" s="5" t="inlineStr"/>
      <c r="AA182" s="5" t="n">
        <v>4715.7</v>
      </c>
      <c r="AB182" s="5" t="n">
        <v>2083.8</v>
      </c>
      <c r="AC182" s="5" t="n">
        <v>4751.9</v>
      </c>
      <c r="AD182" s="5" t="n">
        <v>2128</v>
      </c>
      <c r="AE182" s="5" t="inlineStr"/>
      <c r="AF182" s="5">
        <f>IF(AE182="","",IF(OR(AE182=F182,AND(AE182="crane_footing",F182="isolated_footing")),"yes","no"))</f>
        <v/>
      </c>
    </row>
    <row r="183">
      <c r="A183" s="5" t="n">
        <v>182</v>
      </c>
      <c r="B183" s="5" t="inlineStr">
        <is>
          <t>121</t>
        </is>
      </c>
      <c r="C183" s="5" t="inlineStr">
        <is>
          <t>region between joints</t>
        </is>
      </c>
      <c r="D183" s="5" t="inlineStr">
        <is>
          <t>band</t>
        </is>
      </c>
      <c r="E183" s="5" t="n">
        <v>2</v>
      </c>
      <c r="F183" s="5" t="inlineStr">
        <is>
          <t>unidentified</t>
        </is>
      </c>
      <c r="G183" s="5" t="inlineStr">
        <is>
          <t>C2</t>
        </is>
      </c>
      <c r="H183" s="5" t="inlineStr">
        <is>
          <t>no label votes</t>
        </is>
      </c>
      <c r="I183" s="5" t="inlineStr">
        <is>
          <t>(none)</t>
        </is>
      </c>
      <c r="J183" s="5" t="inlineStr"/>
      <c r="K183" s="5" t="inlineStr"/>
      <c r="L183" s="5" t="n">
        <v>163</v>
      </c>
      <c r="M183" s="5" t="n">
        <v>32</v>
      </c>
      <c r="N183" s="10">
        <f>IF(AND(ISNUMBER(L183),M183&gt;0),L183/M183,"")</f>
        <v/>
      </c>
      <c r="O183" s="5" t="n">
        <v>0.517</v>
      </c>
      <c r="P183" s="5" t="n">
        <v>126.7</v>
      </c>
      <c r="Q183" s="5" t="n">
        <v>0</v>
      </c>
      <c r="R183" s="5" t="n">
        <v>1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13</v>
      </c>
      <c r="Y183" s="5" t="n">
        <v>0</v>
      </c>
      <c r="Z183" s="5" t="inlineStr"/>
      <c r="AA183" s="5" t="n">
        <v>4692.3</v>
      </c>
      <c r="AB183" s="5" t="n">
        <v>2083.9</v>
      </c>
      <c r="AC183" s="5" t="n">
        <v>4728.5</v>
      </c>
      <c r="AD183" s="5" t="n">
        <v>2128</v>
      </c>
      <c r="AE183" s="5" t="inlineStr"/>
      <c r="AF183" s="5">
        <f>IF(AE183="","",IF(OR(AE183=F183,AND(AE183="crane_footing",F183="isolated_footing")),"yes","no"))</f>
        <v/>
      </c>
    </row>
    <row r="184">
      <c r="A184" s="5" t="n">
        <v>183</v>
      </c>
      <c r="B184" s="5" t="inlineStr">
        <is>
          <t>121</t>
        </is>
      </c>
      <c r="C184" s="5" t="inlineStr">
        <is>
          <t>region between joints</t>
        </is>
      </c>
      <c r="D184" s="5" t="inlineStr">
        <is>
          <t>band</t>
        </is>
      </c>
      <c r="E184" s="5" t="n">
        <v>2</v>
      </c>
      <c r="F184" s="5" t="inlineStr">
        <is>
          <t>unidentified</t>
        </is>
      </c>
      <c r="G184" s="5" t="inlineStr">
        <is>
          <t>C2</t>
        </is>
      </c>
      <c r="H184" s="5" t="inlineStr">
        <is>
          <t>no label votes</t>
        </is>
      </c>
      <c r="I184" s="5" t="inlineStr">
        <is>
          <t>(none)</t>
        </is>
      </c>
      <c r="J184" s="5" t="inlineStr"/>
      <c r="K184" s="5" t="inlineStr"/>
      <c r="L184" s="5" t="n">
        <v>163</v>
      </c>
      <c r="M184" s="5" t="n">
        <v>32</v>
      </c>
      <c r="N184" s="10">
        <f>IF(AND(ISNUMBER(L184),M184&gt;0),L184/M184,"")</f>
        <v/>
      </c>
      <c r="O184" s="5" t="n">
        <v>0.517</v>
      </c>
      <c r="P184" s="5" t="n">
        <v>126.6</v>
      </c>
      <c r="Q184" s="5" t="n">
        <v>0</v>
      </c>
      <c r="R184" s="5" t="n">
        <v>1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11</v>
      </c>
      <c r="Y184" s="5" t="n">
        <v>0</v>
      </c>
      <c r="Z184" s="5" t="inlineStr"/>
      <c r="AA184" s="5" t="n">
        <v>4704</v>
      </c>
      <c r="AB184" s="5" t="n">
        <v>2083.8</v>
      </c>
      <c r="AC184" s="5" t="n">
        <v>4740.2</v>
      </c>
      <c r="AD184" s="5" t="n">
        <v>2128</v>
      </c>
      <c r="AE184" s="5" t="inlineStr"/>
      <c r="AF184" s="5">
        <f>IF(AE184="","",IF(OR(AE184=F184,AND(AE184="crane_footing",F184="isolated_footing")),"yes","no"))</f>
        <v/>
      </c>
    </row>
    <row r="185">
      <c r="A185" s="5" t="n">
        <v>184</v>
      </c>
      <c r="B185" s="5" t="inlineStr">
        <is>
          <t>121</t>
        </is>
      </c>
      <c r="C185" s="5" t="inlineStr">
        <is>
          <t>region between joints</t>
        </is>
      </c>
      <c r="D185" s="5" t="inlineStr">
        <is>
          <t>band</t>
        </is>
      </c>
      <c r="E185" s="5" t="n">
        <v>2</v>
      </c>
      <c r="F185" s="5" t="inlineStr">
        <is>
          <t>unidentified</t>
        </is>
      </c>
      <c r="G185" s="5" t="inlineStr">
        <is>
          <t>C2</t>
        </is>
      </c>
      <c r="H185" s="5" t="inlineStr">
        <is>
          <t>no label votes</t>
        </is>
      </c>
      <c r="I185" s="5" t="inlineStr">
        <is>
          <t>(none)</t>
        </is>
      </c>
      <c r="J185" s="5" t="inlineStr"/>
      <c r="K185" s="5" t="inlineStr"/>
      <c r="L185" s="5" t="n">
        <v>163</v>
      </c>
      <c r="M185" s="5" t="n">
        <v>32</v>
      </c>
      <c r="N185" s="10">
        <f>IF(AND(ISNUMBER(L185),M185&gt;0),L185/M185,"")</f>
        <v/>
      </c>
      <c r="O185" s="5" t="n">
        <v>0.517</v>
      </c>
      <c r="P185" s="5" t="n">
        <v>126.6</v>
      </c>
      <c r="Q185" s="5" t="n">
        <v>0</v>
      </c>
      <c r="R185" s="5" t="n">
        <v>1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2</v>
      </c>
      <c r="X185" s="5" t="n">
        <v>7</v>
      </c>
      <c r="Y185" s="5" t="n">
        <v>0</v>
      </c>
      <c r="Z185" s="5" t="inlineStr"/>
      <c r="AA185" s="5" t="n">
        <v>4727.4</v>
      </c>
      <c r="AB185" s="5" t="n">
        <v>2083.8</v>
      </c>
      <c r="AC185" s="5" t="n">
        <v>4763.6</v>
      </c>
      <c r="AD185" s="5" t="n">
        <v>2127.9</v>
      </c>
      <c r="AE185" s="5" t="inlineStr"/>
      <c r="AF185" s="5">
        <f>IF(AE185="","",IF(OR(AE185=F185,AND(AE185="crane_footing",F185="isolated_footing")),"yes","no"))</f>
        <v/>
      </c>
    </row>
    <row r="186">
      <c r="A186" s="5" t="n">
        <v>185</v>
      </c>
      <c r="B186" s="5" t="inlineStr">
        <is>
          <t>121</t>
        </is>
      </c>
      <c r="C186" s="5" t="inlineStr">
        <is>
          <t>region between joints</t>
        </is>
      </c>
      <c r="D186" s="5" t="inlineStr">
        <is>
          <t>band</t>
        </is>
      </c>
      <c r="E186" s="5" t="n">
        <v>2</v>
      </c>
      <c r="F186" s="5" t="inlineStr">
        <is>
          <t>unidentified</t>
        </is>
      </c>
      <c r="G186" s="5" t="inlineStr">
        <is>
          <t>C2</t>
        </is>
      </c>
      <c r="H186" s="5" t="inlineStr">
        <is>
          <t>no label votes</t>
        </is>
      </c>
      <c r="I186" s="5" t="inlineStr">
        <is>
          <t>(none)</t>
        </is>
      </c>
      <c r="J186" s="5" t="inlineStr"/>
      <c r="K186" s="5" t="inlineStr"/>
      <c r="L186" s="5" t="n">
        <v>156</v>
      </c>
      <c r="M186" s="5" t="n">
        <v>32</v>
      </c>
      <c r="N186" s="10">
        <f>IF(AND(ISNUMBER(L186),M186&gt;0),L186/M186,"")</f>
        <v/>
      </c>
      <c r="O186" s="5" t="n">
        <v>0.497</v>
      </c>
      <c r="P186" s="5" t="n">
        <v>36.6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10</v>
      </c>
      <c r="Y186" s="5" t="n">
        <v>0.98</v>
      </c>
      <c r="Z186" s="5" t="inlineStr"/>
      <c r="AA186" s="5" t="n">
        <v>4518.1</v>
      </c>
      <c r="AB186" s="5" t="n">
        <v>2049</v>
      </c>
      <c r="AC186" s="5" t="n">
        <v>4560.7</v>
      </c>
      <c r="AD186" s="5" t="n">
        <v>2084</v>
      </c>
      <c r="AE186" s="5" t="inlineStr"/>
      <c r="AF186" s="5">
        <f>IF(AE186="","",IF(OR(AE186=F186,AND(AE186="crane_footing",F186="isolated_footing")),"yes","no"))</f>
        <v/>
      </c>
    </row>
    <row r="187">
      <c r="A187" s="5" t="n">
        <v>186</v>
      </c>
      <c r="B187" s="5" t="inlineStr">
        <is>
          <t>121</t>
        </is>
      </c>
      <c r="C187" s="5" t="inlineStr">
        <is>
          <t>region between joints</t>
        </is>
      </c>
      <c r="D187" s="5" t="inlineStr">
        <is>
          <t>band</t>
        </is>
      </c>
      <c r="E187" s="5" t="n">
        <v>2</v>
      </c>
      <c r="F187" s="5" t="inlineStr">
        <is>
          <t>unidentified</t>
        </is>
      </c>
      <c r="G187" s="5" t="inlineStr">
        <is>
          <t>C2</t>
        </is>
      </c>
      <c r="H187" s="5" t="inlineStr">
        <is>
          <t>no label votes</t>
        </is>
      </c>
      <c r="I187" s="5" t="inlineStr">
        <is>
          <t>(none)</t>
        </is>
      </c>
      <c r="J187" s="5" t="inlineStr"/>
      <c r="K187" s="5" t="inlineStr"/>
      <c r="L187" s="5" t="n">
        <v>155</v>
      </c>
      <c r="M187" s="5" t="n">
        <v>32</v>
      </c>
      <c r="N187" s="10">
        <f>IF(AND(ISNUMBER(L187),M187&gt;0),L187/M187,"")</f>
        <v/>
      </c>
      <c r="O187" s="5" t="n">
        <v>0.493</v>
      </c>
      <c r="P187" s="5" t="n">
        <v>126.6</v>
      </c>
      <c r="Q187" s="5" t="n">
        <v>0</v>
      </c>
      <c r="R187" s="5" t="n">
        <v>1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2</v>
      </c>
      <c r="X187" s="5" t="n">
        <v>10</v>
      </c>
      <c r="Y187" s="5" t="n">
        <v>0</v>
      </c>
      <c r="Z187" s="5" t="inlineStr"/>
      <c r="AA187" s="5" t="n">
        <v>4518.3</v>
      </c>
      <c r="AB187" s="5" t="n">
        <v>2084.1</v>
      </c>
      <c r="AC187" s="5" t="n">
        <v>4553.1</v>
      </c>
      <c r="AD187" s="5" t="n">
        <v>2126.4</v>
      </c>
      <c r="AE187" s="5" t="inlineStr"/>
      <c r="AF187" s="5">
        <f>IF(AE187="","",IF(OR(AE187=F187,AND(AE187="crane_footing",F187="isolated_footing")),"yes","no"))</f>
        <v/>
      </c>
    </row>
    <row r="188">
      <c r="A188" s="5" t="n">
        <v>187</v>
      </c>
      <c r="B188" s="5" t="inlineStr">
        <is>
          <t>121</t>
        </is>
      </c>
      <c r="C188" s="5" t="inlineStr">
        <is>
          <t>region between joints</t>
        </is>
      </c>
      <c r="D188" s="5" t="inlineStr">
        <is>
          <t>band</t>
        </is>
      </c>
      <c r="E188" s="5" t="n">
        <v>2</v>
      </c>
      <c r="F188" s="5" t="inlineStr">
        <is>
          <t>unidentified</t>
        </is>
      </c>
      <c r="G188" s="5" t="inlineStr">
        <is>
          <t>C2</t>
        </is>
      </c>
      <c r="H188" s="5" t="inlineStr">
        <is>
          <t>no label votes</t>
        </is>
      </c>
      <c r="I188" s="5" t="inlineStr">
        <is>
          <t>(none)</t>
        </is>
      </c>
      <c r="J188" s="5" t="inlineStr"/>
      <c r="K188" s="5" t="inlineStr"/>
      <c r="L188" s="5" t="n">
        <v>153</v>
      </c>
      <c r="M188" s="5" t="n">
        <v>32</v>
      </c>
      <c r="N188" s="10">
        <f>IF(AND(ISNUMBER(L188),M188&gt;0),L188/M188,"")</f>
        <v/>
      </c>
      <c r="O188" s="5" t="n">
        <v>0.486</v>
      </c>
      <c r="P188" s="5" t="n">
        <v>36.7</v>
      </c>
      <c r="Q188" s="5" t="n">
        <v>2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1</v>
      </c>
      <c r="X188" s="5" t="n">
        <v>4</v>
      </c>
      <c r="Y188" s="5" t="n">
        <v>1.53</v>
      </c>
      <c r="Z188" s="5" t="inlineStr"/>
      <c r="AA188" s="5" t="n">
        <v>4725.1</v>
      </c>
      <c r="AB188" s="5" t="n">
        <v>2039.4</v>
      </c>
      <c r="AC188" s="5" t="n">
        <v>4766.9</v>
      </c>
      <c r="AD188" s="5" t="n">
        <v>2073.8</v>
      </c>
      <c r="AE188" s="5" t="inlineStr"/>
      <c r="AF188" s="5">
        <f>IF(AE188="","",IF(OR(AE188=F188,AND(AE188="crane_footing",F188="isolated_footing")),"yes","no"))</f>
        <v/>
      </c>
    </row>
    <row r="189">
      <c r="A189" s="5" t="n">
        <v>188</v>
      </c>
      <c r="B189" s="5" t="inlineStr">
        <is>
          <t>121</t>
        </is>
      </c>
      <c r="C189" s="5" t="inlineStr">
        <is>
          <t>region between joints</t>
        </is>
      </c>
      <c r="D189" s="5" t="inlineStr">
        <is>
          <t>band</t>
        </is>
      </c>
      <c r="E189" s="5" t="n">
        <v>2</v>
      </c>
      <c r="F189" s="5" t="inlineStr">
        <is>
          <t>unidentified</t>
        </is>
      </c>
      <c r="G189" s="5" t="inlineStr">
        <is>
          <t>C2</t>
        </is>
      </c>
      <c r="H189" s="5" t="inlineStr">
        <is>
          <t>no label votes</t>
        </is>
      </c>
      <c r="I189" s="5" t="inlineStr">
        <is>
          <t>(none)</t>
        </is>
      </c>
      <c r="J189" s="5" t="inlineStr"/>
      <c r="K189" s="5" t="inlineStr"/>
      <c r="L189" s="5" t="n">
        <v>115</v>
      </c>
      <c r="M189" s="5" t="n">
        <v>32</v>
      </c>
      <c r="N189" s="10">
        <f>IF(AND(ISNUMBER(L189),M189&gt;0),L189/M189,"")</f>
        <v/>
      </c>
      <c r="O189" s="5" t="n">
        <v>0.367</v>
      </c>
      <c r="P189" s="5" t="n">
        <v>126.6</v>
      </c>
      <c r="Q189" s="5" t="n">
        <v>1</v>
      </c>
      <c r="R189" s="5" t="n">
        <v>1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14</v>
      </c>
      <c r="X189" s="5" t="n">
        <v>3</v>
      </c>
      <c r="Y189" s="5" t="n">
        <v>0</v>
      </c>
      <c r="Z189" s="5" t="inlineStr"/>
      <c r="AA189" s="5" t="n">
        <v>4739.1</v>
      </c>
      <c r="AB189" s="5" t="n">
        <v>2095</v>
      </c>
      <c r="AC189" s="5" t="n">
        <v>4766.9</v>
      </c>
      <c r="AD189" s="5" t="n">
        <v>2127.9</v>
      </c>
      <c r="AE189" s="5" t="inlineStr"/>
      <c r="AF189" s="5">
        <f>IF(AE189="","",IF(OR(AE189=F189,AND(AE189="crane_footing",F189="isolated_footing")),"yes","no"))</f>
        <v/>
      </c>
    </row>
    <row r="190">
      <c r="A190" s="5" t="n">
        <v>189</v>
      </c>
      <c r="B190" s="5" t="inlineStr">
        <is>
          <t>121</t>
        </is>
      </c>
      <c r="C190" s="5" t="inlineStr">
        <is>
          <t>region between joints</t>
        </is>
      </c>
      <c r="D190" s="5" t="inlineStr">
        <is>
          <t>band</t>
        </is>
      </c>
      <c r="E190" s="5" t="n">
        <v>2</v>
      </c>
      <c r="F190" s="5" t="inlineStr">
        <is>
          <t>unidentified</t>
        </is>
      </c>
      <c r="G190" s="5" t="inlineStr">
        <is>
          <t>C2</t>
        </is>
      </c>
      <c r="H190" s="5" t="inlineStr">
        <is>
          <t>no label votes</t>
        </is>
      </c>
      <c r="I190" s="5" t="inlineStr">
        <is>
          <t>(none)</t>
        </is>
      </c>
      <c r="J190" s="5" t="inlineStr"/>
      <c r="K190" s="5" t="inlineStr"/>
      <c r="L190" s="5" t="n">
        <v>90</v>
      </c>
      <c r="M190" s="5" t="n">
        <v>32</v>
      </c>
      <c r="N190" s="10">
        <f>IF(AND(ISNUMBER(L190),M190&gt;0),L190/M190,"")</f>
        <v/>
      </c>
      <c r="O190" s="5" t="n">
        <v>0.286</v>
      </c>
      <c r="P190" s="5" t="n">
        <v>36.7</v>
      </c>
      <c r="Q190" s="5" t="n">
        <v>0</v>
      </c>
      <c r="R190" s="5" t="n">
        <v>1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1</v>
      </c>
      <c r="X190" s="5" t="n">
        <v>8</v>
      </c>
      <c r="Y190" s="5" t="n">
        <v>0.32</v>
      </c>
      <c r="Z190" s="5" t="inlineStr"/>
      <c r="AA190" s="5" t="n">
        <v>4518.1</v>
      </c>
      <c r="AB190" s="5" t="n">
        <v>2060.7</v>
      </c>
      <c r="AC190" s="5" t="n">
        <v>4545</v>
      </c>
      <c r="AD190" s="5" t="n">
        <v>2084.1</v>
      </c>
      <c r="AE190" s="5" t="inlineStr"/>
      <c r="AF190" s="5">
        <f>IF(AE190="","",IF(OR(AE190=F190,AND(AE190="crane_footing",F190="isolated_footing")),"yes","no"))</f>
        <v/>
      </c>
    </row>
    <row r="191">
      <c r="A191" s="5" t="n">
        <v>190</v>
      </c>
      <c r="B191" s="5" t="inlineStr">
        <is>
          <t>121</t>
        </is>
      </c>
      <c r="C191" s="5" t="inlineStr">
        <is>
          <t>region between joints</t>
        </is>
      </c>
      <c r="D191" s="5" t="inlineStr">
        <is>
          <t>band</t>
        </is>
      </c>
      <c r="E191" s="5" t="n">
        <v>2</v>
      </c>
      <c r="F191" s="5" t="inlineStr">
        <is>
          <t>unidentified</t>
        </is>
      </c>
      <c r="G191" s="5" t="inlineStr">
        <is>
          <t>C2</t>
        </is>
      </c>
      <c r="H191" s="5" t="inlineStr">
        <is>
          <t>no label votes</t>
        </is>
      </c>
      <c r="I191" s="5" t="inlineStr">
        <is>
          <t>(none)</t>
        </is>
      </c>
      <c r="J191" s="5" t="inlineStr"/>
      <c r="K191" s="5" t="inlineStr"/>
      <c r="L191" s="5" t="n">
        <v>89</v>
      </c>
      <c r="M191" s="5" t="n">
        <v>32</v>
      </c>
      <c r="N191" s="10">
        <f>IF(AND(ISNUMBER(L191),M191&gt;0),L191/M191,"")</f>
        <v/>
      </c>
      <c r="O191" s="5" t="n">
        <v>0.282</v>
      </c>
      <c r="P191" s="5" t="n">
        <v>126.7</v>
      </c>
      <c r="Q191" s="5" t="n">
        <v>0</v>
      </c>
      <c r="R191" s="5" t="n">
        <v>1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8</v>
      </c>
      <c r="Y191" s="5" t="n">
        <v>0</v>
      </c>
      <c r="Z191" s="5" t="inlineStr"/>
      <c r="AA191" s="5" t="n">
        <v>4518.2</v>
      </c>
      <c r="AB191" s="5" t="n">
        <v>2084.1</v>
      </c>
      <c r="AC191" s="5" t="n">
        <v>4541.4</v>
      </c>
      <c r="AD191" s="5" t="n">
        <v>2110.7</v>
      </c>
      <c r="AE191" s="5" t="inlineStr"/>
      <c r="AF191" s="5">
        <f>IF(AE191="","",IF(OR(AE191=F191,AND(AE191="crane_footing",F191="isolated_footing")),"yes","no"))</f>
        <v/>
      </c>
    </row>
    <row r="192">
      <c r="A192" s="5" t="n">
        <v>191</v>
      </c>
      <c r="B192" s="5" t="inlineStr">
        <is>
          <t>121</t>
        </is>
      </c>
      <c r="C192" s="5" t="inlineStr">
        <is>
          <t>region between joints</t>
        </is>
      </c>
      <c r="D192" s="5" t="inlineStr">
        <is>
          <t>band</t>
        </is>
      </c>
      <c r="E192" s="5" t="n">
        <v>2</v>
      </c>
      <c r="F192" s="5" t="inlineStr">
        <is>
          <t>unidentified</t>
        </is>
      </c>
      <c r="G192" s="5" t="inlineStr">
        <is>
          <t>C2</t>
        </is>
      </c>
      <c r="H192" s="5" t="inlineStr">
        <is>
          <t>no label votes</t>
        </is>
      </c>
      <c r="I192" s="5" t="inlineStr">
        <is>
          <t>(none)</t>
        </is>
      </c>
      <c r="J192" s="5" t="inlineStr"/>
      <c r="K192" s="5" t="inlineStr"/>
      <c r="L192" s="5" t="n">
        <v>86</v>
      </c>
      <c r="M192" s="5" t="n">
        <v>32</v>
      </c>
      <c r="N192" s="10">
        <f>IF(AND(ISNUMBER(L192),M192&gt;0),L192/M192,"")</f>
        <v/>
      </c>
      <c r="O192" s="5" t="n">
        <v>0.274</v>
      </c>
      <c r="P192" s="5" t="n">
        <v>36.7</v>
      </c>
      <c r="Q192" s="5" t="n">
        <v>2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13</v>
      </c>
      <c r="X192" s="5" t="n">
        <v>3</v>
      </c>
      <c r="Y192" s="5" t="n">
        <v>0.86</v>
      </c>
      <c r="Z192" s="5" t="inlineStr"/>
      <c r="AA192" s="5" t="n">
        <v>4740.8</v>
      </c>
      <c r="AB192" s="5" t="n">
        <v>2039.3</v>
      </c>
      <c r="AC192" s="5" t="n">
        <v>4766.8</v>
      </c>
      <c r="AD192" s="5" t="n">
        <v>2062.1</v>
      </c>
      <c r="AE192" s="5" t="inlineStr"/>
      <c r="AF192" s="5">
        <f>IF(AE192="","",IF(OR(AE192=F192,AND(AE192="crane_footing",F192="isolated_footing")),"yes","no"))</f>
        <v/>
      </c>
    </row>
    <row r="193">
      <c r="A193" s="5" t="n">
        <v>192</v>
      </c>
      <c r="B193" s="5" t="inlineStr">
        <is>
          <t>121</t>
        </is>
      </c>
      <c r="C193" s="5" t="inlineStr">
        <is>
          <t>region between joints</t>
        </is>
      </c>
      <c r="D193" s="5" t="inlineStr">
        <is>
          <t>band</t>
        </is>
      </c>
      <c r="E193" s="5" t="n">
        <v>7</v>
      </c>
      <c r="F193" s="5" t="inlineStr">
        <is>
          <t>unidentified</t>
        </is>
      </c>
      <c r="G193" s="5" t="inlineStr">
        <is>
          <t>C7</t>
        </is>
      </c>
      <c r="H193" s="5" t="inlineStr">
        <is>
          <t>no label votes</t>
        </is>
      </c>
      <c r="I193" s="5" t="inlineStr">
        <is>
          <t>(none)</t>
        </is>
      </c>
      <c r="J193" s="5" t="inlineStr"/>
      <c r="K193" s="5" t="inlineStr"/>
      <c r="L193" s="5" t="n">
        <v>297</v>
      </c>
      <c r="M193" s="5" t="n">
        <v>95</v>
      </c>
      <c r="N193" s="10">
        <f>IF(AND(ISNUMBER(L193),M193&gt;0),L193/M193,"")</f>
        <v/>
      </c>
      <c r="O193" s="5" t="n">
        <v>2.832</v>
      </c>
      <c r="P193" s="5" t="n">
        <v>179.9</v>
      </c>
      <c r="Q193" s="5" t="n">
        <v>0</v>
      </c>
      <c r="R193" s="5" t="n">
        <v>1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9</v>
      </c>
      <c r="X193" s="5" t="n">
        <v>17</v>
      </c>
      <c r="Y193" s="5" t="n">
        <v>0</v>
      </c>
      <c r="Z193" s="5" t="inlineStr"/>
      <c r="AA193" s="5" t="n">
        <v>4518.1</v>
      </c>
      <c r="AB193" s="5" t="n">
        <v>2055.9</v>
      </c>
      <c r="AC193" s="5" t="n">
        <v>4605.9</v>
      </c>
      <c r="AD193" s="5" t="n">
        <v>2084.2</v>
      </c>
      <c r="AE193" s="5" t="inlineStr"/>
      <c r="AF193" s="5">
        <f>IF(AE193="","",IF(OR(AE193=F193,AND(AE193="crane_footing",F193="isolated_footing")),"yes","no"))</f>
        <v/>
      </c>
    </row>
    <row r="194">
      <c r="A194" s="5" t="n">
        <v>193</v>
      </c>
      <c r="B194" s="5" t="inlineStr">
        <is>
          <t>121</t>
        </is>
      </c>
      <c r="C194" s="5" t="inlineStr">
        <is>
          <t>region between joints</t>
        </is>
      </c>
      <c r="D194" s="5" t="inlineStr">
        <is>
          <t>band</t>
        </is>
      </c>
      <c r="E194" s="5" t="n">
        <v>7</v>
      </c>
      <c r="F194" s="5" t="inlineStr">
        <is>
          <t>unidentified</t>
        </is>
      </c>
      <c r="G194" s="5" t="inlineStr">
        <is>
          <t>C7</t>
        </is>
      </c>
      <c r="H194" s="5" t="inlineStr">
        <is>
          <t>no label votes</t>
        </is>
      </c>
      <c r="I194" s="5" t="inlineStr">
        <is>
          <t>(none)</t>
        </is>
      </c>
      <c r="J194" s="5" t="inlineStr"/>
      <c r="K194" s="5" t="inlineStr"/>
      <c r="L194" s="5" t="n">
        <v>219</v>
      </c>
      <c r="M194" s="5" t="n">
        <v>95</v>
      </c>
      <c r="N194" s="10">
        <f>IF(AND(ISNUMBER(L194),M194&gt;0),L194/M194,"")</f>
        <v/>
      </c>
      <c r="O194" s="5" t="n">
        <v>2.088</v>
      </c>
      <c r="P194" s="5" t="n">
        <v>179.9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16</v>
      </c>
      <c r="Y194" s="5" t="n">
        <v>2.19</v>
      </c>
      <c r="Z194" s="5" t="inlineStr"/>
      <c r="AA194" s="5" t="n">
        <v>4648.9</v>
      </c>
      <c r="AB194" s="5" t="n">
        <v>2055.3</v>
      </c>
      <c r="AC194" s="5" t="n">
        <v>4713.7</v>
      </c>
      <c r="AD194" s="5" t="n">
        <v>2083.6</v>
      </c>
      <c r="AE194" s="5" t="inlineStr"/>
      <c r="AF194" s="5">
        <f>IF(AE194="","",IF(OR(AE194=F194,AND(AE194="crane_footing",F194="isolated_footing")),"yes","no"))</f>
        <v/>
      </c>
    </row>
    <row r="195">
      <c r="A195" s="5" t="n">
        <v>194</v>
      </c>
      <c r="B195" s="5" t="inlineStr">
        <is>
          <t>122</t>
        </is>
      </c>
      <c r="C195" s="5" t="inlineStr">
        <is>
          <t>own label</t>
        </is>
      </c>
      <c r="D195" s="5" t="inlineStr">
        <is>
          <t>solid</t>
        </is>
      </c>
      <c r="E195" s="5" t="n">
        <v>25</v>
      </c>
      <c r="F195" s="5" t="inlineStr">
        <is>
          <t>column</t>
        </is>
      </c>
      <c r="G195" s="5" t="inlineStr">
        <is>
          <t>Column P2/122 1.00 × 0.30 m</t>
        </is>
      </c>
      <c r="H195" s="5" t="inlineStr">
        <is>
          <t>label vote</t>
        </is>
      </c>
      <c r="I195" s="5" t="inlineStr">
        <is>
          <t>P2/122</t>
        </is>
      </c>
      <c r="J195" s="5" t="inlineStr">
        <is>
          <t>printed label</t>
        </is>
      </c>
      <c r="K195" s="5" t="inlineStr">
        <is>
          <t>P2/122/122</t>
        </is>
      </c>
      <c r="L195" s="5" t="n">
        <v>100</v>
      </c>
      <c r="M195" s="5" t="n">
        <v>30</v>
      </c>
      <c r="N195" s="10">
        <f>IF(AND(ISNUMBER(L195),M195&gt;0),L195/M195,"")</f>
        <v/>
      </c>
      <c r="O195" s="5" t="n">
        <v>0.301</v>
      </c>
      <c r="P195" s="5" t="n">
        <v>179.9</v>
      </c>
      <c r="Q195" s="5" t="n">
        <v>0</v>
      </c>
      <c r="R195" s="5" t="n">
        <v>1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1</v>
      </c>
      <c r="X195" s="5" t="n">
        <v>2</v>
      </c>
      <c r="Y195" s="5" t="n"/>
      <c r="Z195" s="5" t="inlineStr"/>
      <c r="AA195" s="5" t="n">
        <v>4582.2</v>
      </c>
      <c r="AB195" s="5" t="n">
        <v>2698</v>
      </c>
      <c r="AC195" s="5" t="n">
        <v>4611.8</v>
      </c>
      <c r="AD195" s="5" t="n">
        <v>2707</v>
      </c>
      <c r="AE195" s="5" t="inlineStr">
        <is>
          <t>column</t>
        </is>
      </c>
      <c r="AF195" s="5">
        <f>IF(AE195="","",IF(OR(AE195=F195,AND(AE195="crane_footing",F195="isolated_footing")),"yes","no"))</f>
        <v/>
      </c>
    </row>
    <row r="196">
      <c r="A196" s="5" t="n">
        <v>195</v>
      </c>
      <c r="B196" s="5" t="inlineStr">
        <is>
          <t>122</t>
        </is>
      </c>
      <c r="C196" s="5" t="inlineStr">
        <is>
          <t>own label</t>
        </is>
      </c>
      <c r="D196" s="5" t="inlineStr">
        <is>
          <t>solid</t>
        </is>
      </c>
      <c r="E196" s="5" t="n">
        <v>25</v>
      </c>
      <c r="F196" s="5" t="inlineStr">
        <is>
          <t>column</t>
        </is>
      </c>
      <c r="G196" s="5" t="inlineStr">
        <is>
          <t>Column P2a/122 1.00 × 0.30 m</t>
        </is>
      </c>
      <c r="H196" s="5" t="inlineStr">
        <is>
          <t>label vote</t>
        </is>
      </c>
      <c r="I196" s="5" t="inlineStr">
        <is>
          <t>P2a/122</t>
        </is>
      </c>
      <c r="J196" s="5" t="inlineStr">
        <is>
          <t>printed label</t>
        </is>
      </c>
      <c r="K196" s="5" t="inlineStr">
        <is>
          <t>P2a/122a/122</t>
        </is>
      </c>
      <c r="L196" s="5" t="n">
        <v>100</v>
      </c>
      <c r="M196" s="5" t="n">
        <v>30</v>
      </c>
      <c r="N196" s="10">
        <f>IF(AND(ISNUMBER(L196),M196&gt;0),L196/M196,"")</f>
        <v/>
      </c>
      <c r="O196" s="5" t="n">
        <v>0.299</v>
      </c>
      <c r="P196" s="5" t="n">
        <v>179.9</v>
      </c>
      <c r="Q196" s="5" t="n">
        <v>0</v>
      </c>
      <c r="R196" s="5" t="n">
        <v>0</v>
      </c>
      <c r="S196" s="5" t="n">
        <v>0</v>
      </c>
      <c r="T196" s="5" t="n">
        <v>1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/>
      <c r="Z196" s="5" t="inlineStr"/>
      <c r="AA196" s="5" t="n">
        <v>4705.4</v>
      </c>
      <c r="AB196" s="5" t="n">
        <v>2697.8</v>
      </c>
      <c r="AC196" s="5" t="n">
        <v>4734.9</v>
      </c>
      <c r="AD196" s="5" t="n">
        <v>2706.7</v>
      </c>
      <c r="AE196" s="5" t="inlineStr">
        <is>
          <t>column</t>
        </is>
      </c>
      <c r="AF196" s="5">
        <f>IF(AE196="","",IF(OR(AE196=F196,AND(AE196="crane_footing",F196="isolated_footing")),"yes","no"))</f>
        <v/>
      </c>
    </row>
    <row r="197">
      <c r="A197" s="5" t="n">
        <v>196</v>
      </c>
      <c r="B197" s="5" t="inlineStr">
        <is>
          <t>122</t>
        </is>
      </c>
      <c r="C197" s="5" t="inlineStr">
        <is>
          <t>own label</t>
        </is>
      </c>
      <c r="D197" s="5" t="inlineStr">
        <is>
          <t>solid</t>
        </is>
      </c>
      <c r="E197" s="5" t="n">
        <v>25</v>
      </c>
      <c r="F197" s="5" t="inlineStr">
        <is>
          <t>column</t>
        </is>
      </c>
      <c r="G197" s="5" t="inlineStr">
        <is>
          <t>Column P2a/122 1.00 × 0.30 m</t>
        </is>
      </c>
      <c r="H197" s="5" t="inlineStr">
        <is>
          <t>label vote</t>
        </is>
      </c>
      <c r="I197" s="5" t="inlineStr">
        <is>
          <t>P2a/122</t>
        </is>
      </c>
      <c r="J197" s="5" t="inlineStr">
        <is>
          <t>printed label</t>
        </is>
      </c>
      <c r="K197" s="5" t="inlineStr">
        <is>
          <t>P2a/122/122</t>
        </is>
      </c>
      <c r="L197" s="5" t="n">
        <v>100</v>
      </c>
      <c r="M197" s="5" t="n">
        <v>30</v>
      </c>
      <c r="N197" s="10">
        <f>IF(AND(ISNUMBER(L197),M197&gt;0),L197/M197,"")</f>
        <v/>
      </c>
      <c r="O197" s="5" t="n">
        <v>0.299</v>
      </c>
      <c r="P197" s="5" t="n">
        <v>179.9</v>
      </c>
      <c r="Q197" s="5" t="n">
        <v>0</v>
      </c>
      <c r="R197" s="5" t="n">
        <v>0</v>
      </c>
      <c r="S197" s="5" t="n">
        <v>0</v>
      </c>
      <c r="T197" s="5" t="n">
        <v>1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/>
      <c r="Z197" s="5" t="inlineStr"/>
      <c r="AA197" s="5" t="n">
        <v>4705.2</v>
      </c>
      <c r="AB197" s="5" t="n">
        <v>2609.2</v>
      </c>
      <c r="AC197" s="5" t="n">
        <v>4734.7</v>
      </c>
      <c r="AD197" s="5" t="n">
        <v>2618.2</v>
      </c>
      <c r="AE197" s="5" t="inlineStr">
        <is>
          <t>column</t>
        </is>
      </c>
      <c r="AF197" s="5">
        <f>IF(AE197="","",IF(OR(AE197=F197,AND(AE197="crane_footing",F197="isolated_footing")),"yes","no"))</f>
        <v/>
      </c>
    </row>
    <row r="198">
      <c r="A198" s="5" t="n">
        <v>197</v>
      </c>
      <c r="B198" s="5" t="inlineStr">
        <is>
          <t>122</t>
        </is>
      </c>
      <c r="C198" s="5" t="inlineStr">
        <is>
          <t>own label</t>
        </is>
      </c>
      <c r="D198" s="5" t="inlineStr">
        <is>
          <t>solid</t>
        </is>
      </c>
      <c r="E198" s="5" t="n">
        <v>25</v>
      </c>
      <c r="F198" s="5" t="inlineStr">
        <is>
          <t>column</t>
        </is>
      </c>
      <c r="G198" s="5" t="inlineStr">
        <is>
          <t>Column P3/122 0.50 × 0.30 m</t>
        </is>
      </c>
      <c r="H198" s="5" t="inlineStr">
        <is>
          <t>label vote</t>
        </is>
      </c>
      <c r="I198" s="5" t="inlineStr">
        <is>
          <t>P3/122</t>
        </is>
      </c>
      <c r="J198" s="5" t="inlineStr">
        <is>
          <t>printed label</t>
        </is>
      </c>
      <c r="K198" s="5" t="inlineStr">
        <is>
          <t>P3/122/122</t>
        </is>
      </c>
      <c r="L198" s="5" t="n">
        <v>50</v>
      </c>
      <c r="M198" s="5" t="n">
        <v>30</v>
      </c>
      <c r="N198" s="10">
        <f>IF(AND(ISNUMBER(L198),M198&gt;0),L198/M198,"")</f>
        <v/>
      </c>
      <c r="O198" s="5" t="n">
        <v>0.15</v>
      </c>
      <c r="P198" s="5" t="n">
        <v>79.40000000000001</v>
      </c>
      <c r="Q198" s="5" t="n">
        <v>0</v>
      </c>
      <c r="R198" s="5" t="n">
        <v>1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1</v>
      </c>
      <c r="X198" s="5" t="n">
        <v>2</v>
      </c>
      <c r="Y198" s="5" t="n"/>
      <c r="Z198" s="5" t="inlineStr"/>
      <c r="AA198" s="5" t="n">
        <v>4246.1</v>
      </c>
      <c r="AB198" s="5" t="n">
        <v>3072.2</v>
      </c>
      <c r="AC198" s="5" t="n">
        <v>4257.4</v>
      </c>
      <c r="AD198" s="5" t="n">
        <v>3088.4</v>
      </c>
      <c r="AE198" s="5" t="inlineStr">
        <is>
          <t>column</t>
        </is>
      </c>
      <c r="AF198" s="5">
        <f>IF(AE198="","",IF(OR(AE198=F198,AND(AE198="crane_footing",F198="isolated_footing")),"yes","no"))</f>
        <v/>
      </c>
    </row>
    <row r="199">
      <c r="A199" s="5" t="n">
        <v>198</v>
      </c>
      <c r="B199" s="5" t="inlineStr">
        <is>
          <t>122</t>
        </is>
      </c>
      <c r="C199" s="5" t="inlineStr">
        <is>
          <t>own label</t>
        </is>
      </c>
      <c r="D199" s="5" t="inlineStr">
        <is>
          <t>solid</t>
        </is>
      </c>
      <c r="E199" s="5" t="n">
        <v>25</v>
      </c>
      <c r="F199" s="5" t="inlineStr">
        <is>
          <t>column</t>
        </is>
      </c>
      <c r="G199" s="5" t="inlineStr">
        <is>
          <t>Column P4/122 0.60 × 0.30 m</t>
        </is>
      </c>
      <c r="H199" s="5" t="inlineStr">
        <is>
          <t>label vote</t>
        </is>
      </c>
      <c r="I199" s="5" t="inlineStr">
        <is>
          <t>P4/122</t>
        </is>
      </c>
      <c r="J199" s="5" t="inlineStr">
        <is>
          <t>printed label</t>
        </is>
      </c>
      <c r="K199" s="5" t="inlineStr">
        <is>
          <t>P4/122/122</t>
        </is>
      </c>
      <c r="L199" s="5" t="n">
        <v>60</v>
      </c>
      <c r="M199" s="5" t="n">
        <v>30</v>
      </c>
      <c r="N199" s="10">
        <f>IF(AND(ISNUMBER(L199),M199&gt;0),L199/M199,"")</f>
        <v/>
      </c>
      <c r="O199" s="5" t="n">
        <v>0.18</v>
      </c>
      <c r="P199" s="5" t="n">
        <v>169.4</v>
      </c>
      <c r="Q199" s="5" t="n">
        <v>0</v>
      </c>
      <c r="R199" s="5" t="n">
        <v>1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3</v>
      </c>
      <c r="Y199" s="5" t="n"/>
      <c r="Z199" s="5" t="inlineStr"/>
      <c r="AA199" s="5" t="n">
        <v>4296.4</v>
      </c>
      <c r="AB199" s="5" t="n">
        <v>2881.5</v>
      </c>
      <c r="AC199" s="5" t="n">
        <v>4315.5</v>
      </c>
      <c r="AD199" s="5" t="n">
        <v>2893.5</v>
      </c>
      <c r="AE199" s="5" t="inlineStr">
        <is>
          <t>column</t>
        </is>
      </c>
      <c r="AF199" s="5">
        <f>IF(AE199="","",IF(OR(AE199=F199,AND(AE199="crane_footing",F199="isolated_footing")),"yes","no"))</f>
        <v/>
      </c>
    </row>
    <row r="200">
      <c r="A200" s="5" t="n">
        <v>199</v>
      </c>
      <c r="B200" s="5" t="inlineStr">
        <is>
          <t>122</t>
        </is>
      </c>
      <c r="C200" s="5" t="inlineStr">
        <is>
          <t>own label</t>
        </is>
      </c>
      <c r="D200" s="5" t="inlineStr">
        <is>
          <t>solid</t>
        </is>
      </c>
      <c r="E200" s="5" t="n">
        <v>25</v>
      </c>
      <c r="F200" s="5" t="inlineStr">
        <is>
          <t>column</t>
        </is>
      </c>
      <c r="G200" s="5" t="inlineStr">
        <is>
          <t>Column P4/122 0.60 × 0.30 m</t>
        </is>
      </c>
      <c r="H200" s="5" t="inlineStr">
        <is>
          <t>label vote</t>
        </is>
      </c>
      <c r="I200" s="5" t="inlineStr">
        <is>
          <t>P4/122</t>
        </is>
      </c>
      <c r="J200" s="5" t="inlineStr">
        <is>
          <t>printed label</t>
        </is>
      </c>
      <c r="K200" s="5" t="inlineStr">
        <is>
          <t>P4/122/122</t>
        </is>
      </c>
      <c r="L200" s="5" t="n">
        <v>60</v>
      </c>
      <c r="M200" s="5" t="n">
        <v>30</v>
      </c>
      <c r="N200" s="10">
        <f>IF(AND(ISNUMBER(L200),M200&gt;0),L200/M200,"")</f>
        <v/>
      </c>
      <c r="O200" s="5" t="n">
        <v>0.18</v>
      </c>
      <c r="P200" s="5" t="n">
        <v>169.1</v>
      </c>
      <c r="Q200" s="5" t="n">
        <v>0</v>
      </c>
      <c r="R200" s="5" t="n">
        <v>1</v>
      </c>
      <c r="S200" s="5" t="n">
        <v>0</v>
      </c>
      <c r="T200" s="5" t="n">
        <v>0</v>
      </c>
      <c r="U200" s="5" t="n">
        <v>1</v>
      </c>
      <c r="V200" s="5" t="n">
        <v>0</v>
      </c>
      <c r="W200" s="5" t="n">
        <v>0</v>
      </c>
      <c r="X200" s="5" t="n">
        <v>2</v>
      </c>
      <c r="Y200" s="5" t="n"/>
      <c r="Z200" s="5" t="inlineStr"/>
      <c r="AA200" s="5" t="n">
        <v>4420.1</v>
      </c>
      <c r="AB200" s="5" t="n">
        <v>3043</v>
      </c>
      <c r="AC200" s="5" t="n">
        <v>4439.1</v>
      </c>
      <c r="AD200" s="5" t="n">
        <v>3055</v>
      </c>
      <c r="AE200" s="5" t="inlineStr">
        <is>
          <t>column</t>
        </is>
      </c>
      <c r="AF200" s="5">
        <f>IF(AE200="","",IF(OR(AE200=F200,AND(AE200="crane_footing",F200="isolated_footing")),"yes","no"))</f>
        <v/>
      </c>
    </row>
    <row r="201">
      <c r="A201" s="5" t="n">
        <v>200</v>
      </c>
      <c r="B201" s="5" t="inlineStr">
        <is>
          <t>122</t>
        </is>
      </c>
      <c r="C201" s="5" t="inlineStr">
        <is>
          <t>own label</t>
        </is>
      </c>
      <c r="D201" s="5" t="inlineStr">
        <is>
          <t>solid</t>
        </is>
      </c>
      <c r="E201" s="5" t="n">
        <v>33</v>
      </c>
      <c r="F201" s="5" t="inlineStr">
        <is>
          <t>shear_wall</t>
        </is>
      </c>
      <c r="G201" s="5" t="inlineStr">
        <is>
          <t>Shear wall V1/122 1.25 × 0.30 m</t>
        </is>
      </c>
      <c r="H201" s="5" t="inlineStr">
        <is>
          <t>label vote</t>
        </is>
      </c>
      <c r="I201" s="5" t="inlineStr">
        <is>
          <t>V1/122</t>
        </is>
      </c>
      <c r="J201" s="5" t="inlineStr">
        <is>
          <t>printed label</t>
        </is>
      </c>
      <c r="K201" s="5" t="inlineStr">
        <is>
          <t>V1/122/122</t>
        </is>
      </c>
      <c r="L201" s="5" t="n">
        <v>125</v>
      </c>
      <c r="M201" s="5" t="n">
        <v>30</v>
      </c>
      <c r="N201" s="10">
        <f>IF(AND(ISNUMBER(L201),M201&gt;0),L201/M201,"")</f>
        <v/>
      </c>
      <c r="O201" s="5" t="n">
        <v>0.376</v>
      </c>
      <c r="P201" s="5" t="n">
        <v>169.3</v>
      </c>
      <c r="Q201" s="5" t="n">
        <v>1</v>
      </c>
      <c r="R201" s="5" t="n">
        <v>1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1</v>
      </c>
      <c r="X201" s="5" t="n">
        <v>1</v>
      </c>
      <c r="Y201" s="5" t="n"/>
      <c r="Z201" s="5" t="inlineStr"/>
      <c r="AA201" s="5" t="n">
        <v>4977.8</v>
      </c>
      <c r="AB201" s="5" t="n">
        <v>2935.2</v>
      </c>
      <c r="AC201" s="5" t="n">
        <v>5015.7</v>
      </c>
      <c r="AD201" s="5" t="n">
        <v>2950.8</v>
      </c>
      <c r="AE201" s="5" t="inlineStr"/>
      <c r="AF201" s="5">
        <f>IF(AE201="","",IF(OR(AE201=F201,AND(AE201="crane_footing",F201="isolated_footing")),"yes","no"))</f>
        <v/>
      </c>
    </row>
    <row r="202">
      <c r="A202" s="5" t="n">
        <v>201</v>
      </c>
      <c r="B202" s="5" t="inlineStr">
        <is>
          <t>122</t>
        </is>
      </c>
      <c r="C202" s="5" t="inlineStr">
        <is>
          <t>own label</t>
        </is>
      </c>
      <c r="D202" s="5" t="inlineStr">
        <is>
          <t>solid</t>
        </is>
      </c>
      <c r="E202" s="5" t="n">
        <v>33</v>
      </c>
      <c r="F202" s="5" t="inlineStr">
        <is>
          <t>shear_wall</t>
        </is>
      </c>
      <c r="G202" s="5" t="inlineStr">
        <is>
          <t>Shear wall V1/122 1.25 × 0.30 m</t>
        </is>
      </c>
      <c r="H202" s="5" t="inlineStr">
        <is>
          <t>label vote</t>
        </is>
      </c>
      <c r="I202" s="5" t="inlineStr">
        <is>
          <t>V1/122</t>
        </is>
      </c>
      <c r="J202" s="5" t="inlineStr">
        <is>
          <t>printed label</t>
        </is>
      </c>
      <c r="K202" s="5" t="inlineStr">
        <is>
          <t>V1/122/122</t>
        </is>
      </c>
      <c r="L202" s="5" t="n">
        <v>125</v>
      </c>
      <c r="M202" s="5" t="n">
        <v>30</v>
      </c>
      <c r="N202" s="10">
        <f>IF(AND(ISNUMBER(L202),M202&gt;0),L202/M202,"")</f>
        <v/>
      </c>
      <c r="O202" s="5" t="n">
        <v>0.375</v>
      </c>
      <c r="P202" s="5" t="n">
        <v>179.8</v>
      </c>
      <c r="Q202" s="5" t="n">
        <v>1</v>
      </c>
      <c r="R202" s="5" t="n">
        <v>1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1</v>
      </c>
      <c r="Y202" s="5" t="n"/>
      <c r="Z202" s="5" t="inlineStr"/>
      <c r="AA202" s="5" t="n">
        <v>4750.9</v>
      </c>
      <c r="AB202" s="5" t="n">
        <v>2138.2</v>
      </c>
      <c r="AC202" s="5" t="n">
        <v>4787.8</v>
      </c>
      <c r="AD202" s="5" t="n">
        <v>2147.1</v>
      </c>
      <c r="AE202" s="5" t="inlineStr"/>
      <c r="AF202" s="5">
        <f>IF(AE202="","",IF(OR(AE202=F202,AND(AE202="crane_footing",F202="isolated_footing")),"yes","no"))</f>
        <v/>
      </c>
    </row>
    <row r="203">
      <c r="A203" s="5" t="n">
        <v>202</v>
      </c>
      <c r="B203" s="5" t="inlineStr">
        <is>
          <t>122</t>
        </is>
      </c>
      <c r="C203" s="5" t="inlineStr">
        <is>
          <t>own label</t>
        </is>
      </c>
      <c r="D203" s="5" t="inlineStr">
        <is>
          <t>solid</t>
        </is>
      </c>
      <c r="E203" s="5" t="n">
        <v>33</v>
      </c>
      <c r="F203" s="5" t="inlineStr">
        <is>
          <t>shear_wall</t>
        </is>
      </c>
      <c r="G203" s="5" t="inlineStr">
        <is>
          <t>Shear wall V1/122 1.25 × 0.30 m</t>
        </is>
      </c>
      <c r="H203" s="5" t="inlineStr">
        <is>
          <t>label vote</t>
        </is>
      </c>
      <c r="I203" s="5" t="inlineStr">
        <is>
          <t>V1/122</t>
        </is>
      </c>
      <c r="J203" s="5" t="inlineStr">
        <is>
          <t>printed label</t>
        </is>
      </c>
      <c r="K203" s="5" t="inlineStr">
        <is>
          <t>V1/122/122</t>
        </is>
      </c>
      <c r="L203" s="5" t="n">
        <v>125</v>
      </c>
      <c r="M203" s="5" t="n">
        <v>30</v>
      </c>
      <c r="N203" s="10">
        <f>IF(AND(ISNUMBER(L203),M203&gt;0),L203/M203,"")</f>
        <v/>
      </c>
      <c r="O203" s="5" t="n">
        <v>0.375</v>
      </c>
      <c r="P203" s="5" t="n">
        <v>179.8</v>
      </c>
      <c r="Q203" s="5" t="n">
        <v>1</v>
      </c>
      <c r="R203" s="5" t="n">
        <v>1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2</v>
      </c>
      <c r="X203" s="5" t="n">
        <v>3</v>
      </c>
      <c r="Y203" s="5" t="n"/>
      <c r="Z203" s="5" t="inlineStr"/>
      <c r="AA203" s="5" t="n">
        <v>4518.8</v>
      </c>
      <c r="AB203" s="5" t="n">
        <v>2138.7</v>
      </c>
      <c r="AC203" s="5" t="n">
        <v>4555.8</v>
      </c>
      <c r="AD203" s="5" t="n">
        <v>2147.6</v>
      </c>
      <c r="AE203" s="5" t="inlineStr"/>
      <c r="AF203" s="5">
        <f>IF(AE203="","",IF(OR(AE203=F203,AND(AE203="crane_footing",F203="isolated_footing")),"yes","no"))</f>
        <v/>
      </c>
    </row>
    <row r="204">
      <c r="A204" s="5" t="n">
        <v>203</v>
      </c>
      <c r="B204" s="5" t="inlineStr">
        <is>
          <t>122</t>
        </is>
      </c>
      <c r="C204" s="5" t="inlineStr">
        <is>
          <t>own label</t>
        </is>
      </c>
      <c r="D204" s="5" t="inlineStr">
        <is>
          <t>solid</t>
        </is>
      </c>
      <c r="E204" s="5" t="n">
        <v>35</v>
      </c>
      <c r="F204" s="5" t="inlineStr">
        <is>
          <t>shear_wall</t>
        </is>
      </c>
      <c r="G204" s="5" t="inlineStr">
        <is>
          <t>Shear wall V1/122 1.25 × 0.30 m</t>
        </is>
      </c>
      <c r="H204" s="5" t="inlineStr">
        <is>
          <t>similar to cluster 31 (distance 2.05)</t>
        </is>
      </c>
      <c r="I204" s="5" t="inlineStr">
        <is>
          <t>V1/122</t>
        </is>
      </c>
      <c r="J204" s="5" t="inlineStr">
        <is>
          <t>printed label</t>
        </is>
      </c>
      <c r="K204" s="5" t="inlineStr">
        <is>
          <t>V1/122/122</t>
        </is>
      </c>
      <c r="L204" s="5" t="n">
        <v>125</v>
      </c>
      <c r="M204" s="5" t="n">
        <v>30</v>
      </c>
      <c r="N204" s="10">
        <f>IF(AND(ISNUMBER(L204),M204&gt;0),L204/M204,"")</f>
        <v/>
      </c>
      <c r="O204" s="5" t="n">
        <v>0.375</v>
      </c>
      <c r="P204" s="5" t="n">
        <v>169.3</v>
      </c>
      <c r="Q204" s="5" t="n">
        <v>0</v>
      </c>
      <c r="R204" s="5" t="n">
        <v>0</v>
      </c>
      <c r="S204" s="5" t="n">
        <v>0</v>
      </c>
      <c r="T204" s="5" t="n">
        <v>1</v>
      </c>
      <c r="U204" s="5" t="n">
        <v>1</v>
      </c>
      <c r="V204" s="5" t="n">
        <v>0</v>
      </c>
      <c r="W204" s="5" t="n">
        <v>1</v>
      </c>
      <c r="X204" s="5" t="n">
        <v>2</v>
      </c>
      <c r="Y204" s="5" t="n"/>
      <c r="Z204" s="5" t="inlineStr"/>
      <c r="AA204" s="5" t="n">
        <v>4750.2</v>
      </c>
      <c r="AB204" s="5" t="n">
        <v>2978.1</v>
      </c>
      <c r="AC204" s="5" t="n">
        <v>4788.1</v>
      </c>
      <c r="AD204" s="5" t="n">
        <v>2993.6</v>
      </c>
      <c r="AE204" s="5" t="inlineStr">
        <is>
          <t>shear_wall</t>
        </is>
      </c>
      <c r="AF204" s="5">
        <f>IF(AE204="","",IF(OR(AE204=F204,AND(AE204="crane_footing",F204="isolated_footing")),"yes","no"))</f>
        <v/>
      </c>
    </row>
    <row r="205">
      <c r="A205" s="5" t="n">
        <v>204</v>
      </c>
      <c r="B205" s="5" t="inlineStr">
        <is>
          <t>122</t>
        </is>
      </c>
      <c r="C205" s="5" t="inlineStr">
        <is>
          <t>own label</t>
        </is>
      </c>
      <c r="D205" s="5" t="inlineStr">
        <is>
          <t>solid</t>
        </is>
      </c>
      <c r="E205" s="5" t="n">
        <v>38</v>
      </c>
      <c r="F205" s="5" t="inlineStr">
        <is>
          <t>shear_wall</t>
        </is>
      </c>
      <c r="G205" s="5" t="inlineStr">
        <is>
          <t>Shear wall V2/122 2.50 × 0.30 m</t>
        </is>
      </c>
      <c r="H205" s="5" t="inlineStr">
        <is>
          <t>label vote</t>
        </is>
      </c>
      <c r="I205" s="5" t="inlineStr">
        <is>
          <t>V2/122</t>
        </is>
      </c>
      <c r="J205" s="5" t="inlineStr">
        <is>
          <t>printed label</t>
        </is>
      </c>
      <c r="K205" s="5" t="inlineStr">
        <is>
          <t>V2/122/122</t>
        </is>
      </c>
      <c r="L205" s="5" t="n">
        <v>250</v>
      </c>
      <c r="M205" s="5" t="n">
        <v>30</v>
      </c>
      <c r="N205" s="10">
        <f>IF(AND(ISNUMBER(L205),M205&gt;0),L205/M205,"")</f>
        <v/>
      </c>
      <c r="O205" s="5" t="n">
        <v>0.751</v>
      </c>
      <c r="P205" s="5" t="n">
        <v>179.9</v>
      </c>
      <c r="Q205" s="5" t="n">
        <v>0</v>
      </c>
      <c r="R205" s="5" t="n">
        <v>1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2</v>
      </c>
      <c r="X205" s="5" t="n">
        <v>2</v>
      </c>
      <c r="Y205" s="5" t="n"/>
      <c r="Z205" s="5" t="inlineStr"/>
      <c r="AA205" s="5" t="n">
        <v>4519.1</v>
      </c>
      <c r="AB205" s="5" t="n">
        <v>2324.5</v>
      </c>
      <c r="AC205" s="5" t="n">
        <v>4593</v>
      </c>
      <c r="AD205" s="5" t="n">
        <v>2333.4</v>
      </c>
      <c r="AE205" s="5" t="inlineStr">
        <is>
          <t>shear_wall</t>
        </is>
      </c>
      <c r="AF205" s="5">
        <f>IF(AE205="","",IF(OR(AE205=F205,AND(AE205="crane_footing",F205="isolated_footing")),"yes","no"))</f>
        <v/>
      </c>
    </row>
    <row r="206">
      <c r="A206" s="5" t="n">
        <v>205</v>
      </c>
      <c r="B206" s="5" t="inlineStr">
        <is>
          <t>122</t>
        </is>
      </c>
      <c r="C206" s="5" t="inlineStr">
        <is>
          <t>own label</t>
        </is>
      </c>
      <c r="D206" s="5" t="inlineStr">
        <is>
          <t>solid</t>
        </is>
      </c>
      <c r="E206" s="5" t="n">
        <v>38</v>
      </c>
      <c r="F206" s="5" t="inlineStr">
        <is>
          <t>shear_wall</t>
        </is>
      </c>
      <c r="G206" s="5" t="inlineStr">
        <is>
          <t>Shear wall V2/122 2.50 × 0.30 m</t>
        </is>
      </c>
      <c r="H206" s="5" t="inlineStr">
        <is>
          <t>label vote</t>
        </is>
      </c>
      <c r="I206" s="5" t="inlineStr">
        <is>
          <t>V2/122</t>
        </is>
      </c>
      <c r="J206" s="5" t="inlineStr">
        <is>
          <t>printed label</t>
        </is>
      </c>
      <c r="K206" s="5" t="inlineStr">
        <is>
          <t>V2/122/122</t>
        </is>
      </c>
      <c r="L206" s="5" t="n">
        <v>250</v>
      </c>
      <c r="M206" s="5" t="n">
        <v>30</v>
      </c>
      <c r="N206" s="10">
        <f>IF(AND(ISNUMBER(L206),M206&gt;0),L206/M206,"")</f>
        <v/>
      </c>
      <c r="O206" s="5" t="n">
        <v>0.75</v>
      </c>
      <c r="P206" s="5" t="n">
        <v>0</v>
      </c>
      <c r="Q206" s="5" t="n">
        <v>0</v>
      </c>
      <c r="R206" s="5" t="n">
        <v>1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2</v>
      </c>
      <c r="X206" s="5" t="n">
        <v>4</v>
      </c>
      <c r="Y206" s="5" t="n"/>
      <c r="Z206" s="5" t="inlineStr"/>
      <c r="AA206" s="5" t="n">
        <v>4518.7</v>
      </c>
      <c r="AB206" s="5" t="n">
        <v>2811.7</v>
      </c>
      <c r="AC206" s="5" t="n">
        <v>4592.6</v>
      </c>
      <c r="AD206" s="5" t="n">
        <v>2820.7</v>
      </c>
      <c r="AE206" s="5" t="inlineStr">
        <is>
          <t>shear_wall</t>
        </is>
      </c>
      <c r="AF206" s="5">
        <f>IF(AE206="","",IF(OR(AE206=F206,AND(AE206="crane_footing",F206="isolated_footing")),"yes","no"))</f>
        <v/>
      </c>
    </row>
    <row r="207">
      <c r="A207" s="5" t="n">
        <v>206</v>
      </c>
      <c r="B207" s="5" t="inlineStr">
        <is>
          <t>122</t>
        </is>
      </c>
      <c r="C207" s="5" t="inlineStr">
        <is>
          <t>own label</t>
        </is>
      </c>
      <c r="D207" s="5" t="inlineStr">
        <is>
          <t>solid</t>
        </is>
      </c>
      <c r="E207" s="5" t="n">
        <v>38</v>
      </c>
      <c r="F207" s="5" t="inlineStr">
        <is>
          <t>shear_wall</t>
        </is>
      </c>
      <c r="G207" s="5" t="inlineStr">
        <is>
          <t>Shear wall V3/122 2.00 × 0.30 m</t>
        </is>
      </c>
      <c r="H207" s="5" t="inlineStr">
        <is>
          <t>label vote</t>
        </is>
      </c>
      <c r="I207" s="5" t="inlineStr">
        <is>
          <t>V3/122</t>
        </is>
      </c>
      <c r="J207" s="5" t="inlineStr">
        <is>
          <t>printed label</t>
        </is>
      </c>
      <c r="K207" s="5" t="inlineStr">
        <is>
          <t>V3/122/122</t>
        </is>
      </c>
      <c r="L207" s="5" t="n">
        <v>200</v>
      </c>
      <c r="M207" s="5" t="n">
        <v>30</v>
      </c>
      <c r="N207" s="10">
        <f>IF(AND(ISNUMBER(L207),M207&gt;0),L207/M207,"")</f>
        <v/>
      </c>
      <c r="O207" s="5" t="n">
        <v>0.598</v>
      </c>
      <c r="P207" s="5" t="n">
        <v>179.7</v>
      </c>
      <c r="Q207" s="5" t="n">
        <v>0</v>
      </c>
      <c r="R207" s="5" t="n">
        <v>1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1</v>
      </c>
      <c r="X207" s="5" t="n">
        <v>2</v>
      </c>
      <c r="Y207" s="5" t="n"/>
      <c r="Z207" s="5" t="inlineStr"/>
      <c r="AA207" s="5" t="n">
        <v>4521</v>
      </c>
      <c r="AB207" s="5" t="n">
        <v>2494.4</v>
      </c>
      <c r="AC207" s="5" t="n">
        <v>4580.1</v>
      </c>
      <c r="AD207" s="5" t="n">
        <v>2503.5</v>
      </c>
      <c r="AE207" s="5" t="inlineStr">
        <is>
          <t>shear_wall</t>
        </is>
      </c>
      <c r="AF207" s="5">
        <f>IF(AE207="","",IF(OR(AE207=F207,AND(AE207="crane_footing",F207="isolated_footing")),"yes","no"))</f>
        <v/>
      </c>
    </row>
    <row r="208">
      <c r="A208" s="5" t="n">
        <v>207</v>
      </c>
      <c r="B208" s="5" t="inlineStr">
        <is>
          <t>122</t>
        </is>
      </c>
      <c r="C208" s="5" t="inlineStr">
        <is>
          <t>own label</t>
        </is>
      </c>
      <c r="D208" s="5" t="inlineStr">
        <is>
          <t>solid</t>
        </is>
      </c>
      <c r="E208" s="5" t="n">
        <v>29</v>
      </c>
      <c r="F208" s="5" t="inlineStr">
        <is>
          <t>shear_wall</t>
        </is>
      </c>
      <c r="G208" s="5" t="inlineStr">
        <is>
          <t>Shear wall V4/122 2.00 × 0.30 m</t>
        </is>
      </c>
      <c r="H208" s="5" t="inlineStr">
        <is>
          <t>label vote</t>
        </is>
      </c>
      <c r="I208" s="5" t="inlineStr">
        <is>
          <t>V4/122</t>
        </is>
      </c>
      <c r="J208" s="5" t="inlineStr">
        <is>
          <t>printed label</t>
        </is>
      </c>
      <c r="K208" s="5" t="inlineStr">
        <is>
          <t>V4/122/122</t>
        </is>
      </c>
      <c r="L208" s="5" t="n">
        <v>200</v>
      </c>
      <c r="M208" s="5" t="n">
        <v>30</v>
      </c>
      <c r="N208" s="10">
        <f>IF(AND(ISNUMBER(L208),M208&gt;0),L208/M208,"")</f>
        <v/>
      </c>
      <c r="O208" s="5" t="n">
        <v>0.601</v>
      </c>
      <c r="P208" s="5" t="n">
        <v>179.9</v>
      </c>
      <c r="Q208" s="5" t="n">
        <v>1</v>
      </c>
      <c r="R208" s="5" t="n">
        <v>1</v>
      </c>
      <c r="S208" s="5" t="n">
        <v>0</v>
      </c>
      <c r="T208" s="5" t="n">
        <v>0</v>
      </c>
      <c r="U208" s="5" t="n">
        <v>1</v>
      </c>
      <c r="V208" s="5" t="n">
        <v>0</v>
      </c>
      <c r="W208" s="5" t="n">
        <v>1</v>
      </c>
      <c r="X208" s="5" t="n">
        <v>0</v>
      </c>
      <c r="Y208" s="5" t="n"/>
      <c r="Z208" s="5" t="inlineStr"/>
      <c r="AA208" s="5" t="n">
        <v>4940.9</v>
      </c>
      <c r="AB208" s="5" t="n">
        <v>2493.6</v>
      </c>
      <c r="AC208" s="5" t="n">
        <v>4999.9</v>
      </c>
      <c r="AD208" s="5" t="n">
        <v>2502.5</v>
      </c>
      <c r="AE208" s="5" t="inlineStr"/>
      <c r="AF208" s="5">
        <f>IF(AE208="","",IF(OR(AE208=F208,AND(AE208="crane_footing",F208="isolated_footing")),"yes","no"))</f>
        <v/>
      </c>
    </row>
    <row r="209">
      <c r="A209" s="5" t="n">
        <v>208</v>
      </c>
      <c r="B209" s="5" t="inlineStr">
        <is>
          <t>122</t>
        </is>
      </c>
      <c r="C209" s="5" t="inlineStr">
        <is>
          <t>own label</t>
        </is>
      </c>
      <c r="D209" s="5" t="inlineStr">
        <is>
          <t>solid</t>
        </is>
      </c>
      <c r="E209" s="5" t="n">
        <v>38</v>
      </c>
      <c r="F209" s="5" t="inlineStr">
        <is>
          <t>shear_wall</t>
        </is>
      </c>
      <c r="G209" s="5" t="inlineStr">
        <is>
          <t>Shear wall V4/122 2.00 × 0.30 m</t>
        </is>
      </c>
      <c r="H209" s="5" t="inlineStr">
        <is>
          <t>label vote</t>
        </is>
      </c>
      <c r="I209" s="5" t="inlineStr">
        <is>
          <t>V4/122</t>
        </is>
      </c>
      <c r="J209" s="5" t="inlineStr">
        <is>
          <t>printed label</t>
        </is>
      </c>
      <c r="K209" s="5" t="inlineStr">
        <is>
          <t>V4/122/122</t>
        </is>
      </c>
      <c r="L209" s="5" t="n">
        <v>200</v>
      </c>
      <c r="M209" s="5" t="n">
        <v>30</v>
      </c>
      <c r="N209" s="10">
        <f>IF(AND(ISNUMBER(L209),M209&gt;0),L209/M209,"")</f>
        <v/>
      </c>
      <c r="O209" s="5" t="n">
        <v>0.6</v>
      </c>
      <c r="P209" s="5" t="n">
        <v>169.3</v>
      </c>
      <c r="Q209" s="5" t="n">
        <v>0</v>
      </c>
      <c r="R209" s="5" t="n">
        <v>0</v>
      </c>
      <c r="S209" s="5" t="n">
        <v>0</v>
      </c>
      <c r="T209" s="5" t="n">
        <v>1</v>
      </c>
      <c r="U209" s="5" t="n">
        <v>0</v>
      </c>
      <c r="V209" s="5" t="n">
        <v>0</v>
      </c>
      <c r="W209" s="5" t="n">
        <v>1</v>
      </c>
      <c r="X209" s="5" t="n">
        <v>0</v>
      </c>
      <c r="Y209" s="5" t="n"/>
      <c r="Z209" s="5" t="inlineStr"/>
      <c r="AA209" s="5" t="n">
        <v>4587.1</v>
      </c>
      <c r="AB209" s="5" t="n">
        <v>3004.7</v>
      </c>
      <c r="AC209" s="5" t="n">
        <v>4646.7</v>
      </c>
      <c r="AD209" s="5" t="n">
        <v>3024.4</v>
      </c>
      <c r="AE209" s="5" t="inlineStr">
        <is>
          <t>shear_wall</t>
        </is>
      </c>
      <c r="AF209" s="5">
        <f>IF(AE209="","",IF(OR(AE209=F209,AND(AE209="crane_footing",F209="isolated_footing")),"yes","no"))</f>
        <v/>
      </c>
    </row>
    <row r="210">
      <c r="A210" s="5" t="n">
        <v>209</v>
      </c>
      <c r="B210" s="5" t="inlineStr">
        <is>
          <t>122</t>
        </is>
      </c>
      <c r="C210" s="5" t="inlineStr">
        <is>
          <t>own label</t>
        </is>
      </c>
      <c r="D210" s="5" t="inlineStr">
        <is>
          <t>solid</t>
        </is>
      </c>
      <c r="E210" s="5" t="n">
        <v>38</v>
      </c>
      <c r="F210" s="5" t="inlineStr">
        <is>
          <t>shear_wall</t>
        </is>
      </c>
      <c r="G210" s="5" t="inlineStr">
        <is>
          <t>Shear wall V4/122 2.00 × 0.30 m</t>
        </is>
      </c>
      <c r="H210" s="5" t="inlineStr">
        <is>
          <t>label vote</t>
        </is>
      </c>
      <c r="I210" s="5" t="inlineStr">
        <is>
          <t>V4/122</t>
        </is>
      </c>
      <c r="J210" s="5" t="inlineStr">
        <is>
          <t>printed label</t>
        </is>
      </c>
      <c r="K210" s="5" t="inlineStr">
        <is>
          <t>V4/122/122</t>
        </is>
      </c>
      <c r="L210" s="5" t="n">
        <v>200</v>
      </c>
      <c r="M210" s="5" t="n">
        <v>30</v>
      </c>
      <c r="N210" s="10">
        <f>IF(AND(ISNUMBER(L210),M210&gt;0),L210/M210,"")</f>
        <v/>
      </c>
      <c r="O210" s="5" t="n">
        <v>0.6</v>
      </c>
      <c r="P210" s="5" t="n">
        <v>179.9</v>
      </c>
      <c r="Q210" s="5" t="n">
        <v>0</v>
      </c>
      <c r="R210" s="5" t="n">
        <v>1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1</v>
      </c>
      <c r="X210" s="5" t="n">
        <v>2</v>
      </c>
      <c r="Y210" s="5" t="n"/>
      <c r="Z210" s="5" t="inlineStr"/>
      <c r="AA210" s="5" t="n">
        <v>4518.4</v>
      </c>
      <c r="AB210" s="5" t="n">
        <v>2610.6</v>
      </c>
      <c r="AC210" s="5" t="n">
        <v>4577.5</v>
      </c>
      <c r="AD210" s="5" t="n">
        <v>2619.6</v>
      </c>
      <c r="AE210" s="5" t="inlineStr">
        <is>
          <t>shear_wall</t>
        </is>
      </c>
      <c r="AF210" s="5">
        <f>IF(AE210="","",IF(OR(AE210=F210,AND(AE210="crane_footing",F210="isolated_footing")),"yes","no"))</f>
        <v/>
      </c>
    </row>
    <row r="211">
      <c r="A211" s="5" t="n">
        <v>210</v>
      </c>
      <c r="B211" s="5" t="inlineStr">
        <is>
          <t>122</t>
        </is>
      </c>
      <c r="C211" s="5" t="inlineStr">
        <is>
          <t>own label</t>
        </is>
      </c>
      <c r="D211" s="5" t="inlineStr">
        <is>
          <t>solid</t>
        </is>
      </c>
      <c r="E211" s="5" t="n">
        <v>38</v>
      </c>
      <c r="F211" s="5" t="inlineStr">
        <is>
          <t>shear_wall</t>
        </is>
      </c>
      <c r="G211" s="5" t="inlineStr">
        <is>
          <t>Shear wall V5/122 2.50 × 0.30 m</t>
        </is>
      </c>
      <c r="H211" s="5" t="inlineStr">
        <is>
          <t>label vote</t>
        </is>
      </c>
      <c r="I211" s="5" t="inlineStr">
        <is>
          <t>V5/122</t>
        </is>
      </c>
      <c r="J211" s="5" t="inlineStr">
        <is>
          <t>printed label</t>
        </is>
      </c>
      <c r="K211" s="5" t="inlineStr">
        <is>
          <t>V5/122/122</t>
        </is>
      </c>
      <c r="L211" s="5" t="n">
        <v>250</v>
      </c>
      <c r="M211" s="5" t="n">
        <v>30</v>
      </c>
      <c r="N211" s="10">
        <f>IF(AND(ISNUMBER(L211),M211&gt;0),L211/M211,"")</f>
        <v/>
      </c>
      <c r="O211" s="5" t="n">
        <v>0.75</v>
      </c>
      <c r="P211" s="5" t="n">
        <v>89.90000000000001</v>
      </c>
      <c r="Q211" s="5" t="n">
        <v>0</v>
      </c>
      <c r="R211" s="5" t="n">
        <v>1</v>
      </c>
      <c r="S211" s="5" t="n">
        <v>0</v>
      </c>
      <c r="T211" s="5" t="n">
        <v>1</v>
      </c>
      <c r="U211" s="5" t="n">
        <v>0</v>
      </c>
      <c r="V211" s="5" t="n">
        <v>0</v>
      </c>
      <c r="W211" s="5" t="n">
        <v>1</v>
      </c>
      <c r="X211" s="5" t="n">
        <v>1</v>
      </c>
      <c r="Y211" s="5" t="n"/>
      <c r="Z211" s="5" t="inlineStr"/>
      <c r="AA211" s="5" t="n">
        <v>4764.9</v>
      </c>
      <c r="AB211" s="5" t="n">
        <v>2503</v>
      </c>
      <c r="AC211" s="5" t="n">
        <v>4773.9</v>
      </c>
      <c r="AD211" s="5" t="n">
        <v>2576.8</v>
      </c>
      <c r="AE211" s="5" t="inlineStr">
        <is>
          <t>shear_wall</t>
        </is>
      </c>
      <c r="AF211" s="5">
        <f>IF(AE211="","",IF(OR(AE211=F211,AND(AE211="crane_footing",F211="isolated_footing")),"yes","no"))</f>
        <v/>
      </c>
    </row>
    <row r="212">
      <c r="A212" s="5" t="n">
        <v>211</v>
      </c>
      <c r="B212" s="5" t="inlineStr">
        <is>
          <t>122</t>
        </is>
      </c>
      <c r="C212" s="5" t="inlineStr">
        <is>
          <t>own label</t>
        </is>
      </c>
      <c r="D212" s="5" t="inlineStr">
        <is>
          <t>solid</t>
        </is>
      </c>
      <c r="E212" s="5" t="n">
        <v>29</v>
      </c>
      <c r="F212" s="5" t="inlineStr">
        <is>
          <t>shear_wall</t>
        </is>
      </c>
      <c r="G212" s="5" t="inlineStr">
        <is>
          <t>Shear wall V5/122 2.50 × 0.30 m</t>
        </is>
      </c>
      <c r="H212" s="5" t="inlineStr">
        <is>
          <t>label vote</t>
        </is>
      </c>
      <c r="I212" s="5" t="inlineStr">
        <is>
          <t>V5/122</t>
        </is>
      </c>
      <c r="J212" s="5" t="inlineStr">
        <is>
          <t>printed label</t>
        </is>
      </c>
      <c r="K212" s="5" t="inlineStr">
        <is>
          <t>V5/122/122</t>
        </is>
      </c>
      <c r="L212" s="5" t="n">
        <v>250</v>
      </c>
      <c r="M212" s="5" t="n">
        <v>30</v>
      </c>
      <c r="N212" s="10">
        <f>IF(AND(ISNUMBER(L212),M212&gt;0),L212/M212,"")</f>
        <v/>
      </c>
      <c r="O212" s="5" t="n">
        <v>0.75</v>
      </c>
      <c r="P212" s="5" t="n">
        <v>90</v>
      </c>
      <c r="Q212" s="5" t="n">
        <v>1</v>
      </c>
      <c r="R212" s="5" t="n">
        <v>1</v>
      </c>
      <c r="S212" s="5" t="n">
        <v>0</v>
      </c>
      <c r="T212" s="5" t="n">
        <v>0</v>
      </c>
      <c r="U212" s="5" t="n">
        <v>1</v>
      </c>
      <c r="V212" s="5" t="n">
        <v>0</v>
      </c>
      <c r="W212" s="5" t="n">
        <v>1</v>
      </c>
      <c r="X212" s="5" t="n">
        <v>1</v>
      </c>
      <c r="Y212" s="5" t="n"/>
      <c r="Z212" s="5" t="inlineStr"/>
      <c r="AA212" s="5" t="n">
        <v>4764.5</v>
      </c>
      <c r="AB212" s="5" t="n">
        <v>2260.8</v>
      </c>
      <c r="AC212" s="5" t="n">
        <v>4773.4</v>
      </c>
      <c r="AD212" s="5" t="n">
        <v>2334.6</v>
      </c>
      <c r="AE212" s="5" t="inlineStr"/>
      <c r="AF212" s="5">
        <f>IF(AE212="","",IF(OR(AE212=F212,AND(AE212="crane_footing",F212="isolated_footing")),"yes","no"))</f>
        <v/>
      </c>
    </row>
    <row r="213">
      <c r="A213" s="5" t="n">
        <v>212</v>
      </c>
      <c r="B213" s="5" t="inlineStr">
        <is>
          <t>122</t>
        </is>
      </c>
      <c r="C213" s="5" t="inlineStr">
        <is>
          <t>own label</t>
        </is>
      </c>
      <c r="D213" s="5" t="inlineStr">
        <is>
          <t>solid</t>
        </is>
      </c>
      <c r="E213" s="5" t="n">
        <v>38</v>
      </c>
      <c r="F213" s="5" t="inlineStr">
        <is>
          <t>shear_wall</t>
        </is>
      </c>
      <c r="G213" s="5" t="inlineStr">
        <is>
          <t>Shear wall V6/122 1.25 × 0.30 m</t>
        </is>
      </c>
      <c r="H213" s="5" t="inlineStr">
        <is>
          <t>label vote</t>
        </is>
      </c>
      <c r="I213" s="5" t="inlineStr">
        <is>
          <t>V6/122</t>
        </is>
      </c>
      <c r="J213" s="5" t="inlineStr">
        <is>
          <t>printed label</t>
        </is>
      </c>
      <c r="K213" s="5" t="inlineStr">
        <is>
          <t>V6/122/122</t>
        </is>
      </c>
      <c r="L213" s="5" t="n">
        <v>125</v>
      </c>
      <c r="M213" s="5" t="n">
        <v>30</v>
      </c>
      <c r="N213" s="10">
        <f>IF(AND(ISNUMBER(L213),M213&gt;0),L213/M213,"")</f>
        <v/>
      </c>
      <c r="O213" s="5" t="n">
        <v>0.376</v>
      </c>
      <c r="P213" s="5" t="n">
        <v>79.3</v>
      </c>
      <c r="Q213" s="5" t="n">
        <v>0</v>
      </c>
      <c r="R213" s="5" t="n">
        <v>1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1</v>
      </c>
      <c r="X213" s="5" t="n">
        <v>2</v>
      </c>
      <c r="Y213" s="5" t="n"/>
      <c r="Z213" s="5" t="inlineStr"/>
      <c r="AA213" s="5" t="n">
        <v>4209.5</v>
      </c>
      <c r="AB213" s="5" t="n">
        <v>2878.3</v>
      </c>
      <c r="AC213" s="5" t="n">
        <v>4225.1</v>
      </c>
      <c r="AD213" s="5" t="n">
        <v>2916.2</v>
      </c>
      <c r="AE213" s="5" t="inlineStr">
        <is>
          <t>shear_wall</t>
        </is>
      </c>
      <c r="AF213" s="5">
        <f>IF(AE213="","",IF(OR(AE213=F213,AND(AE213="crane_footing",F213="isolated_footing")),"yes","no"))</f>
        <v/>
      </c>
    </row>
    <row r="214">
      <c r="A214" s="5" t="n">
        <v>213</v>
      </c>
      <c r="B214" s="5" t="inlineStr">
        <is>
          <t>122</t>
        </is>
      </c>
      <c r="C214" s="5" t="inlineStr">
        <is>
          <t>own label</t>
        </is>
      </c>
      <c r="D214" s="5" t="inlineStr">
        <is>
          <t>solid</t>
        </is>
      </c>
      <c r="E214" s="5" t="n">
        <v>38</v>
      </c>
      <c r="F214" s="5" t="inlineStr">
        <is>
          <t>shear_wall</t>
        </is>
      </c>
      <c r="G214" s="5" t="inlineStr">
        <is>
          <t>Shear wall V6/122 1.25 × 0.30 m</t>
        </is>
      </c>
      <c r="H214" s="5" t="inlineStr">
        <is>
          <t>label vote</t>
        </is>
      </c>
      <c r="I214" s="5" t="inlineStr">
        <is>
          <t>V6/122</t>
        </is>
      </c>
      <c r="J214" s="5" t="inlineStr">
        <is>
          <t>printed label</t>
        </is>
      </c>
      <c r="K214" s="5" t="inlineStr">
        <is>
          <t>V6/122/122</t>
        </is>
      </c>
      <c r="L214" s="5" t="n">
        <v>125</v>
      </c>
      <c r="M214" s="5" t="n">
        <v>30</v>
      </c>
      <c r="N214" s="10">
        <f>IF(AND(ISNUMBER(L214),M214&gt;0),L214/M214,"")</f>
        <v/>
      </c>
      <c r="O214" s="5" t="n">
        <v>0.375</v>
      </c>
      <c r="P214" s="5" t="n">
        <v>179.8</v>
      </c>
      <c r="Q214" s="5" t="n">
        <v>0</v>
      </c>
      <c r="R214" s="5" t="n">
        <v>1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1</v>
      </c>
      <c r="X214" s="5" t="n">
        <v>3</v>
      </c>
      <c r="Y214" s="5" t="n"/>
      <c r="Z214" s="5" t="inlineStr"/>
      <c r="AA214" s="5" t="n">
        <v>4303.4</v>
      </c>
      <c r="AB214" s="5" t="n">
        <v>2485.7</v>
      </c>
      <c r="AC214" s="5" t="n">
        <v>4340.3</v>
      </c>
      <c r="AD214" s="5" t="n">
        <v>2494.6</v>
      </c>
      <c r="AE214" s="5" t="inlineStr">
        <is>
          <t>shear_wall</t>
        </is>
      </c>
      <c r="AF214" s="5">
        <f>IF(AE214="","",IF(OR(AE214=F214,AND(AE214="crane_footing",F214="isolated_footing")),"yes","no"))</f>
        <v/>
      </c>
    </row>
    <row r="215">
      <c r="A215" s="5" t="n">
        <v>214</v>
      </c>
      <c r="B215" s="5" t="inlineStr">
        <is>
          <t>122</t>
        </is>
      </c>
      <c r="C215" s="5" t="inlineStr">
        <is>
          <t>own label</t>
        </is>
      </c>
      <c r="D215" s="5" t="inlineStr">
        <is>
          <t>solid</t>
        </is>
      </c>
      <c r="E215" s="5" t="n">
        <v>38</v>
      </c>
      <c r="F215" s="5" t="inlineStr">
        <is>
          <t>shear_wall</t>
        </is>
      </c>
      <c r="G215" s="5" t="inlineStr">
        <is>
          <t>Shear wall V6/122 1.25 × 0.30 m</t>
        </is>
      </c>
      <c r="H215" s="5" t="inlineStr">
        <is>
          <t>label vote</t>
        </is>
      </c>
      <c r="I215" s="5" t="inlineStr">
        <is>
          <t>V6/122</t>
        </is>
      </c>
      <c r="J215" s="5" t="inlineStr">
        <is>
          <t>printed label</t>
        </is>
      </c>
      <c r="K215" s="5" t="inlineStr">
        <is>
          <t>V6/122/122</t>
        </is>
      </c>
      <c r="L215" s="5" t="n">
        <v>125</v>
      </c>
      <c r="M215" s="5" t="n">
        <v>30</v>
      </c>
      <c r="N215" s="10">
        <f>IF(AND(ISNUMBER(L215),M215&gt;0),L215/M215,"")</f>
        <v/>
      </c>
      <c r="O215" s="5" t="n">
        <v>0.375</v>
      </c>
      <c r="P215" s="5" t="n">
        <v>179.8</v>
      </c>
      <c r="Q215" s="5" t="n">
        <v>0</v>
      </c>
      <c r="R215" s="5" t="n">
        <v>1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1</v>
      </c>
      <c r="X215" s="5" t="n">
        <v>2</v>
      </c>
      <c r="Y215" s="5" t="n"/>
      <c r="Z215" s="5" t="inlineStr"/>
      <c r="AA215" s="5" t="n">
        <v>4303.6</v>
      </c>
      <c r="AB215" s="5" t="n">
        <v>2255.4</v>
      </c>
      <c r="AC215" s="5" t="n">
        <v>4340.5</v>
      </c>
      <c r="AD215" s="5" t="n">
        <v>2264.3</v>
      </c>
      <c r="AE215" s="5" t="inlineStr">
        <is>
          <t>shear_wall</t>
        </is>
      </c>
      <c r="AF215" s="5">
        <f>IF(AE215="","",IF(OR(AE215=F215,AND(AE215="crane_footing",F215="isolated_footing")),"yes","no"))</f>
        <v/>
      </c>
    </row>
    <row r="216">
      <c r="A216" s="5" t="n">
        <v>215</v>
      </c>
      <c r="B216" s="5" t="inlineStr">
        <is>
          <t>122</t>
        </is>
      </c>
      <c r="C216" s="5" t="inlineStr">
        <is>
          <t>own label</t>
        </is>
      </c>
      <c r="D216" s="5" t="inlineStr">
        <is>
          <t>solid</t>
        </is>
      </c>
      <c r="E216" s="5" t="n">
        <v>38</v>
      </c>
      <c r="F216" s="5" t="inlineStr">
        <is>
          <t>shear_wall</t>
        </is>
      </c>
      <c r="G216" s="5" t="inlineStr">
        <is>
          <t>Shear wall V6/122 1.25 × 0.30 m</t>
        </is>
      </c>
      <c r="H216" s="5" t="inlineStr">
        <is>
          <t>label vote</t>
        </is>
      </c>
      <c r="I216" s="5" t="inlineStr">
        <is>
          <t>V6/122</t>
        </is>
      </c>
      <c r="J216" s="5" t="inlineStr">
        <is>
          <t>printed label</t>
        </is>
      </c>
      <c r="K216" s="5" t="inlineStr">
        <is>
          <t>V6/122/122</t>
        </is>
      </c>
      <c r="L216" s="5" t="n">
        <v>125</v>
      </c>
      <c r="M216" s="5" t="n">
        <v>30</v>
      </c>
      <c r="N216" s="10">
        <f>IF(AND(ISNUMBER(L216),M216&gt;0),L216/M216,"")</f>
        <v/>
      </c>
      <c r="O216" s="5" t="n">
        <v>0.375</v>
      </c>
      <c r="P216" s="5" t="n">
        <v>179.8</v>
      </c>
      <c r="Q216" s="5" t="n">
        <v>0</v>
      </c>
      <c r="R216" s="5" t="n">
        <v>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2</v>
      </c>
      <c r="X216" s="5" t="n">
        <v>3</v>
      </c>
      <c r="Y216" s="5" t="n"/>
      <c r="Z216" s="5" t="inlineStr"/>
      <c r="AA216" s="5" t="n">
        <v>4303.1</v>
      </c>
      <c r="AB216" s="5" t="n">
        <v>2715.5</v>
      </c>
      <c r="AC216" s="5" t="n">
        <v>4340.1</v>
      </c>
      <c r="AD216" s="5" t="n">
        <v>2724.5</v>
      </c>
      <c r="AE216" s="5" t="inlineStr">
        <is>
          <t>shear_wall</t>
        </is>
      </c>
      <c r="AF216" s="5">
        <f>IF(AE216="","",IF(OR(AE216=F216,AND(AE216="crane_footing",F216="isolated_footing")),"yes","no"))</f>
        <v/>
      </c>
    </row>
    <row r="217">
      <c r="A217" s="5" t="n">
        <v>216</v>
      </c>
      <c r="B217" s="5" t="inlineStr">
        <is>
          <t>122</t>
        </is>
      </c>
      <c r="C217" s="5" t="inlineStr">
        <is>
          <t>own label</t>
        </is>
      </c>
      <c r="D217" s="5" t="inlineStr">
        <is>
          <t>solid</t>
        </is>
      </c>
      <c r="E217" s="5" t="n">
        <v>38</v>
      </c>
      <c r="F217" s="5" t="inlineStr">
        <is>
          <t>shear_wall</t>
        </is>
      </c>
      <c r="G217" s="5" t="inlineStr">
        <is>
          <t>Shear wall V6/122 1.25 × 0.30 m</t>
        </is>
      </c>
      <c r="H217" s="5" t="inlineStr">
        <is>
          <t>label vote</t>
        </is>
      </c>
      <c r="I217" s="5" t="inlineStr">
        <is>
          <t>V6/122</t>
        </is>
      </c>
      <c r="J217" s="5" t="inlineStr">
        <is>
          <t>printed label</t>
        </is>
      </c>
      <c r="K217" s="5" t="inlineStr">
        <is>
          <t>V6/122/122</t>
        </is>
      </c>
      <c r="L217" s="5" t="n">
        <v>125</v>
      </c>
      <c r="M217" s="5" t="n">
        <v>30</v>
      </c>
      <c r="N217" s="10">
        <f>IF(AND(ISNUMBER(L217),M217&gt;0),L217/M217,"")</f>
        <v/>
      </c>
      <c r="O217" s="5" t="n">
        <v>0.375</v>
      </c>
      <c r="P217" s="5" t="n">
        <v>179.9</v>
      </c>
      <c r="Q217" s="5" t="n">
        <v>0</v>
      </c>
      <c r="R217" s="5" t="n">
        <v>1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2</v>
      </c>
      <c r="X217" s="5" t="n">
        <v>3</v>
      </c>
      <c r="Y217" s="5" t="n"/>
      <c r="Z217" s="5" t="inlineStr"/>
      <c r="AA217" s="5" t="n">
        <v>4303.3</v>
      </c>
      <c r="AB217" s="5" t="n">
        <v>2139.6</v>
      </c>
      <c r="AC217" s="5" t="n">
        <v>4340.3</v>
      </c>
      <c r="AD217" s="5" t="n">
        <v>2148.5</v>
      </c>
      <c r="AE217" s="5" t="inlineStr">
        <is>
          <t>shear_wall</t>
        </is>
      </c>
      <c r="AF217" s="5">
        <f>IF(AE217="","",IF(OR(AE217=F217,AND(AE217="crane_footing",F217="isolated_footing")),"yes","no"))</f>
        <v/>
      </c>
    </row>
    <row r="218">
      <c r="A218" s="5" t="n">
        <v>217</v>
      </c>
      <c r="B218" s="5" t="inlineStr">
        <is>
          <t>122</t>
        </is>
      </c>
      <c r="C218" s="5" t="inlineStr">
        <is>
          <t>own label</t>
        </is>
      </c>
      <c r="D218" s="5" t="inlineStr">
        <is>
          <t>solid</t>
        </is>
      </c>
      <c r="E218" s="5" t="n">
        <v>38</v>
      </c>
      <c r="F218" s="5" t="inlineStr">
        <is>
          <t>shear_wall</t>
        </is>
      </c>
      <c r="G218" s="5" t="inlineStr">
        <is>
          <t>Shear wall V6/122 1.25 × 0.30 m</t>
        </is>
      </c>
      <c r="H218" s="5" t="inlineStr">
        <is>
          <t>label vote</t>
        </is>
      </c>
      <c r="I218" s="5" t="inlineStr">
        <is>
          <t>V6/122</t>
        </is>
      </c>
      <c r="J218" s="5" t="inlineStr">
        <is>
          <t>printed label</t>
        </is>
      </c>
      <c r="K218" s="5" t="inlineStr">
        <is>
          <t>V6/122/122</t>
        </is>
      </c>
      <c r="L218" s="5" t="n">
        <v>125</v>
      </c>
      <c r="M218" s="5" t="n">
        <v>30</v>
      </c>
      <c r="N218" s="10">
        <f>IF(AND(ISNUMBER(L218),M218&gt;0),L218/M218,"")</f>
        <v/>
      </c>
      <c r="O218" s="5" t="n">
        <v>0.374</v>
      </c>
      <c r="P218" s="5" t="n">
        <v>79.3</v>
      </c>
      <c r="Q218" s="5" t="n">
        <v>0</v>
      </c>
      <c r="R218" s="5" t="n">
        <v>1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1</v>
      </c>
      <c r="X218" s="5" t="n">
        <v>2</v>
      </c>
      <c r="Y218" s="5" t="n"/>
      <c r="Z218" s="5" t="inlineStr"/>
      <c r="AA218" s="5" t="n">
        <v>4180.9</v>
      </c>
      <c r="AB218" s="5" t="n">
        <v>2726.9</v>
      </c>
      <c r="AC218" s="5" t="n">
        <v>4196.5</v>
      </c>
      <c r="AD218" s="5" t="n">
        <v>2764.7</v>
      </c>
      <c r="AE218" s="5" t="inlineStr">
        <is>
          <t>shear_wall</t>
        </is>
      </c>
      <c r="AF218" s="5">
        <f>IF(AE218="","",IF(OR(AE218=F218,AND(AE218="crane_footing",F218="isolated_footing")),"yes","no"))</f>
        <v/>
      </c>
    </row>
    <row r="219">
      <c r="A219" s="5" t="n">
        <v>218</v>
      </c>
      <c r="B219" s="5" t="inlineStr">
        <is>
          <t>122</t>
        </is>
      </c>
      <c r="C219" s="5" t="inlineStr">
        <is>
          <t>nearest labels</t>
        </is>
      </c>
      <c r="D219" s="5" t="inlineStr">
        <is>
          <t>solid</t>
        </is>
      </c>
      <c r="E219" s="5" t="n">
        <v>34</v>
      </c>
      <c r="F219" s="5" t="inlineStr">
        <is>
          <t>core_wall</t>
        </is>
      </c>
      <c r="G219" s="5" t="inlineStr">
        <is>
          <t>Core wall 6.61 × 0.20 m</t>
        </is>
      </c>
      <c r="H219" s="5" t="inlineStr">
        <is>
          <t>rule: unlabelled interior wall, no V type of its size</t>
        </is>
      </c>
      <c r="I219" s="5" t="inlineStr">
        <is>
          <t>(none)</t>
        </is>
      </c>
      <c r="J219" s="5" t="inlineStr">
        <is>
          <t>no shear_wall type in its building has this size</t>
        </is>
      </c>
      <c r="K219" s="5" t="inlineStr"/>
      <c r="L219" s="5" t="n">
        <v>661</v>
      </c>
      <c r="M219" s="5" t="n">
        <v>20</v>
      </c>
      <c r="N219" s="10">
        <f>IF(AND(ISNUMBER(L219),M219&gt;0),L219/M219,"")</f>
        <v/>
      </c>
      <c r="O219" s="5" t="n">
        <v>1.321</v>
      </c>
      <c r="P219" s="5" t="n">
        <v>179.9</v>
      </c>
      <c r="Q219" s="5" t="n">
        <v>2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8</v>
      </c>
      <c r="X219" s="5" t="n">
        <v>10</v>
      </c>
      <c r="Y219" s="5" t="n"/>
      <c r="Z219" s="5" t="inlineStr"/>
      <c r="AA219" s="5" t="n">
        <v>4555.7</v>
      </c>
      <c r="AB219" s="5" t="n">
        <v>2138.2</v>
      </c>
      <c r="AC219" s="5" t="n">
        <v>4750.9</v>
      </c>
      <c r="AD219" s="5" t="n">
        <v>2144.5</v>
      </c>
      <c r="AE219" s="5" t="inlineStr"/>
      <c r="AF219" s="5">
        <f>IF(AE219="","",IF(OR(AE219=F219,AND(AE219="crane_footing",F219="isolated_footing")),"yes","no"))</f>
        <v/>
      </c>
    </row>
    <row r="220">
      <c r="A220" s="5" t="n">
        <v>219</v>
      </c>
      <c r="B220" s="5" t="inlineStr">
        <is>
          <t>122</t>
        </is>
      </c>
      <c r="C220" s="5" t="inlineStr">
        <is>
          <t>region between joints</t>
        </is>
      </c>
      <c r="D220" s="5" t="inlineStr">
        <is>
          <t>solid</t>
        </is>
      </c>
      <c r="E220" s="5" t="n">
        <v>37</v>
      </c>
      <c r="F220" s="5" t="inlineStr">
        <is>
          <t>core_wall</t>
        </is>
      </c>
      <c r="G220" s="5" t="inlineStr">
        <is>
          <t>Core wall 3.42 × 0.25 m</t>
        </is>
      </c>
      <c r="H220" s="5" t="inlineStr">
        <is>
          <t>rule: unlabelled interior wall, no V type of its size</t>
        </is>
      </c>
      <c r="I220" s="5" t="inlineStr">
        <is>
          <t>(none)</t>
        </is>
      </c>
      <c r="J220" s="5" t="inlineStr">
        <is>
          <t>no shear_wall type in its building has this size</t>
        </is>
      </c>
      <c r="K220" s="5" t="inlineStr"/>
      <c r="L220" s="5" t="n">
        <v>342</v>
      </c>
      <c r="M220" s="5" t="n">
        <v>25</v>
      </c>
      <c r="N220" s="10">
        <f>IF(AND(ISNUMBER(L220),M220&gt;0),L220/M220,"")</f>
        <v/>
      </c>
      <c r="O220" s="5" t="n">
        <v>0.852</v>
      </c>
      <c r="P220" s="5" t="n">
        <v>0</v>
      </c>
      <c r="Q220" s="5" t="n">
        <v>2</v>
      </c>
      <c r="R220" s="5" t="n">
        <v>0</v>
      </c>
      <c r="S220" s="5" t="n">
        <v>0</v>
      </c>
      <c r="T220" s="5" t="n">
        <v>1</v>
      </c>
      <c r="U220" s="5" t="n">
        <v>0</v>
      </c>
      <c r="V220" s="5" t="n">
        <v>0</v>
      </c>
      <c r="W220" s="5" t="n">
        <v>2</v>
      </c>
      <c r="X220" s="5" t="n">
        <v>0</v>
      </c>
      <c r="Y220" s="5" t="n"/>
      <c r="Z220" s="5" t="inlineStr"/>
      <c r="AA220" s="5" t="n">
        <v>4913.1</v>
      </c>
      <c r="AB220" s="5" t="n">
        <v>2652.9</v>
      </c>
      <c r="AC220" s="5" t="n">
        <v>5014</v>
      </c>
      <c r="AD220" s="5" t="n">
        <v>2660.3</v>
      </c>
      <c r="AE220" s="5" t="inlineStr"/>
      <c r="AF220" s="5">
        <f>IF(AE220="","",IF(OR(AE220=F220,AND(AE220="crane_footing",F220="isolated_footing")),"yes","no"))</f>
        <v/>
      </c>
    </row>
    <row r="221">
      <c r="A221" s="5" t="n">
        <v>220</v>
      </c>
      <c r="B221" s="5" t="inlineStr">
        <is>
          <t>122</t>
        </is>
      </c>
      <c r="C221" s="5" t="inlineStr">
        <is>
          <t>region between joints</t>
        </is>
      </c>
      <c r="D221" s="5" t="inlineStr">
        <is>
          <t>solid</t>
        </is>
      </c>
      <c r="E221" s="5" t="n">
        <v>26</v>
      </c>
      <c r="F221" s="5" t="inlineStr">
        <is>
          <t>core_wall</t>
        </is>
      </c>
      <c r="G221" s="5" t="inlineStr">
        <is>
          <t>Core wall 2.07 × 0.25 m</t>
        </is>
      </c>
      <c r="H221" s="5" t="inlineStr">
        <is>
          <t>rule: unlabelled interior wall, no V type of its size</t>
        </is>
      </c>
      <c r="I221" s="5" t="inlineStr">
        <is>
          <t>(none)</t>
        </is>
      </c>
      <c r="J221" s="5" t="inlineStr"/>
      <c r="K221" s="5" t="inlineStr"/>
      <c r="L221" s="5" t="n">
        <v>207</v>
      </c>
      <c r="M221" s="5" t="n">
        <v>25</v>
      </c>
      <c r="N221" s="10">
        <f>IF(AND(ISNUMBER(L221),M221&gt;0),L221/M221,"")</f>
        <v/>
      </c>
      <c r="O221" s="5" t="n">
        <v>0.518</v>
      </c>
      <c r="P221" s="5" t="n">
        <v>89.90000000000001</v>
      </c>
      <c r="Q221" s="5" t="n">
        <v>0</v>
      </c>
      <c r="R221" s="5" t="n">
        <v>0</v>
      </c>
      <c r="S221" s="5" t="n">
        <v>0</v>
      </c>
      <c r="T221" s="5" t="n">
        <v>1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/>
      <c r="Z221" s="5" t="inlineStr"/>
      <c r="AA221" s="5" t="n">
        <v>4873.8</v>
      </c>
      <c r="AB221" s="5" t="n">
        <v>2656.9</v>
      </c>
      <c r="AC221" s="5" t="n">
        <v>4881.2</v>
      </c>
      <c r="AD221" s="5" t="n">
        <v>2718.2</v>
      </c>
      <c r="AE221" s="5" t="inlineStr"/>
      <c r="AF221" s="5">
        <f>IF(AE221="","",IF(OR(AE221=F221,AND(AE221="crane_footing",F221="isolated_footing")),"yes","no"))</f>
        <v/>
      </c>
    </row>
    <row r="222">
      <c r="A222" s="5" t="n">
        <v>221</v>
      </c>
      <c r="B222" s="5" t="inlineStr">
        <is>
          <t>122</t>
        </is>
      </c>
      <c r="C222" s="5" t="inlineStr">
        <is>
          <t>region between joints</t>
        </is>
      </c>
      <c r="D222" s="5" t="inlineStr">
        <is>
          <t>solid</t>
        </is>
      </c>
      <c r="E222" s="5" t="n">
        <v>26</v>
      </c>
      <c r="F222" s="5" t="inlineStr">
        <is>
          <t>core_wall</t>
        </is>
      </c>
      <c r="G222" s="5" t="inlineStr">
        <is>
          <t>Core wall 3.76 × 0.25 m</t>
        </is>
      </c>
      <c r="H222" s="5" t="inlineStr">
        <is>
          <t>rule: unlabelled interior wall, no V type of its size</t>
        </is>
      </c>
      <c r="I222" s="5" t="inlineStr">
        <is>
          <t>(none)</t>
        </is>
      </c>
      <c r="J222" s="5" t="inlineStr"/>
      <c r="K222" s="5" t="inlineStr"/>
      <c r="L222" s="5" t="n">
        <v>376</v>
      </c>
      <c r="M222" s="5" t="n">
        <v>25</v>
      </c>
      <c r="N222" s="10">
        <f>IF(AND(ISNUMBER(L222),M222&gt;0),L222/M222,"")</f>
        <v/>
      </c>
      <c r="O222" s="5" t="n">
        <v>0.9429999999999999</v>
      </c>
      <c r="P222" s="5" t="n">
        <v>179.9</v>
      </c>
      <c r="Q222" s="5" t="n">
        <v>0</v>
      </c>
      <c r="R222" s="5" t="n">
        <v>0</v>
      </c>
      <c r="S222" s="5" t="n">
        <v>0</v>
      </c>
      <c r="T222" s="5" t="n">
        <v>1</v>
      </c>
      <c r="U222" s="5" t="n">
        <v>0</v>
      </c>
      <c r="V222" s="5" t="n">
        <v>0</v>
      </c>
      <c r="W222" s="5" t="n">
        <v>2</v>
      </c>
      <c r="X222" s="5" t="n">
        <v>0</v>
      </c>
      <c r="Y222" s="5" t="n"/>
      <c r="Z222" s="5" t="inlineStr"/>
      <c r="AA222" s="5" t="n">
        <v>4895.9</v>
      </c>
      <c r="AB222" s="5" t="n">
        <v>2740</v>
      </c>
      <c r="AC222" s="5" t="n">
        <v>5007</v>
      </c>
      <c r="AD222" s="5" t="n">
        <v>2747.7</v>
      </c>
      <c r="AE222" s="5" t="inlineStr"/>
      <c r="AF222" s="5">
        <f>IF(AE222="","",IF(OR(AE222=F222,AND(AE222="crane_footing",F222="isolated_footing")),"yes","no"))</f>
        <v/>
      </c>
    </row>
    <row r="223">
      <c r="A223" s="5" t="n">
        <v>222</v>
      </c>
      <c r="B223" s="5" t="inlineStr">
        <is>
          <t>122</t>
        </is>
      </c>
      <c r="C223" s="5" t="inlineStr">
        <is>
          <t>region between joints</t>
        </is>
      </c>
      <c r="D223" s="5" t="inlineStr">
        <is>
          <t>solid</t>
        </is>
      </c>
      <c r="E223" s="5" t="n">
        <v>25</v>
      </c>
      <c r="F223" s="5" t="inlineStr">
        <is>
          <t>core_wall</t>
        </is>
      </c>
      <c r="G223" s="5" t="inlineStr">
        <is>
          <t>Core wall 0.50 × 0.25 m</t>
        </is>
      </c>
      <c r="H223" s="5" t="inlineStr">
        <is>
          <t>rule: column-shaped piece drawn like a wall (outline pen or continuity)</t>
        </is>
      </c>
      <c r="I223" s="5" t="inlineStr">
        <is>
          <t>(none)</t>
        </is>
      </c>
      <c r="J223" s="5" t="inlineStr"/>
      <c r="K223" s="5" t="inlineStr"/>
      <c r="L223" s="5" t="n">
        <v>50</v>
      </c>
      <c r="M223" s="5" t="n">
        <v>25</v>
      </c>
      <c r="N223" s="10">
        <f>IF(AND(ISNUMBER(L223),M223&gt;0),L223/M223,"")</f>
        <v/>
      </c>
      <c r="O223" s="5" t="n">
        <v>0.126</v>
      </c>
      <c r="P223" s="5" t="n">
        <v>89.8</v>
      </c>
      <c r="Q223" s="5" t="n">
        <v>0</v>
      </c>
      <c r="R223" s="5" t="n">
        <v>0</v>
      </c>
      <c r="S223" s="5" t="n">
        <v>0</v>
      </c>
      <c r="T223" s="5" t="n">
        <v>1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/>
      <c r="Z223" s="5" t="inlineStr"/>
      <c r="AA223" s="5" t="n">
        <v>4873.9</v>
      </c>
      <c r="AB223" s="5" t="n">
        <v>2721.9</v>
      </c>
      <c r="AC223" s="5" t="n">
        <v>4881.4</v>
      </c>
      <c r="AD223" s="5" t="n">
        <v>2736.6</v>
      </c>
      <c r="AE223" s="5" t="inlineStr"/>
      <c r="AF223" s="5">
        <f>IF(AE223="","",IF(OR(AE223=F223,AND(AE223="crane_footing",F223="isolated_footing")),"yes","no"))</f>
        <v/>
      </c>
    </row>
    <row r="224">
      <c r="A224" s="5" t="n">
        <v>223</v>
      </c>
      <c r="B224" s="5" t="inlineStr">
        <is>
          <t>122</t>
        </is>
      </c>
      <c r="C224" s="5" t="inlineStr">
        <is>
          <t>region between joints</t>
        </is>
      </c>
      <c r="D224" s="5" t="inlineStr">
        <is>
          <t>solid</t>
        </is>
      </c>
      <c r="E224" s="5" t="n">
        <v>25</v>
      </c>
      <c r="F224" s="5" t="inlineStr">
        <is>
          <t>core_wall</t>
        </is>
      </c>
      <c r="G224" s="5" t="inlineStr">
        <is>
          <t>Core wall 0.91 × 0.25 m</t>
        </is>
      </c>
      <c r="H224" s="5" t="inlineStr">
        <is>
          <t>rule: column-shaped piece drawn like a wall (outline pen or continuity)</t>
        </is>
      </c>
      <c r="I224" s="5" t="inlineStr">
        <is>
          <t>(none)</t>
        </is>
      </c>
      <c r="J224" s="5" t="inlineStr"/>
      <c r="K224" s="5" t="inlineStr"/>
      <c r="L224" s="5" t="n">
        <v>91</v>
      </c>
      <c r="M224" s="5" t="n">
        <v>25</v>
      </c>
      <c r="N224" s="10">
        <f>IF(AND(ISNUMBER(L224),M224&gt;0),L224/M224,"")</f>
        <v/>
      </c>
      <c r="O224" s="5" t="n">
        <v>0.227</v>
      </c>
      <c r="P224" s="5" t="n">
        <v>89.90000000000001</v>
      </c>
      <c r="Q224" s="5" t="n">
        <v>1</v>
      </c>
      <c r="R224" s="5" t="n">
        <v>0</v>
      </c>
      <c r="S224" s="5" t="n">
        <v>0</v>
      </c>
      <c r="T224" s="5" t="n">
        <v>1</v>
      </c>
      <c r="U224" s="5" t="n">
        <v>0</v>
      </c>
      <c r="V224" s="5" t="n">
        <v>0</v>
      </c>
      <c r="W224" s="5" t="n">
        <v>4</v>
      </c>
      <c r="X224" s="5" t="n">
        <v>0</v>
      </c>
      <c r="Y224" s="5" t="n"/>
      <c r="Z224" s="5" t="inlineStr"/>
      <c r="AA224" s="5" t="n">
        <v>4766.9</v>
      </c>
      <c r="AB224" s="5" t="n">
        <v>2713.5</v>
      </c>
      <c r="AC224" s="5" t="n">
        <v>4774.2</v>
      </c>
      <c r="AD224" s="5" t="n">
        <v>2740.5</v>
      </c>
      <c r="AE224" s="5" t="inlineStr"/>
      <c r="AF224" s="5">
        <f>IF(AE224="","",IF(OR(AE224=F224,AND(AE224="crane_footing",F224="isolated_footing")),"yes","no"))</f>
        <v/>
      </c>
    </row>
    <row r="225">
      <c r="A225" s="5" t="n">
        <v>224</v>
      </c>
      <c r="B225" s="5" t="inlineStr">
        <is>
          <t>122</t>
        </is>
      </c>
      <c r="C225" s="5" t="inlineStr">
        <is>
          <t>region between joints</t>
        </is>
      </c>
      <c r="D225" s="5" t="inlineStr">
        <is>
          <t>cross_hatch</t>
        </is>
      </c>
      <c r="E225" s="5" t="n">
        <v>10</v>
      </c>
      <c r="F225" s="5" t="inlineStr">
        <is>
          <t>core_wall</t>
        </is>
      </c>
      <c r="G225" s="5" t="inlineStr">
        <is>
          <t>Core wall 2.70 × 0.20 m</t>
        </is>
      </c>
      <c r="H225" s="5" t="inlineStr">
        <is>
          <t>rule: unlabelled interior wall, no V type of its size</t>
        </is>
      </c>
      <c r="I225" s="5" t="inlineStr">
        <is>
          <t>(none)</t>
        </is>
      </c>
      <c r="J225" s="5" t="inlineStr"/>
      <c r="K225" s="5" t="inlineStr"/>
      <c r="L225" s="5" t="n">
        <v>270</v>
      </c>
      <c r="M225" s="5" t="n">
        <v>20</v>
      </c>
      <c r="N225" s="10">
        <f>IF(AND(ISNUMBER(L225),M225&gt;0),L225/M225,"")</f>
        <v/>
      </c>
      <c r="O225" s="5" t="n">
        <v>0.54</v>
      </c>
      <c r="P225" s="5" t="n">
        <v>90</v>
      </c>
      <c r="Q225" s="5" t="n">
        <v>2</v>
      </c>
      <c r="R225" s="5" t="n">
        <v>0</v>
      </c>
      <c r="S225" s="5" t="n">
        <v>0</v>
      </c>
      <c r="T225" s="5" t="n">
        <v>1</v>
      </c>
      <c r="U225" s="5" t="n">
        <v>0</v>
      </c>
      <c r="V225" s="5" t="n">
        <v>0</v>
      </c>
      <c r="W225" s="5" t="n">
        <v>3</v>
      </c>
      <c r="X225" s="5" t="n">
        <v>0</v>
      </c>
      <c r="Y225" s="5" t="n"/>
      <c r="Z225" s="5" t="inlineStr"/>
      <c r="AA225" s="5" t="n">
        <v>4728.7</v>
      </c>
      <c r="AB225" s="5" t="n">
        <v>2618.1</v>
      </c>
      <c r="AC225" s="5" t="n">
        <v>4734.7</v>
      </c>
      <c r="AD225" s="5" t="n">
        <v>2697.8</v>
      </c>
      <c r="AE225" s="5" t="inlineStr"/>
      <c r="AF225" s="5">
        <f>IF(AE225="","",IF(OR(AE225=F225,AND(AE225="crane_footing",F225="isolated_footing")),"yes","no"))</f>
        <v/>
      </c>
    </row>
    <row r="226">
      <c r="A226" s="5" t="n">
        <v>225</v>
      </c>
      <c r="B226" s="5" t="inlineStr">
        <is>
          <t>122</t>
        </is>
      </c>
      <c r="C226" s="5" t="inlineStr">
        <is>
          <t>region between joints</t>
        </is>
      </c>
      <c r="D226" s="5" t="inlineStr">
        <is>
          <t>cross_hatch</t>
        </is>
      </c>
      <c r="E226" s="5" t="n">
        <v>10</v>
      </c>
      <c r="F226" s="5" t="inlineStr">
        <is>
          <t>core_wall</t>
        </is>
      </c>
      <c r="G226" s="5" t="inlineStr">
        <is>
          <t>Core wall 3.38 × 0.20 m</t>
        </is>
      </c>
      <c r="H226" s="5" t="inlineStr">
        <is>
          <t>rule: unlabelled interior wall, no V type of its size</t>
        </is>
      </c>
      <c r="I226" s="5" t="inlineStr">
        <is>
          <t>(none)</t>
        </is>
      </c>
      <c r="J226" s="5" t="inlineStr"/>
      <c r="K226" s="5" t="inlineStr"/>
      <c r="L226" s="5" t="n">
        <v>338</v>
      </c>
      <c r="M226" s="5" t="n">
        <v>20</v>
      </c>
      <c r="N226" s="10">
        <f>IF(AND(ISNUMBER(L226),M226&gt;0),L226/M226,"")</f>
        <v/>
      </c>
      <c r="O226" s="5" t="n">
        <v>0.676</v>
      </c>
      <c r="P226" s="5" t="n">
        <v>180</v>
      </c>
      <c r="Q226" s="5" t="n">
        <v>1</v>
      </c>
      <c r="R226" s="5" t="n">
        <v>0</v>
      </c>
      <c r="S226" s="5" t="n">
        <v>0</v>
      </c>
      <c r="T226" s="5" t="n">
        <v>1</v>
      </c>
      <c r="U226" s="5" t="n">
        <v>0</v>
      </c>
      <c r="V226" s="5" t="n">
        <v>0</v>
      </c>
      <c r="W226" s="5" t="n">
        <v>2</v>
      </c>
      <c r="X226" s="5" t="n">
        <v>0</v>
      </c>
      <c r="Y226" s="5" t="n"/>
      <c r="Z226" s="5" t="inlineStr"/>
      <c r="AA226" s="5" t="n">
        <v>4774.2</v>
      </c>
      <c r="AB226" s="5" t="n">
        <v>2688.8</v>
      </c>
      <c r="AC226" s="5" t="n">
        <v>4874.1</v>
      </c>
      <c r="AD226" s="5" t="n">
        <v>2694.8</v>
      </c>
      <c r="AE226" s="5" t="inlineStr"/>
      <c r="AF226" s="5">
        <f>IF(AE226="","",IF(OR(AE226=F226,AND(AE226="crane_footing",F226="isolated_footing")),"yes","no"))</f>
        <v/>
      </c>
    </row>
    <row r="227">
      <c r="A227" s="5" t="n">
        <v>226</v>
      </c>
      <c r="B227" s="5" t="inlineStr">
        <is>
          <t>122</t>
        </is>
      </c>
      <c r="C227" s="5" t="inlineStr">
        <is>
          <t>region between joints</t>
        </is>
      </c>
      <c r="D227" s="5" t="inlineStr">
        <is>
          <t>solid</t>
        </is>
      </c>
      <c r="E227" s="5" t="n">
        <v>34</v>
      </c>
      <c r="F227" s="5" t="inlineStr">
        <is>
          <t>retaining_wall</t>
        </is>
      </c>
      <c r="G227" s="5" t="inlineStr">
        <is>
          <t>Retaining wall ~VP20 8.88 × 0.20 m</t>
        </is>
      </c>
      <c r="H227" s="5" t="inlineStr">
        <is>
          <t>rule: unlabelled wall along the building edge or on a strip footing</t>
        </is>
      </c>
      <c r="I227" s="5" t="inlineStr">
        <is>
          <t>VP20</t>
        </is>
      </c>
      <c r="J227" s="5" t="inlineStr">
        <is>
          <t>inferred: the thickness of this retaining-wall type</t>
        </is>
      </c>
      <c r="K227" s="5" t="inlineStr"/>
      <c r="L227" s="5" t="n">
        <v>888</v>
      </c>
      <c r="M227" s="5" t="n">
        <v>20</v>
      </c>
      <c r="N227" s="10">
        <f>IF(AND(ISNUMBER(L227),M227&gt;0),L227/M227,"")</f>
        <v/>
      </c>
      <c r="O227" s="5" t="n">
        <v>1.775</v>
      </c>
      <c r="P227" s="5" t="n">
        <v>179.9</v>
      </c>
      <c r="Q227" s="5" t="n">
        <v>1</v>
      </c>
      <c r="R227" s="5" t="n">
        <v>0</v>
      </c>
      <c r="S227" s="5" t="n">
        <v>1</v>
      </c>
      <c r="T227" s="5" t="n">
        <v>0</v>
      </c>
      <c r="U227" s="5" t="n">
        <v>0</v>
      </c>
      <c r="V227" s="5" t="n">
        <v>0</v>
      </c>
      <c r="W227" s="5" t="n">
        <v>5</v>
      </c>
      <c r="X227" s="5" t="n">
        <v>21</v>
      </c>
      <c r="Y227" s="5" t="n"/>
      <c r="Z227" s="5" t="inlineStr"/>
      <c r="AA227" s="5" t="n">
        <v>4511.2</v>
      </c>
      <c r="AB227" s="5" t="n">
        <v>2234.1</v>
      </c>
      <c r="AC227" s="5" t="n">
        <v>4773.4</v>
      </c>
      <c r="AD227" s="5" t="n">
        <v>2240.6</v>
      </c>
      <c r="AE227" s="5" t="inlineStr"/>
      <c r="AF227" s="5">
        <f>IF(AE227="","",IF(OR(AE227=F227,AND(AE227="crane_footing",F227="isolated_footing")),"yes","no"))</f>
        <v/>
      </c>
    </row>
    <row r="228">
      <c r="A228" s="5" t="n">
        <v>227</v>
      </c>
      <c r="B228" s="5" t="inlineStr">
        <is>
          <t>122</t>
        </is>
      </c>
      <c r="C228" s="5" t="inlineStr">
        <is>
          <t>region between joints</t>
        </is>
      </c>
      <c r="D228" s="5" t="inlineStr">
        <is>
          <t>solid</t>
        </is>
      </c>
      <c r="E228" s="5" t="n">
        <v>30</v>
      </c>
      <c r="F228" s="5" t="inlineStr">
        <is>
          <t>retaining_wall</t>
        </is>
      </c>
      <c r="G228" s="5" t="inlineStr">
        <is>
          <t>Retaining wall ~VP20 11.70 × 0.20 m</t>
        </is>
      </c>
      <c r="H228" s="5" t="inlineStr">
        <is>
          <t>rule: unlabelled wall along the building edge or on a strip footing</t>
        </is>
      </c>
      <c r="I228" s="5" t="inlineStr">
        <is>
          <t>VP20</t>
        </is>
      </c>
      <c r="J228" s="5" t="inlineStr">
        <is>
          <t>inferred: the thickness of this retaining-wall type</t>
        </is>
      </c>
      <c r="K228" s="5" t="inlineStr"/>
      <c r="L228" s="5" t="n">
        <v>1170</v>
      </c>
      <c r="M228" s="5" t="n">
        <v>20</v>
      </c>
      <c r="N228" s="10">
        <f>IF(AND(ISNUMBER(L228),M228&gt;0),L228/M228,"")</f>
        <v/>
      </c>
      <c r="O228" s="5" t="n">
        <v>2.34</v>
      </c>
      <c r="P228" s="5" t="n">
        <v>90.09999999999999</v>
      </c>
      <c r="Q228" s="5" t="n">
        <v>3</v>
      </c>
      <c r="R228" s="5" t="n">
        <v>0</v>
      </c>
      <c r="S228" s="5" t="n">
        <v>0</v>
      </c>
      <c r="T228" s="5" t="n">
        <v>0</v>
      </c>
      <c r="U228" s="5" t="n">
        <v>1</v>
      </c>
      <c r="V228" s="5" t="n">
        <v>1</v>
      </c>
      <c r="W228" s="5" t="n">
        <v>4</v>
      </c>
      <c r="X228" s="5" t="n">
        <v>2</v>
      </c>
      <c r="Y228" s="5" t="n"/>
      <c r="Z228" s="5" t="inlineStr"/>
      <c r="AA228" s="5" t="n">
        <v>4767.3</v>
      </c>
      <c r="AB228" s="5" t="n">
        <v>2148.5</v>
      </c>
      <c r="AC228" s="5" t="n">
        <v>4773.5</v>
      </c>
      <c r="AD228" s="5" t="n">
        <v>2494</v>
      </c>
      <c r="AE228" s="5" t="inlineStr"/>
      <c r="AF228" s="5">
        <f>IF(AE228="","",IF(OR(AE228=F228,AND(AE228="crane_footing",F228="isolated_footing")),"yes","no"))</f>
        <v/>
      </c>
    </row>
    <row r="229">
      <c r="A229" s="5" t="n">
        <v>228</v>
      </c>
      <c r="B229" s="5" t="inlineStr">
        <is>
          <t>122</t>
        </is>
      </c>
      <c r="C229" s="5" t="inlineStr">
        <is>
          <t>region between joints</t>
        </is>
      </c>
      <c r="D229" s="5" t="inlineStr">
        <is>
          <t>solid</t>
        </is>
      </c>
      <c r="E229" s="5" t="n">
        <v>30</v>
      </c>
      <c r="F229" s="5" t="inlineStr">
        <is>
          <t>retaining_wall</t>
        </is>
      </c>
      <c r="G229" s="5" t="inlineStr">
        <is>
          <t>Retaining wall ~VP20 7.71 × 0.20 m</t>
        </is>
      </c>
      <c r="H229" s="5" t="inlineStr">
        <is>
          <t>rule: unlabelled wall along the building edge or on a strip footing</t>
        </is>
      </c>
      <c r="I229" s="5" t="inlineStr">
        <is>
          <t>VP20</t>
        </is>
      </c>
      <c r="J229" s="5" t="inlineStr">
        <is>
          <t>inferred: the thickness of this retaining-wall type</t>
        </is>
      </c>
      <c r="K229" s="5" t="inlineStr"/>
      <c r="L229" s="5" t="n">
        <v>771</v>
      </c>
      <c r="M229" s="5" t="n">
        <v>20</v>
      </c>
      <c r="N229" s="10">
        <f>IF(AND(ISNUMBER(L229),M229&gt;0),L229/M229,"")</f>
        <v/>
      </c>
      <c r="O229" s="5" t="n">
        <v>1.538</v>
      </c>
      <c r="P229" s="5" t="n">
        <v>179.9</v>
      </c>
      <c r="Q229" s="5" t="n">
        <v>2</v>
      </c>
      <c r="R229" s="5" t="n">
        <v>0</v>
      </c>
      <c r="S229" s="5" t="n">
        <v>0</v>
      </c>
      <c r="T229" s="5" t="n">
        <v>0</v>
      </c>
      <c r="U229" s="5" t="n">
        <v>1</v>
      </c>
      <c r="V229" s="5" t="n">
        <v>1</v>
      </c>
      <c r="W229" s="5" t="n">
        <v>13</v>
      </c>
      <c r="X229" s="5" t="n">
        <v>0</v>
      </c>
      <c r="Y229" s="5" t="n"/>
      <c r="Z229" s="5" t="inlineStr"/>
      <c r="AA229" s="5" t="n">
        <v>4773.2</v>
      </c>
      <c r="AB229" s="5" t="n">
        <v>2493.6</v>
      </c>
      <c r="AC229" s="5" t="n">
        <v>5000.9</v>
      </c>
      <c r="AD229" s="5" t="n">
        <v>2499.9</v>
      </c>
      <c r="AE229" s="5" t="inlineStr"/>
      <c r="AF229" s="5">
        <f>IF(AE229="","",IF(OR(AE229=F229,AND(AE229="crane_footing",F229="isolated_footing")),"yes","no"))</f>
        <v/>
      </c>
    </row>
    <row r="230">
      <c r="A230" s="5" t="n">
        <v>229</v>
      </c>
      <c r="B230" s="5" t="inlineStr">
        <is>
          <t>122</t>
        </is>
      </c>
      <c r="C230" s="5" t="inlineStr">
        <is>
          <t>region between joints</t>
        </is>
      </c>
      <c r="D230" s="5" t="inlineStr">
        <is>
          <t>solid</t>
        </is>
      </c>
      <c r="E230" s="5" t="n">
        <v>32</v>
      </c>
      <c r="F230" s="5" t="inlineStr">
        <is>
          <t>retaining_wall</t>
        </is>
      </c>
      <c r="G230" s="5" t="inlineStr">
        <is>
          <t>Retaining wall VP25 23.24 × 0.25 m</t>
        </is>
      </c>
      <c r="H230" s="5" t="inlineStr">
        <is>
          <t>label vote</t>
        </is>
      </c>
      <c r="I230" s="5" t="inlineStr">
        <is>
          <t>VP25</t>
        </is>
      </c>
      <c r="J230" s="5" t="inlineStr">
        <is>
          <t>printed label</t>
        </is>
      </c>
      <c r="K230" s="5" t="inlineStr">
        <is>
          <t>VP25/SF1- 80x25</t>
        </is>
      </c>
      <c r="L230" s="5" t="n">
        <v>2324</v>
      </c>
      <c r="M230" s="5" t="n">
        <v>25</v>
      </c>
      <c r="N230" s="10">
        <f>IF(AND(ISNUMBER(L230),M230&gt;0),L230/M230,"")</f>
        <v/>
      </c>
      <c r="O230" s="5" t="n">
        <v>5.81</v>
      </c>
      <c r="P230" s="5" t="n">
        <v>169.4</v>
      </c>
      <c r="Q230" s="5" t="n">
        <v>0</v>
      </c>
      <c r="R230" s="5" t="n">
        <v>0</v>
      </c>
      <c r="S230" s="5" t="n">
        <v>1</v>
      </c>
      <c r="T230" s="5" t="n">
        <v>0</v>
      </c>
      <c r="U230" s="5" t="n">
        <v>1</v>
      </c>
      <c r="V230" s="5" t="n">
        <v>0</v>
      </c>
      <c r="W230" s="5" t="n">
        <v>19</v>
      </c>
      <c r="X230" s="5" t="n">
        <v>6</v>
      </c>
      <c r="Y230" s="5" t="n"/>
      <c r="Z230" s="5" t="inlineStr"/>
      <c r="AA230" s="5" t="n">
        <v>3504</v>
      </c>
      <c r="AB230" s="5" t="n">
        <v>2731.7</v>
      </c>
      <c r="AC230" s="5" t="n">
        <v>4179.9</v>
      </c>
      <c r="AD230" s="5" t="n">
        <v>2865.1</v>
      </c>
      <c r="AE230" s="5" t="inlineStr">
        <is>
          <t>retaining_wall</t>
        </is>
      </c>
      <c r="AF230" s="5">
        <f>IF(AE230="","",IF(OR(AE230=F230,AND(AE230="crane_footing",F230="isolated_footing")),"yes","no"))</f>
        <v/>
      </c>
    </row>
    <row r="231">
      <c r="A231" s="5" t="n">
        <v>230</v>
      </c>
      <c r="B231" s="5" t="inlineStr">
        <is>
          <t>122</t>
        </is>
      </c>
      <c r="C231" s="5" t="inlineStr">
        <is>
          <t>region between joints</t>
        </is>
      </c>
      <c r="D231" s="5" t="inlineStr">
        <is>
          <t>solid</t>
        </is>
      </c>
      <c r="E231" s="5" t="n">
        <v>32</v>
      </c>
      <c r="F231" s="5" t="inlineStr">
        <is>
          <t>retaining_wall</t>
        </is>
      </c>
      <c r="G231" s="5" t="inlineStr">
        <is>
          <t>Retaining wall VP25 20.08 × 0.25 m</t>
        </is>
      </c>
      <c r="H231" s="5" t="inlineStr">
        <is>
          <t>label vote</t>
        </is>
      </c>
      <c r="I231" s="5" t="inlineStr">
        <is>
          <t>VP25</t>
        </is>
      </c>
      <c r="J231" s="5" t="inlineStr">
        <is>
          <t>printed label</t>
        </is>
      </c>
      <c r="K231" s="5" t="inlineStr">
        <is>
          <t>VP25/SF1-80x25</t>
        </is>
      </c>
      <c r="L231" s="5" t="n">
        <v>2008</v>
      </c>
      <c r="M231" s="5" t="n">
        <v>25</v>
      </c>
      <c r="N231" s="10">
        <f>IF(AND(ISNUMBER(L231),M231&gt;0),L231/M231,"")</f>
        <v/>
      </c>
      <c r="O231" s="5" t="n">
        <v>5.012</v>
      </c>
      <c r="P231" s="5" t="n">
        <v>90</v>
      </c>
      <c r="Q231" s="5" t="n">
        <v>0</v>
      </c>
      <c r="R231" s="5" t="n">
        <v>0</v>
      </c>
      <c r="S231" s="5" t="n">
        <v>1</v>
      </c>
      <c r="T231" s="5" t="n">
        <v>0</v>
      </c>
      <c r="U231" s="5" t="n">
        <v>1</v>
      </c>
      <c r="V231" s="5" t="n">
        <v>0</v>
      </c>
      <c r="W231" s="5" t="n">
        <v>14</v>
      </c>
      <c r="X231" s="5" t="n">
        <v>5</v>
      </c>
      <c r="Y231" s="5" t="n"/>
      <c r="Z231" s="5" t="inlineStr"/>
      <c r="AA231" s="5" t="n">
        <v>4158.1</v>
      </c>
      <c r="AB231" s="5" t="n">
        <v>2140</v>
      </c>
      <c r="AC231" s="5" t="n">
        <v>4165.9</v>
      </c>
      <c r="AD231" s="5" t="n">
        <v>2732.7</v>
      </c>
      <c r="AE231" s="5" t="inlineStr">
        <is>
          <t>retaining_wall</t>
        </is>
      </c>
      <c r="AF231" s="5">
        <f>IF(AE231="","",IF(OR(AE231=F231,AND(AE231="crane_footing",F231="isolated_footing")),"yes","no"))</f>
        <v/>
      </c>
    </row>
    <row r="232">
      <c r="A232" s="5" t="n">
        <v>231</v>
      </c>
      <c r="B232" s="5" t="inlineStr">
        <is>
          <t>122</t>
        </is>
      </c>
      <c r="C232" s="5" t="inlineStr">
        <is>
          <t>region between joints</t>
        </is>
      </c>
      <c r="D232" s="5" t="inlineStr">
        <is>
          <t>solid</t>
        </is>
      </c>
      <c r="E232" s="5" t="n">
        <v>30</v>
      </c>
      <c r="F232" s="5" t="inlineStr">
        <is>
          <t>retaining_wall</t>
        </is>
      </c>
      <c r="G232" s="5" t="inlineStr">
        <is>
          <t>Retaining wall ~VP25 15.26 × 0.25 m</t>
        </is>
      </c>
      <c r="H232" s="5" t="inlineStr">
        <is>
          <t>rule: unlabelled wall along the building edge or on a strip footing</t>
        </is>
      </c>
      <c r="I232" s="5" t="inlineStr">
        <is>
          <t>VP25</t>
        </is>
      </c>
      <c r="J232" s="5" t="inlineStr">
        <is>
          <t>inferred: the thickness of this retaining-wall type</t>
        </is>
      </c>
      <c r="K232" s="5" t="inlineStr"/>
      <c r="L232" s="5" t="n">
        <v>1526</v>
      </c>
      <c r="M232" s="5" t="n">
        <v>25</v>
      </c>
      <c r="N232" s="10">
        <f>IF(AND(ISNUMBER(L232),M232&gt;0),L232/M232,"")</f>
        <v/>
      </c>
      <c r="O232" s="5" t="n">
        <v>3.841</v>
      </c>
      <c r="P232" s="5" t="n">
        <v>90</v>
      </c>
      <c r="Q232" s="5" t="n">
        <v>3</v>
      </c>
      <c r="R232" s="5" t="n">
        <v>0</v>
      </c>
      <c r="S232" s="5" t="n">
        <v>0</v>
      </c>
      <c r="T232" s="5" t="n">
        <v>1</v>
      </c>
      <c r="U232" s="5" t="n">
        <v>1</v>
      </c>
      <c r="V232" s="5" t="n">
        <v>1</v>
      </c>
      <c r="W232" s="5" t="n">
        <v>1</v>
      </c>
      <c r="X232" s="5" t="n">
        <v>0</v>
      </c>
      <c r="Y232" s="5" t="n"/>
      <c r="Z232" s="5" t="inlineStr"/>
      <c r="AA232" s="5" t="n">
        <v>5014.1</v>
      </c>
      <c r="AB232" s="5" t="n">
        <v>2493.5</v>
      </c>
      <c r="AC232" s="5" t="n">
        <v>5021.9</v>
      </c>
      <c r="AD232" s="5" t="n">
        <v>2944.2</v>
      </c>
      <c r="AE232" s="5" t="inlineStr"/>
      <c r="AF232" s="5">
        <f>IF(AE232="","",IF(OR(AE232=F232,AND(AE232="crane_footing",F232="isolated_footing")),"yes","no"))</f>
        <v/>
      </c>
    </row>
    <row r="233">
      <c r="A233" s="5" t="n">
        <v>232</v>
      </c>
      <c r="B233" s="5" t="inlineStr">
        <is>
          <t>122</t>
        </is>
      </c>
      <c r="C233" s="5" t="inlineStr">
        <is>
          <t>region between joints</t>
        </is>
      </c>
      <c r="D233" s="5" t="inlineStr">
        <is>
          <t>solid</t>
        </is>
      </c>
      <c r="E233" s="5" t="n">
        <v>29</v>
      </c>
      <c r="F233" s="5" t="inlineStr">
        <is>
          <t>retaining_wall</t>
        </is>
      </c>
      <c r="G233" s="5" t="inlineStr">
        <is>
          <t>Retaining wall ~VP25 2.95 × 0.25 m</t>
        </is>
      </c>
      <c r="H233" s="5" t="inlineStr">
        <is>
          <t>rule: unlabelled wall along the building edge or on a strip footing</t>
        </is>
      </c>
      <c r="I233" s="5" t="inlineStr">
        <is>
          <t>VP25</t>
        </is>
      </c>
      <c r="J233" s="5" t="inlineStr">
        <is>
          <t>inferred: the thickness of this retaining-wall type</t>
        </is>
      </c>
      <c r="K233" s="5" t="inlineStr"/>
      <c r="L233" s="5" t="n">
        <v>295</v>
      </c>
      <c r="M233" s="5" t="n">
        <v>25</v>
      </c>
      <c r="N233" s="10">
        <f>IF(AND(ISNUMBER(L233),M233&gt;0),L233/M233,"")</f>
        <v/>
      </c>
      <c r="O233" s="5" t="n">
        <v>0.736</v>
      </c>
      <c r="P233" s="5" t="n">
        <v>89.90000000000001</v>
      </c>
      <c r="Q233" s="5" t="n">
        <v>2</v>
      </c>
      <c r="R233" s="5" t="n">
        <v>0</v>
      </c>
      <c r="S233" s="5" t="n">
        <v>0</v>
      </c>
      <c r="T233" s="5" t="n">
        <v>1</v>
      </c>
      <c r="U233" s="5" t="n">
        <v>1</v>
      </c>
      <c r="V233" s="5" t="n">
        <v>0</v>
      </c>
      <c r="W233" s="5" t="n">
        <v>0</v>
      </c>
      <c r="X233" s="5" t="n">
        <v>0</v>
      </c>
      <c r="Y233" s="5" t="n"/>
      <c r="Z233" s="5" t="inlineStr"/>
      <c r="AA233" s="5" t="n">
        <v>5014</v>
      </c>
      <c r="AB233" s="5" t="n">
        <v>2652.9</v>
      </c>
      <c r="AC233" s="5" t="n">
        <v>5021.6</v>
      </c>
      <c r="AD233" s="5" t="n">
        <v>2740</v>
      </c>
      <c r="AE233" s="5" t="inlineStr"/>
      <c r="AF233" s="5">
        <f>IF(AE233="","",IF(OR(AE233=F233,AND(AE233="crane_footing",F233="isolated_footing")),"yes","no"))</f>
        <v/>
      </c>
    </row>
    <row r="234">
      <c r="A234" s="5" t="n">
        <v>233</v>
      </c>
      <c r="B234" s="5" t="inlineStr">
        <is>
          <t>122</t>
        </is>
      </c>
      <c r="C234" s="5" t="inlineStr">
        <is>
          <t>region between joints</t>
        </is>
      </c>
      <c r="D234" s="5" t="inlineStr">
        <is>
          <t>solid</t>
        </is>
      </c>
      <c r="E234" s="5" t="n">
        <v>27</v>
      </c>
      <c r="F234" s="5" t="inlineStr">
        <is>
          <t>retaining_wall</t>
        </is>
      </c>
      <c r="G234" s="5" t="inlineStr">
        <is>
          <t>Retaining wall ~VP25 1.61 × 0.25 m</t>
        </is>
      </c>
      <c r="H234" s="5" t="inlineStr">
        <is>
          <t>rule: unlabelled wall along the building edge or on a strip footing</t>
        </is>
      </c>
      <c r="I234" s="5" t="inlineStr">
        <is>
          <t>VP25</t>
        </is>
      </c>
      <c r="J234" s="5" t="inlineStr">
        <is>
          <t>inferred: the thickness of this retaining-wall type</t>
        </is>
      </c>
      <c r="K234" s="5" t="inlineStr"/>
      <c r="L234" s="5" t="n">
        <v>161</v>
      </c>
      <c r="M234" s="5" t="n">
        <v>25</v>
      </c>
      <c r="N234" s="10">
        <f>IF(AND(ISNUMBER(L234),M234&gt;0),L234/M234,"")</f>
        <v/>
      </c>
      <c r="O234" s="5" t="n">
        <v>0.404</v>
      </c>
      <c r="P234" s="5" t="n">
        <v>179.9</v>
      </c>
      <c r="Q234" s="5" t="n">
        <v>1</v>
      </c>
      <c r="R234" s="5" t="n">
        <v>0</v>
      </c>
      <c r="S234" s="5" t="n">
        <v>0</v>
      </c>
      <c r="T234" s="5" t="n">
        <v>1</v>
      </c>
      <c r="U234" s="5" t="n">
        <v>1</v>
      </c>
      <c r="V234" s="5" t="n">
        <v>0</v>
      </c>
      <c r="W234" s="5" t="n">
        <v>1</v>
      </c>
      <c r="X234" s="5" t="n">
        <v>1</v>
      </c>
      <c r="Y234" s="5" t="n"/>
      <c r="Z234" s="5" t="inlineStr"/>
      <c r="AA234" s="5" t="n">
        <v>4774.2</v>
      </c>
      <c r="AB234" s="5" t="n">
        <v>2740.4</v>
      </c>
      <c r="AC234" s="5" t="n">
        <v>4821.8</v>
      </c>
      <c r="AD234" s="5" t="n">
        <v>2747.9</v>
      </c>
      <c r="AE234" s="5" t="inlineStr"/>
      <c r="AF234" s="5">
        <f>IF(AE234="","",IF(OR(AE234=F234,AND(AE234="crane_footing",F234="isolated_footing")),"yes","no"))</f>
        <v/>
      </c>
    </row>
    <row r="235">
      <c r="A235" s="5" t="n">
        <v>234</v>
      </c>
      <c r="B235" s="5" t="inlineStr">
        <is>
          <t>122</t>
        </is>
      </c>
      <c r="C235" s="5" t="inlineStr">
        <is>
          <t>region between joints</t>
        </is>
      </c>
      <c r="D235" s="5" t="inlineStr">
        <is>
          <t>outline</t>
        </is>
      </c>
      <c r="E235" s="5" t="n">
        <v>12</v>
      </c>
      <c r="F235" s="5" t="inlineStr">
        <is>
          <t>isolated_footing</t>
        </is>
      </c>
      <c r="G235" s="5" t="inlineStr">
        <is>
          <t>Isolated footing 3.50 × 3.00 m</t>
        </is>
      </c>
      <c r="H235" s="5" t="inlineStr">
        <is>
          <t>label vote</t>
        </is>
      </c>
      <c r="I235" s="5" t="inlineStr">
        <is>
          <t>(none)</t>
        </is>
      </c>
      <c r="J235" s="5" t="inlineStr">
        <is>
          <t>no isolated_footing type has this size</t>
        </is>
      </c>
      <c r="K235" s="5" t="inlineStr"/>
      <c r="L235" s="5" t="n">
        <v>350</v>
      </c>
      <c r="M235" s="5" t="n">
        <v>300</v>
      </c>
      <c r="N235" s="10">
        <f>IF(AND(ISNUMBER(L235),M235&gt;0),L235/M235,"")</f>
        <v/>
      </c>
      <c r="O235" s="5" t="n">
        <v>10.505</v>
      </c>
      <c r="P235" s="5" t="n">
        <v>89.90000000000001</v>
      </c>
      <c r="Q235" s="5" t="n">
        <v>3</v>
      </c>
      <c r="R235" s="5" t="n">
        <v>0</v>
      </c>
      <c r="S235" s="5" t="n">
        <v>0</v>
      </c>
      <c r="T235" s="5" t="n">
        <v>1</v>
      </c>
      <c r="U235" s="5" t="n">
        <v>0</v>
      </c>
      <c r="V235" s="5" t="n">
        <v>1</v>
      </c>
      <c r="W235" s="5" t="n">
        <v>57</v>
      </c>
      <c r="X235" s="5" t="n">
        <v>2</v>
      </c>
      <c r="Y235" s="5" t="n"/>
      <c r="Z235" s="5" t="inlineStr"/>
      <c r="AA235" s="5" t="n">
        <v>4725</v>
      </c>
      <c r="AB235" s="5" t="n">
        <v>2477.4</v>
      </c>
      <c r="AC235" s="5" t="n">
        <v>4813.7</v>
      </c>
      <c r="AD235" s="5" t="n">
        <v>2581</v>
      </c>
      <c r="AE235" s="5" t="inlineStr"/>
      <c r="AF235" s="5">
        <f>IF(AE235="","",IF(OR(AE235=F235,AND(AE235="crane_footing",F235="isolated_footing")),"yes","no"))</f>
        <v/>
      </c>
    </row>
    <row r="236">
      <c r="A236" s="5" t="n">
        <v>235</v>
      </c>
      <c r="B236" s="5" t="inlineStr">
        <is>
          <t>122</t>
        </is>
      </c>
      <c r="C236" s="5" t="inlineStr">
        <is>
          <t>own label</t>
        </is>
      </c>
      <c r="D236" s="5" t="inlineStr">
        <is>
          <t>outline</t>
        </is>
      </c>
      <c r="E236" s="5" t="n">
        <v>13</v>
      </c>
      <c r="F236" s="5" t="inlineStr">
        <is>
          <t>isolated_footing</t>
        </is>
      </c>
      <c r="G236" s="5" t="inlineStr">
        <is>
          <t>Isolated footing S10 4.50 × 3.00 m</t>
        </is>
      </c>
      <c r="H236" s="5" t="inlineStr">
        <is>
          <t>label vote</t>
        </is>
      </c>
      <c r="I236" s="5" t="inlineStr">
        <is>
          <t>S10</t>
        </is>
      </c>
      <c r="J236" s="5" t="inlineStr">
        <is>
          <t>printed label</t>
        </is>
      </c>
      <c r="K236" s="5" t="inlineStr">
        <is>
          <t>S10-122122</t>
        </is>
      </c>
      <c r="L236" s="5" t="n">
        <v>450</v>
      </c>
      <c r="M236" s="5" t="n">
        <v>300</v>
      </c>
      <c r="N236" s="10">
        <f>IF(AND(ISNUMBER(L236),M236&gt;0),L236/M236,"")</f>
        <v/>
      </c>
      <c r="O236" s="5" t="n">
        <v>13.503</v>
      </c>
      <c r="P236" s="5" t="n">
        <v>89.90000000000001</v>
      </c>
      <c r="Q236" s="5" t="n">
        <v>3</v>
      </c>
      <c r="R236" s="5" t="n">
        <v>0</v>
      </c>
      <c r="S236" s="5" t="n">
        <v>0</v>
      </c>
      <c r="T236" s="5" t="n">
        <v>0</v>
      </c>
      <c r="U236" s="5" t="n">
        <v>1</v>
      </c>
      <c r="V236" s="5" t="n">
        <v>1</v>
      </c>
      <c r="W236" s="5" t="n">
        <v>55</v>
      </c>
      <c r="X236" s="5" t="n">
        <v>6</v>
      </c>
      <c r="Y236" s="5" t="n"/>
      <c r="Z236" s="5" t="inlineStr"/>
      <c r="AA236" s="5" t="n">
        <v>4724.5</v>
      </c>
      <c r="AB236" s="5" t="n">
        <v>2231.2</v>
      </c>
      <c r="AC236" s="5" t="n">
        <v>4813.4</v>
      </c>
      <c r="AD236" s="5" t="n">
        <v>2364.2</v>
      </c>
      <c r="AE236" s="5" t="inlineStr">
        <is>
          <t>isolated_footing</t>
        </is>
      </c>
      <c r="AF236" s="5">
        <f>IF(AE236="","",IF(OR(AE236=F236,AND(AE236="crane_footing",F236="isolated_footing")),"yes","no"))</f>
        <v/>
      </c>
    </row>
    <row r="237">
      <c r="A237" s="5" t="n">
        <v>236</v>
      </c>
      <c r="B237" s="5" t="inlineStr">
        <is>
          <t>122</t>
        </is>
      </c>
      <c r="C237" s="5" t="inlineStr">
        <is>
          <t>own label</t>
        </is>
      </c>
      <c r="D237" s="5" t="inlineStr">
        <is>
          <t>outline</t>
        </is>
      </c>
      <c r="E237" s="5" t="n">
        <v>13</v>
      </c>
      <c r="F237" s="5" t="inlineStr">
        <is>
          <t>isolated_footing</t>
        </is>
      </c>
      <c r="G237" s="5" t="inlineStr">
        <is>
          <t>Isolated footing S10 4.50 × 3.00 m</t>
        </is>
      </c>
      <c r="H237" s="5" t="inlineStr">
        <is>
          <t>label vote</t>
        </is>
      </c>
      <c r="I237" s="5" t="inlineStr">
        <is>
          <t>S10</t>
        </is>
      </c>
      <c r="J237" s="5" t="inlineStr">
        <is>
          <t>printed label</t>
        </is>
      </c>
      <c r="K237" s="5" t="inlineStr">
        <is>
          <t>S10-122122</t>
        </is>
      </c>
      <c r="L237" s="5" t="n">
        <v>450</v>
      </c>
      <c r="M237" s="5" t="n">
        <v>300</v>
      </c>
      <c r="N237" s="10">
        <f>IF(AND(ISNUMBER(L237),M237&gt;0),L237/M237,"")</f>
        <v/>
      </c>
      <c r="O237" s="5" t="n">
        <v>13.503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1</v>
      </c>
      <c r="W237" s="5" t="n">
        <v>25</v>
      </c>
      <c r="X237" s="5" t="n">
        <v>2</v>
      </c>
      <c r="Y237" s="5" t="n"/>
      <c r="Z237" s="5" t="inlineStr"/>
      <c r="AA237" s="5" t="n">
        <v>4481.4</v>
      </c>
      <c r="AB237" s="5" t="n">
        <v>2571.2</v>
      </c>
      <c r="AC237" s="5" t="n">
        <v>4614.3</v>
      </c>
      <c r="AD237" s="5" t="n">
        <v>2659.9</v>
      </c>
      <c r="AE237" s="5" t="inlineStr">
        <is>
          <t>isolated_footing</t>
        </is>
      </c>
      <c r="AF237" s="5">
        <f>IF(AE237="","",IF(OR(AE237=F237,AND(AE237="crane_footing",F237="isolated_footing")),"yes","no"))</f>
        <v/>
      </c>
    </row>
    <row r="238">
      <c r="A238" s="5" t="n">
        <v>237</v>
      </c>
      <c r="B238" s="5" t="inlineStr">
        <is>
          <t>122</t>
        </is>
      </c>
      <c r="C238" s="5" t="inlineStr">
        <is>
          <t>own label</t>
        </is>
      </c>
      <c r="D238" s="5" t="inlineStr">
        <is>
          <t>outline</t>
        </is>
      </c>
      <c r="E238" s="5" t="n">
        <v>13</v>
      </c>
      <c r="F238" s="5" t="inlineStr">
        <is>
          <t>isolated_footing</t>
        </is>
      </c>
      <c r="G238" s="5" t="inlineStr">
        <is>
          <t>Isolated footing S10 4.50 × 3.00 m</t>
        </is>
      </c>
      <c r="H238" s="5" t="inlineStr">
        <is>
          <t>label vote</t>
        </is>
      </c>
      <c r="I238" s="5" t="inlineStr">
        <is>
          <t>S10</t>
        </is>
      </c>
      <c r="J238" s="5" t="inlineStr">
        <is>
          <t>printed label</t>
        </is>
      </c>
      <c r="K238" s="5" t="inlineStr">
        <is>
          <t>S10-122122</t>
        </is>
      </c>
      <c r="L238" s="5" t="n">
        <v>450</v>
      </c>
      <c r="M238" s="5" t="n">
        <v>300</v>
      </c>
      <c r="N238" s="10">
        <f>IF(AND(ISNUMBER(L238),M238&gt;0),L238/M238,"")</f>
        <v/>
      </c>
      <c r="O238" s="5" t="n">
        <v>13.498</v>
      </c>
      <c r="P238" s="5" t="n">
        <v>0.1</v>
      </c>
      <c r="Q238" s="5" t="n">
        <v>1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1</v>
      </c>
      <c r="W238" s="5" t="n">
        <v>39</v>
      </c>
      <c r="X238" s="5" t="n">
        <v>2</v>
      </c>
      <c r="Y238" s="5" t="n"/>
      <c r="Z238" s="5" t="inlineStr"/>
      <c r="AA238" s="5" t="n">
        <v>4482.6</v>
      </c>
      <c r="AB238" s="5" t="n">
        <v>2454.5</v>
      </c>
      <c r="AC238" s="5" t="n">
        <v>4615.5</v>
      </c>
      <c r="AD238" s="5" t="n">
        <v>2543.2</v>
      </c>
      <c r="AE238" s="5" t="inlineStr">
        <is>
          <t>isolated_footing</t>
        </is>
      </c>
      <c r="AF238" s="5">
        <f>IF(AE238="","",IF(OR(AE238=F238,AND(AE238="crane_footing",F238="isolated_footing")),"yes","no"))</f>
        <v/>
      </c>
    </row>
    <row r="239">
      <c r="A239" s="5" t="n">
        <v>238</v>
      </c>
      <c r="B239" s="5" t="inlineStr">
        <is>
          <t>122</t>
        </is>
      </c>
      <c r="C239" s="5" t="inlineStr">
        <is>
          <t>own label</t>
        </is>
      </c>
      <c r="D239" s="5" t="inlineStr">
        <is>
          <t>outline</t>
        </is>
      </c>
      <c r="E239" s="5" t="n">
        <v>13</v>
      </c>
      <c r="F239" s="5" t="inlineStr">
        <is>
          <t>isolated_footing</t>
        </is>
      </c>
      <c r="G239" s="5" t="inlineStr">
        <is>
          <t>Isolated footing S10 4.50 × 3.00 m</t>
        </is>
      </c>
      <c r="H239" s="5" t="inlineStr">
        <is>
          <t>label vote</t>
        </is>
      </c>
      <c r="I239" s="5" t="inlineStr">
        <is>
          <t>S10</t>
        </is>
      </c>
      <c r="J239" s="5" t="inlineStr">
        <is>
          <t>printed label</t>
        </is>
      </c>
      <c r="K239" s="5" t="inlineStr">
        <is>
          <t>S10-122122</t>
        </is>
      </c>
      <c r="L239" s="5" t="n">
        <v>450</v>
      </c>
      <c r="M239" s="5" t="n">
        <v>300</v>
      </c>
      <c r="N239" s="10">
        <f>IF(AND(ISNUMBER(L239),M239&gt;0),L239/M239,"")</f>
        <v/>
      </c>
      <c r="O239" s="5" t="n">
        <v>13.498</v>
      </c>
      <c r="P239" s="5" t="n">
        <v>0.1</v>
      </c>
      <c r="Q239" s="5" t="n">
        <v>3</v>
      </c>
      <c r="R239" s="5" t="n">
        <v>0</v>
      </c>
      <c r="S239" s="5" t="n">
        <v>0</v>
      </c>
      <c r="T239" s="5" t="n">
        <v>0</v>
      </c>
      <c r="U239" s="5" t="n">
        <v>1</v>
      </c>
      <c r="V239" s="5" t="n">
        <v>1</v>
      </c>
      <c r="W239" s="5" t="n">
        <v>61</v>
      </c>
      <c r="X239" s="5" t="n">
        <v>0</v>
      </c>
      <c r="Y239" s="5" t="n"/>
      <c r="Z239" s="5" t="inlineStr"/>
      <c r="AA239" s="5" t="n">
        <v>4903.9</v>
      </c>
      <c r="AB239" s="5" t="n">
        <v>2453.7</v>
      </c>
      <c r="AC239" s="5" t="n">
        <v>5036.9</v>
      </c>
      <c r="AD239" s="5" t="n">
        <v>2542.4</v>
      </c>
      <c r="AE239" s="5" t="inlineStr">
        <is>
          <t>isolated_footing</t>
        </is>
      </c>
      <c r="AF239" s="5">
        <f>IF(AE239="","",IF(OR(AE239=F239,AND(AE239="crane_footing",F239="isolated_footing")),"yes","no"))</f>
        <v/>
      </c>
    </row>
    <row r="240">
      <c r="A240" s="5" t="n">
        <v>239</v>
      </c>
      <c r="B240" s="5" t="inlineStr">
        <is>
          <t>122</t>
        </is>
      </c>
      <c r="C240" s="5" t="inlineStr">
        <is>
          <t>own label</t>
        </is>
      </c>
      <c r="D240" s="5" t="inlineStr">
        <is>
          <t>outline</t>
        </is>
      </c>
      <c r="E240" s="5" t="n">
        <v>13</v>
      </c>
      <c r="F240" s="5" t="inlineStr">
        <is>
          <t>isolated_footing</t>
        </is>
      </c>
      <c r="G240" s="5" t="inlineStr">
        <is>
          <t>Isolated footing S11 5.00 × 4.00 m</t>
        </is>
      </c>
      <c r="H240" s="5" t="inlineStr">
        <is>
          <t>label vote</t>
        </is>
      </c>
      <c r="I240" s="5" t="inlineStr">
        <is>
          <t>S11</t>
        </is>
      </c>
      <c r="J240" s="5" t="inlineStr">
        <is>
          <t>printed label</t>
        </is>
      </c>
      <c r="K240" s="5" t="inlineStr">
        <is>
          <t>S11-122122</t>
        </is>
      </c>
      <c r="L240" s="5" t="n">
        <v>500</v>
      </c>
      <c r="M240" s="5" t="n">
        <v>400</v>
      </c>
      <c r="N240" s="10">
        <f>IF(AND(ISNUMBER(L240),M240&gt;0),L240/M240,"")</f>
        <v/>
      </c>
      <c r="O240" s="5" t="n">
        <v>20.003</v>
      </c>
      <c r="P240" s="5" t="n">
        <v>0</v>
      </c>
      <c r="Q240" s="5" t="n">
        <v>1</v>
      </c>
      <c r="R240" s="5" t="n">
        <v>0</v>
      </c>
      <c r="S240" s="5" t="n">
        <v>0</v>
      </c>
      <c r="T240" s="5" t="n">
        <v>0</v>
      </c>
      <c r="U240" s="5" t="n">
        <v>0</v>
      </c>
      <c r="V240" s="5" t="n">
        <v>1</v>
      </c>
      <c r="W240" s="5" t="n">
        <v>50</v>
      </c>
      <c r="X240" s="5" t="n">
        <v>2</v>
      </c>
      <c r="Y240" s="5" t="n"/>
      <c r="Z240" s="5" t="inlineStr"/>
      <c r="AA240" s="5" t="n">
        <v>4482.2</v>
      </c>
      <c r="AB240" s="5" t="n">
        <v>2270</v>
      </c>
      <c r="AC240" s="5" t="n">
        <v>4629.9</v>
      </c>
      <c r="AD240" s="5" t="n">
        <v>2388.2</v>
      </c>
      <c r="AE240" s="5" t="inlineStr">
        <is>
          <t>isolated_footing</t>
        </is>
      </c>
      <c r="AF240" s="5">
        <f>IF(AE240="","",IF(OR(AE240=F240,AND(AE240="crane_footing",F240="isolated_footing")),"yes","no"))</f>
        <v/>
      </c>
    </row>
    <row r="241">
      <c r="A241" s="5" t="n">
        <v>240</v>
      </c>
      <c r="B241" s="5" t="inlineStr">
        <is>
          <t>122</t>
        </is>
      </c>
      <c r="C241" s="5" t="inlineStr">
        <is>
          <t>own label</t>
        </is>
      </c>
      <c r="D241" s="5" t="inlineStr">
        <is>
          <t>outline</t>
        </is>
      </c>
      <c r="E241" s="5" t="n">
        <v>13</v>
      </c>
      <c r="F241" s="5" t="inlineStr">
        <is>
          <t>isolated_footing</t>
        </is>
      </c>
      <c r="G241" s="5" t="inlineStr">
        <is>
          <t>Isolated footing S11 5.00 × 4.00 m</t>
        </is>
      </c>
      <c r="H241" s="5" t="inlineStr">
        <is>
          <t>label vote</t>
        </is>
      </c>
      <c r="I241" s="5" t="inlineStr">
        <is>
          <t>S11</t>
        </is>
      </c>
      <c r="J241" s="5" t="inlineStr">
        <is>
          <t>printed label</t>
        </is>
      </c>
      <c r="K241" s="5" t="inlineStr">
        <is>
          <t>S11-122122</t>
        </is>
      </c>
      <c r="L241" s="5" t="n">
        <v>500</v>
      </c>
      <c r="M241" s="5" t="n">
        <v>400</v>
      </c>
      <c r="N241" s="10">
        <f>IF(AND(ISNUMBER(L241),M241&gt;0),L241/M241,"")</f>
        <v/>
      </c>
      <c r="O241" s="5" t="n">
        <v>20.003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1</v>
      </c>
      <c r="W241" s="5" t="n">
        <v>82</v>
      </c>
      <c r="X241" s="5" t="n">
        <v>4</v>
      </c>
      <c r="Y241" s="5" t="n"/>
      <c r="Z241" s="5" t="inlineStr"/>
      <c r="AA241" s="5" t="n">
        <v>4481.7</v>
      </c>
      <c r="AB241" s="5" t="n">
        <v>2757.2</v>
      </c>
      <c r="AC241" s="5" t="n">
        <v>4629.5</v>
      </c>
      <c r="AD241" s="5" t="n">
        <v>2875.4</v>
      </c>
      <c r="AE241" s="5" t="inlineStr">
        <is>
          <t>isolated_footing</t>
        </is>
      </c>
      <c r="AF241" s="5">
        <f>IF(AE241="","",IF(OR(AE241=F241,AND(AE241="crane_footing",F241="isolated_footing")),"yes","no"))</f>
        <v/>
      </c>
    </row>
    <row r="242">
      <c r="A242" s="5" t="n">
        <v>241</v>
      </c>
      <c r="B242" s="5" t="inlineStr">
        <is>
          <t>122</t>
        </is>
      </c>
      <c r="C242" s="5" t="inlineStr">
        <is>
          <t>own label</t>
        </is>
      </c>
      <c r="D242" s="5" t="inlineStr">
        <is>
          <t>outline</t>
        </is>
      </c>
      <c r="E242" s="5" t="n">
        <v>12</v>
      </c>
      <c r="F242" s="5" t="inlineStr">
        <is>
          <t>isolated_footing</t>
        </is>
      </c>
      <c r="G242" s="5" t="inlineStr">
        <is>
          <t>Isolated footing S12 2.50 × 2.50 m</t>
        </is>
      </c>
      <c r="H242" s="5" t="inlineStr">
        <is>
          <t>label vote</t>
        </is>
      </c>
      <c r="I242" s="5" t="inlineStr">
        <is>
          <t>S12</t>
        </is>
      </c>
      <c r="J242" s="5" t="inlineStr">
        <is>
          <t>printed label</t>
        </is>
      </c>
      <c r="K242" s="5" t="inlineStr">
        <is>
          <t>S12-122122</t>
        </is>
      </c>
      <c r="L242" s="5" t="n">
        <v>250</v>
      </c>
      <c r="M242" s="5" t="n">
        <v>250</v>
      </c>
      <c r="N242" s="10">
        <f>IF(AND(ISNUMBER(L242),M242&gt;0),L242/M242,"")</f>
        <v/>
      </c>
      <c r="O242" s="5" t="n">
        <v>6.25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  <c r="U242" s="5" t="n">
        <v>0</v>
      </c>
      <c r="V242" s="5" t="n">
        <v>1</v>
      </c>
      <c r="W242" s="5" t="n">
        <v>2</v>
      </c>
      <c r="X242" s="5" t="n">
        <v>2</v>
      </c>
      <c r="Y242" s="5" t="n"/>
      <c r="Z242" s="5" t="inlineStr"/>
      <c r="AA242" s="5" t="n">
        <v>4560.1</v>
      </c>
      <c r="AB242" s="5" t="n">
        <v>2664.9</v>
      </c>
      <c r="AC242" s="5" t="n">
        <v>4633.9</v>
      </c>
      <c r="AD242" s="5" t="n">
        <v>2738.7</v>
      </c>
      <c r="AE242" s="5" t="inlineStr">
        <is>
          <t>isolated_footing</t>
        </is>
      </c>
      <c r="AF242" s="5">
        <f>IF(AE242="","",IF(OR(AE242=F242,AND(AE242="crane_footing",F242="isolated_footing")),"yes","no"))</f>
        <v/>
      </c>
    </row>
    <row r="243">
      <c r="A243" s="5" t="n">
        <v>242</v>
      </c>
      <c r="B243" s="5" t="inlineStr">
        <is>
          <t>122</t>
        </is>
      </c>
      <c r="C243" s="5" t="inlineStr">
        <is>
          <t>own label</t>
        </is>
      </c>
      <c r="D243" s="5" t="inlineStr">
        <is>
          <t>outline</t>
        </is>
      </c>
      <c r="E243" s="5" t="n">
        <v>12</v>
      </c>
      <c r="F243" s="5" t="inlineStr">
        <is>
          <t>isolated_footing</t>
        </is>
      </c>
      <c r="G243" s="5" t="inlineStr">
        <is>
          <t>Isolated footing S12 2.50 × 2.50 m</t>
        </is>
      </c>
      <c r="H243" s="5" t="inlineStr">
        <is>
          <t>label vote</t>
        </is>
      </c>
      <c r="I243" s="5" t="inlineStr">
        <is>
          <t>S12</t>
        </is>
      </c>
      <c r="J243" s="5" t="inlineStr">
        <is>
          <t>printed label</t>
        </is>
      </c>
      <c r="K243" s="5" t="inlineStr">
        <is>
          <t>S12-122122</t>
        </is>
      </c>
      <c r="L243" s="5" t="n">
        <v>250</v>
      </c>
      <c r="M243" s="5" t="n">
        <v>250</v>
      </c>
      <c r="N243" s="10">
        <f>IF(AND(ISNUMBER(L243),M243&gt;0),L243/M243,"")</f>
        <v/>
      </c>
      <c r="O243" s="5" t="n">
        <v>6.25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1</v>
      </c>
      <c r="W243" s="5" t="n">
        <v>5</v>
      </c>
      <c r="X243" s="5" t="n">
        <v>4</v>
      </c>
      <c r="Y243" s="5" t="n"/>
      <c r="Z243" s="5" t="inlineStr"/>
      <c r="AA243" s="5" t="n">
        <v>4269.1</v>
      </c>
      <c r="AB243" s="5" t="n">
        <v>2850.5</v>
      </c>
      <c r="AC243" s="5" t="n">
        <v>4342.9</v>
      </c>
      <c r="AD243" s="5" t="n">
        <v>2924.4</v>
      </c>
      <c r="AE243" s="5" t="inlineStr">
        <is>
          <t>isolated_footing</t>
        </is>
      </c>
      <c r="AF243" s="5">
        <f>IF(AE243="","",IF(OR(AE243=F243,AND(AE243="crane_footing",F243="isolated_footing")),"yes","no"))</f>
        <v/>
      </c>
    </row>
    <row r="244">
      <c r="A244" s="5" t="n">
        <v>243</v>
      </c>
      <c r="B244" s="5" t="inlineStr">
        <is>
          <t>122</t>
        </is>
      </c>
      <c r="C244" s="5" t="inlineStr">
        <is>
          <t>own label</t>
        </is>
      </c>
      <c r="D244" s="5" t="inlineStr">
        <is>
          <t>outline</t>
        </is>
      </c>
      <c r="E244" s="5" t="n">
        <v>12</v>
      </c>
      <c r="F244" s="5" t="inlineStr">
        <is>
          <t>isolated_footing</t>
        </is>
      </c>
      <c r="G244" s="5" t="inlineStr">
        <is>
          <t>Isolated footing S2 3.50 × 2.00 m</t>
        </is>
      </c>
      <c r="H244" s="5" t="inlineStr">
        <is>
          <t>label vote</t>
        </is>
      </c>
      <c r="I244" s="5" t="inlineStr">
        <is>
          <t>S2</t>
        </is>
      </c>
      <c r="J244" s="5" t="inlineStr">
        <is>
          <t>printed label</t>
        </is>
      </c>
      <c r="K244" s="5" t="inlineStr">
        <is>
          <t>S2-122122</t>
        </is>
      </c>
      <c r="L244" s="5" t="n">
        <v>350</v>
      </c>
      <c r="M244" s="5" t="n">
        <v>200</v>
      </c>
      <c r="N244" s="10">
        <f>IF(AND(ISNUMBER(L244),M244&gt;0),L244/M244,"")</f>
        <v/>
      </c>
      <c r="O244" s="5" t="n">
        <v>7.004</v>
      </c>
      <c r="P244" s="5" t="n">
        <v>79.3</v>
      </c>
      <c r="Q244" s="5" t="n">
        <v>3</v>
      </c>
      <c r="R244" s="5" t="n">
        <v>0</v>
      </c>
      <c r="S244" s="5" t="n">
        <v>0</v>
      </c>
      <c r="T244" s="5" t="n">
        <v>0</v>
      </c>
      <c r="U244" s="5" t="n">
        <v>0</v>
      </c>
      <c r="V244" s="5" t="n">
        <v>1</v>
      </c>
      <c r="W244" s="5" t="n">
        <v>6</v>
      </c>
      <c r="X244" s="5" t="n">
        <v>2</v>
      </c>
      <c r="Y244" s="5" t="n"/>
      <c r="Z244" s="5" t="inlineStr"/>
      <c r="AA244" s="5" t="n">
        <v>4150.1</v>
      </c>
      <c r="AB244" s="5" t="n">
        <v>2689.5</v>
      </c>
      <c r="AC244" s="5" t="n">
        <v>4227.3</v>
      </c>
      <c r="AD244" s="5" t="n">
        <v>2802</v>
      </c>
      <c r="AE244" s="5" t="inlineStr">
        <is>
          <t>isolated_footing</t>
        </is>
      </c>
      <c r="AF244" s="5">
        <f>IF(AE244="","",IF(OR(AE244=F244,AND(AE244="crane_footing",F244="isolated_footing")),"yes","no"))</f>
        <v/>
      </c>
    </row>
    <row r="245">
      <c r="A245" s="5" t="n">
        <v>244</v>
      </c>
      <c r="B245" s="5" t="inlineStr">
        <is>
          <t>122</t>
        </is>
      </c>
      <c r="C245" s="5" t="inlineStr">
        <is>
          <t>own label</t>
        </is>
      </c>
      <c r="D245" s="5" t="inlineStr">
        <is>
          <t>outline</t>
        </is>
      </c>
      <c r="E245" s="5" t="n">
        <v>12</v>
      </c>
      <c r="F245" s="5" t="inlineStr">
        <is>
          <t>isolated_footing</t>
        </is>
      </c>
      <c r="G245" s="5" t="inlineStr">
        <is>
          <t>Isolated footing S2 3.50 × 2.00 m</t>
        </is>
      </c>
      <c r="H245" s="5" t="inlineStr">
        <is>
          <t>label vote</t>
        </is>
      </c>
      <c r="I245" s="5" t="inlineStr">
        <is>
          <t>S2</t>
        </is>
      </c>
      <c r="J245" s="5" t="inlineStr">
        <is>
          <t>printed label</t>
        </is>
      </c>
      <c r="K245" s="5" t="inlineStr">
        <is>
          <t>S2-122122</t>
        </is>
      </c>
      <c r="L245" s="5" t="n">
        <v>350</v>
      </c>
      <c r="M245" s="5" t="n">
        <v>200</v>
      </c>
      <c r="N245" s="10">
        <f>IF(AND(ISNUMBER(L245),M245&gt;0),L245/M245,"")</f>
        <v/>
      </c>
      <c r="O245" s="5" t="n">
        <v>7.001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1</v>
      </c>
      <c r="W245" s="5" t="n">
        <v>51</v>
      </c>
      <c r="X245" s="5" t="n">
        <v>3</v>
      </c>
      <c r="Y245" s="5" t="n"/>
      <c r="Z245" s="5" t="inlineStr"/>
      <c r="AA245" s="5" t="n">
        <v>4270.1</v>
      </c>
      <c r="AB245" s="5" t="n">
        <v>2460.5</v>
      </c>
      <c r="AC245" s="5" t="n">
        <v>4373.5</v>
      </c>
      <c r="AD245" s="5" t="n">
        <v>2519.7</v>
      </c>
      <c r="AE245" s="5" t="inlineStr">
        <is>
          <t>isolated_footing</t>
        </is>
      </c>
      <c r="AF245" s="5">
        <f>IF(AE245="","",IF(OR(AE245=F245,AND(AE245="crane_footing",F245="isolated_footing")),"yes","no"))</f>
        <v/>
      </c>
    </row>
    <row r="246">
      <c r="A246" s="5" t="n">
        <v>245</v>
      </c>
      <c r="B246" s="5" t="inlineStr">
        <is>
          <t>122</t>
        </is>
      </c>
      <c r="C246" s="5" t="inlineStr">
        <is>
          <t>own label</t>
        </is>
      </c>
      <c r="D246" s="5" t="inlineStr">
        <is>
          <t>outline</t>
        </is>
      </c>
      <c r="E246" s="5" t="n">
        <v>12</v>
      </c>
      <c r="F246" s="5" t="inlineStr">
        <is>
          <t>isolated_footing</t>
        </is>
      </c>
      <c r="G246" s="5" t="inlineStr">
        <is>
          <t>Isolated footing S2 3.50 × 2.00 m</t>
        </is>
      </c>
      <c r="H246" s="5" t="inlineStr">
        <is>
          <t>label vote</t>
        </is>
      </c>
      <c r="I246" s="5" t="inlineStr">
        <is>
          <t>S2</t>
        </is>
      </c>
      <c r="J246" s="5" t="inlineStr">
        <is>
          <t>printed label</t>
        </is>
      </c>
      <c r="K246" s="5" t="inlineStr">
        <is>
          <t>S2-122122</t>
        </is>
      </c>
      <c r="L246" s="5" t="n">
        <v>350</v>
      </c>
      <c r="M246" s="5" t="n">
        <v>200</v>
      </c>
      <c r="N246" s="10">
        <f>IF(AND(ISNUMBER(L246),M246&gt;0),L246/M246,"")</f>
        <v/>
      </c>
      <c r="O246" s="5" t="n">
        <v>7.001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  <c r="U246" s="5" t="n">
        <v>0</v>
      </c>
      <c r="V246" s="5" t="n">
        <v>1</v>
      </c>
      <c r="W246" s="5" t="n">
        <v>35</v>
      </c>
      <c r="X246" s="5" t="n">
        <v>4</v>
      </c>
      <c r="Y246" s="5" t="n"/>
      <c r="Z246" s="5" t="inlineStr"/>
      <c r="AA246" s="5" t="n">
        <v>4269.9</v>
      </c>
      <c r="AB246" s="5" t="n">
        <v>2690.4</v>
      </c>
      <c r="AC246" s="5" t="n">
        <v>4373.3</v>
      </c>
      <c r="AD246" s="5" t="n">
        <v>2749.5</v>
      </c>
      <c r="AE246" s="5" t="inlineStr">
        <is>
          <t>isolated_footing</t>
        </is>
      </c>
      <c r="AF246" s="5">
        <f>IF(AE246="","",IF(OR(AE246=F246,AND(AE246="crane_footing",F246="isolated_footing")),"yes","no"))</f>
        <v/>
      </c>
    </row>
    <row r="247">
      <c r="A247" s="5" t="n">
        <v>246</v>
      </c>
      <c r="B247" s="5" t="inlineStr">
        <is>
          <t>122</t>
        </is>
      </c>
      <c r="C247" s="5" t="inlineStr">
        <is>
          <t>own label</t>
        </is>
      </c>
      <c r="D247" s="5" t="inlineStr">
        <is>
          <t>outline</t>
        </is>
      </c>
      <c r="E247" s="5" t="n">
        <v>12</v>
      </c>
      <c r="F247" s="5" t="inlineStr">
        <is>
          <t>isolated_footing</t>
        </is>
      </c>
      <c r="G247" s="5" t="inlineStr">
        <is>
          <t>Isolated footing S2 3.50 × 2.00 m</t>
        </is>
      </c>
      <c r="H247" s="5" t="inlineStr">
        <is>
          <t>label vote</t>
        </is>
      </c>
      <c r="I247" s="5" t="inlineStr">
        <is>
          <t>S2</t>
        </is>
      </c>
      <c r="J247" s="5" t="inlineStr">
        <is>
          <t>printed label</t>
        </is>
      </c>
      <c r="K247" s="5" t="inlineStr">
        <is>
          <t>S2-122122</t>
        </is>
      </c>
      <c r="L247" s="5" t="n">
        <v>350</v>
      </c>
      <c r="M247" s="5" t="n">
        <v>200</v>
      </c>
      <c r="N247" s="10">
        <f>IF(AND(ISNUMBER(L247),M247&gt;0),L247/M247,"")</f>
        <v/>
      </c>
      <c r="O247" s="5" t="n">
        <v>7.001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1</v>
      </c>
      <c r="W247" s="5" t="n">
        <v>50</v>
      </c>
      <c r="X247" s="5" t="n">
        <v>2</v>
      </c>
      <c r="Y247" s="5" t="n"/>
      <c r="Z247" s="5" t="inlineStr"/>
      <c r="AA247" s="5" t="n">
        <v>4270.4</v>
      </c>
      <c r="AB247" s="5" t="n">
        <v>2230.2</v>
      </c>
      <c r="AC247" s="5" t="n">
        <v>4373.7</v>
      </c>
      <c r="AD247" s="5" t="n">
        <v>2289.4</v>
      </c>
      <c r="AE247" s="5" t="inlineStr">
        <is>
          <t>isolated_footing</t>
        </is>
      </c>
      <c r="AF247" s="5">
        <f>IF(AE247="","",IF(OR(AE247=F247,AND(AE247="crane_footing",F247="isolated_footing")),"yes","no"))</f>
        <v/>
      </c>
    </row>
    <row r="248">
      <c r="A248" s="5" t="n">
        <v>247</v>
      </c>
      <c r="B248" s="5" t="inlineStr">
        <is>
          <t>122</t>
        </is>
      </c>
      <c r="C248" s="5" t="inlineStr">
        <is>
          <t>region between joints</t>
        </is>
      </c>
      <c r="D248" s="5" t="inlineStr">
        <is>
          <t>outline</t>
        </is>
      </c>
      <c r="E248" s="5" t="n">
        <v>15</v>
      </c>
      <c r="F248" s="5" t="inlineStr">
        <is>
          <t>combined_footing</t>
        </is>
      </c>
      <c r="G248" s="5" t="inlineStr">
        <is>
          <t>Combined footing SC2 3.50 × 2.00 m</t>
        </is>
      </c>
      <c r="H248" s="5" t="inlineStr">
        <is>
          <t>label vote</t>
        </is>
      </c>
      <c r="I248" s="5" t="inlineStr">
        <is>
          <t>SC2</t>
        </is>
      </c>
      <c r="J248" s="5" t="inlineStr">
        <is>
          <t>printed label</t>
        </is>
      </c>
      <c r="K248" s="5" t="inlineStr">
        <is>
          <t>SC2-</t>
        </is>
      </c>
      <c r="L248" s="5" t="n">
        <v>350</v>
      </c>
      <c r="M248" s="5" t="n">
        <v>200</v>
      </c>
      <c r="N248" s="10">
        <f>IF(AND(ISNUMBER(L248),M248&gt;0),L248/M248,"")</f>
        <v/>
      </c>
      <c r="O248" s="5" t="n">
        <v>7</v>
      </c>
      <c r="P248" s="5" t="n">
        <v>79.3</v>
      </c>
      <c r="Q248" s="5" t="n">
        <v>2</v>
      </c>
      <c r="R248" s="5" t="n">
        <v>0</v>
      </c>
      <c r="S248" s="5" t="n">
        <v>0</v>
      </c>
      <c r="T248" s="5" t="n">
        <v>0</v>
      </c>
      <c r="U248" s="5" t="n">
        <v>0</v>
      </c>
      <c r="V248" s="5" t="n">
        <v>2</v>
      </c>
      <c r="W248" s="5" t="n">
        <v>24</v>
      </c>
      <c r="X248" s="5" t="n">
        <v>3</v>
      </c>
      <c r="Y248" s="5" t="n"/>
      <c r="Z248" s="5" t="inlineStr"/>
      <c r="AA248" s="5" t="n">
        <v>4170.1</v>
      </c>
      <c r="AB248" s="5" t="n">
        <v>2835.2</v>
      </c>
      <c r="AC248" s="5" t="n">
        <v>4247.2</v>
      </c>
      <c r="AD248" s="5" t="n">
        <v>2947.7</v>
      </c>
      <c r="AE248" s="5" t="inlineStr">
        <is>
          <t>combined_footing</t>
        </is>
      </c>
      <c r="AF248" s="5">
        <f>IF(AE248="","",IF(OR(AE248=F248,AND(AE248="crane_footing",F248="isolated_footing")),"yes","no"))</f>
        <v/>
      </c>
    </row>
    <row r="249">
      <c r="A249" s="5" t="n">
        <v>248</v>
      </c>
      <c r="B249" s="5" t="inlineStr">
        <is>
          <t>122</t>
        </is>
      </c>
      <c r="C249" s="5" t="inlineStr">
        <is>
          <t>nearest labels</t>
        </is>
      </c>
      <c r="D249" s="5" t="inlineStr">
        <is>
          <t>outline</t>
        </is>
      </c>
      <c r="E249" s="5" t="n">
        <v>14</v>
      </c>
      <c r="F249" s="5" t="inlineStr">
        <is>
          <t>combined_footing</t>
        </is>
      </c>
      <c r="G249" s="5" t="inlineStr">
        <is>
          <t>Combined footing SC3 5.00 × 4.50 m</t>
        </is>
      </c>
      <c r="H249" s="5" t="inlineStr">
        <is>
          <t>label vote</t>
        </is>
      </c>
      <c r="I249" s="5" t="inlineStr">
        <is>
          <t>SC3</t>
        </is>
      </c>
      <c r="J249" s="5" t="inlineStr">
        <is>
          <t>printed label</t>
        </is>
      </c>
      <c r="K249" s="5" t="inlineStr">
        <is>
          <t>SC3-</t>
        </is>
      </c>
      <c r="L249" s="5" t="n">
        <v>500</v>
      </c>
      <c r="M249" s="5" t="n">
        <v>450</v>
      </c>
      <c r="N249" s="10">
        <f>IF(AND(ISNUMBER(L249),M249&gt;0),L249/M249,"")</f>
        <v/>
      </c>
      <c r="O249" s="5" t="n">
        <v>22.501</v>
      </c>
      <c r="P249" s="5" t="n">
        <v>179.9</v>
      </c>
      <c r="Q249" s="5" t="n">
        <v>4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2</v>
      </c>
      <c r="W249" s="5" t="n">
        <v>124</v>
      </c>
      <c r="X249" s="5" t="n">
        <v>41</v>
      </c>
      <c r="Y249" s="5" t="n"/>
      <c r="Z249" s="5" t="inlineStr"/>
      <c r="AA249" s="5" t="n">
        <v>4462.6</v>
      </c>
      <c r="AB249" s="5" t="n">
        <v>2069.9</v>
      </c>
      <c r="AC249" s="5" t="n">
        <v>4610.4</v>
      </c>
      <c r="AD249" s="5" t="n">
        <v>2203</v>
      </c>
      <c r="AE249" s="5" t="inlineStr">
        <is>
          <t>combined_footing</t>
        </is>
      </c>
      <c r="AF249" s="5">
        <f>IF(AE249="","",IF(OR(AE249=F249,AND(AE249="crane_footing",F249="isolated_footing")),"yes","no"))</f>
        <v/>
      </c>
    </row>
    <row r="250">
      <c r="A250" s="5" t="n">
        <v>249</v>
      </c>
      <c r="B250" s="5" t="inlineStr">
        <is>
          <t>122</t>
        </is>
      </c>
      <c r="C250" s="5" t="inlineStr">
        <is>
          <t>region between joints</t>
        </is>
      </c>
      <c r="D250" s="5" t="inlineStr">
        <is>
          <t>band</t>
        </is>
      </c>
      <c r="E250" s="5" t="n">
        <v>5</v>
      </c>
      <c r="F250" s="5" t="inlineStr">
        <is>
          <t>strip_footing</t>
        </is>
      </c>
      <c r="G250" s="5" t="inlineStr">
        <is>
          <t>Strip footing 1.30 × 0.80 m</t>
        </is>
      </c>
      <c r="H250" s="5" t="inlineStr">
        <is>
          <t>label vote</t>
        </is>
      </c>
      <c r="I250" s="5" t="inlineStr">
        <is>
          <t>(none)</t>
        </is>
      </c>
      <c r="J250" s="5" t="inlineStr"/>
      <c r="K250" s="5" t="inlineStr"/>
      <c r="L250" s="5" t="n">
        <v>130</v>
      </c>
      <c r="M250" s="5" t="n">
        <v>80</v>
      </c>
      <c r="N250" s="10">
        <f>IF(AND(ISNUMBER(L250),M250&gt;0),L250/M250,"")</f>
        <v/>
      </c>
      <c r="O250" s="5" t="n">
        <v>1.04</v>
      </c>
      <c r="P250" s="5" t="n">
        <v>90</v>
      </c>
      <c r="Q250" s="5" t="n">
        <v>1</v>
      </c>
      <c r="R250" s="5" t="n">
        <v>0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3</v>
      </c>
      <c r="Y250" s="5" t="n">
        <v>1.3</v>
      </c>
      <c r="Z250" s="5" t="inlineStr"/>
      <c r="AA250" s="5" t="n">
        <v>4758.5</v>
      </c>
      <c r="AB250" s="5" t="n">
        <v>2186.9</v>
      </c>
      <c r="AC250" s="5" t="n">
        <v>4782.1</v>
      </c>
      <c r="AD250" s="5" t="n">
        <v>2225.3</v>
      </c>
      <c r="AE250" s="5" t="inlineStr"/>
      <c r="AF250" s="5">
        <f>IF(AE250="","",IF(OR(AE250=F250,AND(AE250="crane_footing",F250="isolated_footing")),"yes","no"))</f>
        <v/>
      </c>
    </row>
    <row r="251">
      <c r="A251" s="5" t="n">
        <v>250</v>
      </c>
      <c r="B251" s="5" t="inlineStr">
        <is>
          <t>122</t>
        </is>
      </c>
      <c r="C251" s="5" t="inlineStr">
        <is>
          <t>region between joints</t>
        </is>
      </c>
      <c r="D251" s="5" t="inlineStr">
        <is>
          <t>band</t>
        </is>
      </c>
      <c r="E251" s="5" t="n">
        <v>5</v>
      </c>
      <c r="F251" s="5" t="inlineStr">
        <is>
          <t>strip_footing</t>
        </is>
      </c>
      <c r="G251" s="5" t="inlineStr">
        <is>
          <t>Strip footing SF1 38.77 × 0.80 m</t>
        </is>
      </c>
      <c r="H251" s="5" t="inlineStr">
        <is>
          <t>label vote</t>
        </is>
      </c>
      <c r="I251" s="5" t="inlineStr">
        <is>
          <t>SF1</t>
        </is>
      </c>
      <c r="J251" s="5" t="inlineStr">
        <is>
          <t>printed label</t>
        </is>
      </c>
      <c r="K251" s="5" t="inlineStr">
        <is>
          <t>VP25/SF1-80x25</t>
        </is>
      </c>
      <c r="L251" s="5" t="n">
        <v>3877</v>
      </c>
      <c r="M251" s="5" t="n">
        <v>80</v>
      </c>
      <c r="N251" s="10">
        <f>IF(AND(ISNUMBER(L251),M251&gt;0),L251/M251,"")</f>
        <v/>
      </c>
      <c r="O251" s="5" t="n">
        <v>31.013</v>
      </c>
      <c r="P251" s="5" t="n">
        <v>90</v>
      </c>
      <c r="Q251" s="5" t="n">
        <v>2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2</v>
      </c>
      <c r="W251" s="5" t="n">
        <v>59</v>
      </c>
      <c r="X251" s="5" t="n">
        <v>8</v>
      </c>
      <c r="Y251" s="5" t="n">
        <v>37.76</v>
      </c>
      <c r="Z251" s="5" t="inlineStr"/>
      <c r="AA251" s="5" t="n">
        <v>4149.2</v>
      </c>
      <c r="AB251" s="5" t="n">
        <v>1583.5</v>
      </c>
      <c r="AC251" s="5" t="n">
        <v>4173.6</v>
      </c>
      <c r="AD251" s="5" t="n">
        <v>2728.1</v>
      </c>
      <c r="AE251" s="5" t="inlineStr"/>
      <c r="AF251" s="5">
        <f>IF(AE251="","",IF(OR(AE251=F251,AND(AE251="crane_footing",F251="isolated_footing")),"yes","no"))</f>
        <v/>
      </c>
    </row>
    <row r="252">
      <c r="A252" s="5" t="n">
        <v>251</v>
      </c>
      <c r="B252" s="5" t="inlineStr">
        <is>
          <t>122</t>
        </is>
      </c>
      <c r="C252" s="5" t="inlineStr">
        <is>
          <t>region between joints</t>
        </is>
      </c>
      <c r="D252" s="5" t="inlineStr">
        <is>
          <t>band</t>
        </is>
      </c>
      <c r="E252" s="5" t="n">
        <v>5</v>
      </c>
      <c r="F252" s="5" t="inlineStr">
        <is>
          <t>strip_footing</t>
        </is>
      </c>
      <c r="G252" s="5" t="inlineStr">
        <is>
          <t>Strip footing SF1 37.05 × 0.80 m</t>
        </is>
      </c>
      <c r="H252" s="5" t="inlineStr">
        <is>
          <t>label vote</t>
        </is>
      </c>
      <c r="I252" s="5" t="inlineStr">
        <is>
          <t>SF1</t>
        </is>
      </c>
      <c r="J252" s="5" t="inlineStr">
        <is>
          <t>printed label</t>
        </is>
      </c>
      <c r="K252" s="5" t="inlineStr">
        <is>
          <t>VP20/SF1- 80x25</t>
        </is>
      </c>
      <c r="L252" s="5" t="n">
        <v>3705</v>
      </c>
      <c r="M252" s="5" t="n">
        <v>80</v>
      </c>
      <c r="N252" s="10">
        <f>IF(AND(ISNUMBER(L252),M252&gt;0),L252/M252,"")</f>
        <v/>
      </c>
      <c r="O252" s="5" t="n">
        <v>29.636</v>
      </c>
      <c r="P252" s="5" t="n">
        <v>169.4</v>
      </c>
      <c r="Q252" s="5" t="n">
        <v>2</v>
      </c>
      <c r="R252" s="5" t="n">
        <v>0</v>
      </c>
      <c r="S252" s="5" t="n">
        <v>0</v>
      </c>
      <c r="T252" s="5" t="n">
        <v>0</v>
      </c>
      <c r="U252" s="5" t="n">
        <v>0</v>
      </c>
      <c r="V252" s="5" t="n">
        <v>2</v>
      </c>
      <c r="W252" s="5" t="n">
        <v>51</v>
      </c>
      <c r="X252" s="5" t="n">
        <v>9</v>
      </c>
      <c r="Y252" s="5" t="n">
        <v>37.05</v>
      </c>
      <c r="Z252" s="5" t="inlineStr"/>
      <c r="AA252" s="5" t="n">
        <v>3074.1</v>
      </c>
      <c r="AB252" s="5" t="n">
        <v>2728.4</v>
      </c>
      <c r="AC252" s="5" t="n">
        <v>4153.5</v>
      </c>
      <c r="AD252" s="5" t="n">
        <v>2952.8</v>
      </c>
      <c r="AE252" s="5" t="inlineStr"/>
      <c r="AF252" s="5">
        <f>IF(AE252="","",IF(OR(AE252=F252,AND(AE252="crane_footing",F252="isolated_footing")),"yes","no"))</f>
        <v/>
      </c>
    </row>
    <row r="253">
      <c r="A253" s="5" t="n">
        <v>252</v>
      </c>
      <c r="B253" s="5" t="inlineStr">
        <is>
          <t>122</t>
        </is>
      </c>
      <c r="C253" s="5" t="inlineStr">
        <is>
          <t>region between joints</t>
        </is>
      </c>
      <c r="D253" s="5" t="inlineStr">
        <is>
          <t>band</t>
        </is>
      </c>
      <c r="E253" s="5" t="n">
        <v>5</v>
      </c>
      <c r="F253" s="5" t="inlineStr">
        <is>
          <t>strip_footing</t>
        </is>
      </c>
      <c r="G253" s="5" t="inlineStr">
        <is>
          <t>Strip footing SF1 7.51 × 0.80 m</t>
        </is>
      </c>
      <c r="H253" s="5" t="inlineStr">
        <is>
          <t>label vote</t>
        </is>
      </c>
      <c r="I253" s="5" t="inlineStr">
        <is>
          <t>SF1</t>
        </is>
      </c>
      <c r="J253" s="5" t="inlineStr">
        <is>
          <t>printed label</t>
        </is>
      </c>
      <c r="K253" s="5" t="inlineStr">
        <is>
          <t>SF1 80x25</t>
        </is>
      </c>
      <c r="L253" s="5" t="n">
        <v>751</v>
      </c>
      <c r="M253" s="5" t="n">
        <v>80</v>
      </c>
      <c r="N253" s="10">
        <f>IF(AND(ISNUMBER(L253),M253&gt;0),L253/M253,"")</f>
        <v/>
      </c>
      <c r="O253" s="5" t="n">
        <v>6.005</v>
      </c>
      <c r="P253" s="5" t="n">
        <v>179.9</v>
      </c>
      <c r="Q253" s="5" t="n">
        <v>1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1</v>
      </c>
      <c r="W253" s="5" t="n">
        <v>4</v>
      </c>
      <c r="X253" s="5" t="n">
        <v>19</v>
      </c>
      <c r="Y253" s="5" t="n">
        <v>7.51</v>
      </c>
      <c r="Z253" s="5" t="inlineStr"/>
      <c r="AA253" s="5" t="n">
        <v>4502.9</v>
      </c>
      <c r="AB253" s="5" t="n">
        <v>2225.4</v>
      </c>
      <c r="AC253" s="5" t="n">
        <v>4724.6</v>
      </c>
      <c r="AD253" s="5" t="n">
        <v>2249.5</v>
      </c>
      <c r="AE253" s="5" t="inlineStr"/>
      <c r="AF253" s="5">
        <f>IF(AE253="","",IF(OR(AE253=F253,AND(AE253="crane_footing",F253="isolated_footing")),"yes","no"))</f>
        <v/>
      </c>
    </row>
    <row r="254">
      <c r="A254" s="5" t="n">
        <v>253</v>
      </c>
      <c r="B254" s="5" t="inlineStr">
        <is>
          <t>122</t>
        </is>
      </c>
      <c r="C254" s="5" t="inlineStr">
        <is>
          <t>region between joints</t>
        </is>
      </c>
      <c r="D254" s="5" t="inlineStr">
        <is>
          <t>band</t>
        </is>
      </c>
      <c r="E254" s="5" t="n">
        <v>5</v>
      </c>
      <c r="F254" s="5" t="inlineStr">
        <is>
          <t>strip_footing</t>
        </is>
      </c>
      <c r="G254" s="5" t="inlineStr">
        <is>
          <t>Strip footing SF1 3.70 × 0.80 m</t>
        </is>
      </c>
      <c r="H254" s="5" t="inlineStr">
        <is>
          <t>label vote</t>
        </is>
      </c>
      <c r="I254" s="5" t="inlineStr">
        <is>
          <t>SF1</t>
        </is>
      </c>
      <c r="J254" s="5" t="inlineStr">
        <is>
          <t>printed label</t>
        </is>
      </c>
      <c r="K254" s="5" t="inlineStr">
        <is>
          <t>VP20/SF1 80x25</t>
        </is>
      </c>
      <c r="L254" s="5" t="n">
        <v>370</v>
      </c>
      <c r="M254" s="5" t="n">
        <v>80</v>
      </c>
      <c r="N254" s="10">
        <f>IF(AND(ISNUMBER(L254),M254&gt;0),L254/M254,"")</f>
        <v/>
      </c>
      <c r="O254" s="5" t="n">
        <v>2.96</v>
      </c>
      <c r="P254" s="5" t="n">
        <v>90</v>
      </c>
      <c r="Q254" s="5" t="n">
        <v>1</v>
      </c>
      <c r="R254" s="5" t="n">
        <v>0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2</v>
      </c>
      <c r="X254" s="5" t="n">
        <v>0</v>
      </c>
      <c r="Y254" s="5" t="n">
        <v>3.7</v>
      </c>
      <c r="Z254" s="5" t="inlineStr"/>
      <c r="AA254" s="5" t="n">
        <v>4758.4</v>
      </c>
      <c r="AB254" s="5" t="n">
        <v>2364.2</v>
      </c>
      <c r="AC254" s="5" t="n">
        <v>4782.1</v>
      </c>
      <c r="AD254" s="5" t="n">
        <v>2473.4</v>
      </c>
      <c r="AE254" s="5" t="inlineStr"/>
      <c r="AF254" s="5">
        <f>IF(AE254="","",IF(OR(AE254=F254,AND(AE254="crane_footing",F254="isolated_footing")),"yes","no"))</f>
        <v/>
      </c>
    </row>
    <row r="255">
      <c r="A255" s="5" t="n">
        <v>254</v>
      </c>
      <c r="B255" s="5" t="inlineStr">
        <is>
          <t>122</t>
        </is>
      </c>
      <c r="C255" s="5" t="inlineStr">
        <is>
          <t>region between joints</t>
        </is>
      </c>
      <c r="D255" s="5" t="inlineStr">
        <is>
          <t>band</t>
        </is>
      </c>
      <c r="E255" s="5" t="n">
        <v>5</v>
      </c>
      <c r="F255" s="5" t="inlineStr">
        <is>
          <t>strip_footing</t>
        </is>
      </c>
      <c r="G255" s="5" t="inlineStr">
        <is>
          <t>Strip footing SF1 3.44 × 0.80 m</t>
        </is>
      </c>
      <c r="H255" s="5" t="inlineStr">
        <is>
          <t>label vote</t>
        </is>
      </c>
      <c r="I255" s="5" t="inlineStr">
        <is>
          <t>SF1</t>
        </is>
      </c>
      <c r="J255" s="5" t="inlineStr">
        <is>
          <t>printed label</t>
        </is>
      </c>
      <c r="K255" s="5" t="inlineStr">
        <is>
          <t>VP25/SF1 80x25</t>
        </is>
      </c>
      <c r="L255" s="5" t="n">
        <v>344</v>
      </c>
      <c r="M255" s="5" t="n">
        <v>80</v>
      </c>
      <c r="N255" s="10">
        <f>IF(AND(ISNUMBER(L255),M255&gt;0),L255/M255,"")</f>
        <v/>
      </c>
      <c r="O255" s="5" t="n">
        <v>2.75</v>
      </c>
      <c r="P255" s="5" t="n">
        <v>90</v>
      </c>
      <c r="Q255" s="5" t="n">
        <v>1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3</v>
      </c>
      <c r="X255" s="5" t="n">
        <v>0</v>
      </c>
      <c r="Y255" s="5" t="n">
        <v>3.44</v>
      </c>
      <c r="Z255" s="5" t="inlineStr"/>
      <c r="AA255" s="5" t="n">
        <v>5005.4</v>
      </c>
      <c r="AB255" s="5" t="n">
        <v>2787.7</v>
      </c>
      <c r="AC255" s="5" t="n">
        <v>5029.1</v>
      </c>
      <c r="AD255" s="5" t="n">
        <v>2889.2</v>
      </c>
      <c r="AE255" s="5" t="inlineStr"/>
      <c r="AF255" s="5">
        <f>IF(AE255="","",IF(OR(AE255=F255,AND(AE255="crane_footing",F255="isolated_footing")),"yes","no"))</f>
        <v/>
      </c>
    </row>
    <row r="256">
      <c r="A256" s="5" t="n">
        <v>255</v>
      </c>
      <c r="B256" s="5" t="inlineStr">
        <is>
          <t>122</t>
        </is>
      </c>
      <c r="C256" s="5" t="inlineStr">
        <is>
          <t>region between joints</t>
        </is>
      </c>
      <c r="D256" s="5" t="inlineStr">
        <is>
          <t>band</t>
        </is>
      </c>
      <c r="E256" s="5" t="n">
        <v>5</v>
      </c>
      <c r="F256" s="5" t="inlineStr">
        <is>
          <t>strip_footing</t>
        </is>
      </c>
      <c r="G256" s="5" t="inlineStr">
        <is>
          <t>Strip footing SF1 3.06 × 0.80 m</t>
        </is>
      </c>
      <c r="H256" s="5" t="inlineStr">
        <is>
          <t>label vote</t>
        </is>
      </c>
      <c r="I256" s="5" t="inlineStr">
        <is>
          <t>SF1</t>
        </is>
      </c>
      <c r="J256" s="5" t="inlineStr">
        <is>
          <t>printed label</t>
        </is>
      </c>
      <c r="K256" s="5" t="inlineStr">
        <is>
          <t>VP20/SF1 80x25</t>
        </is>
      </c>
      <c r="L256" s="5" t="n">
        <v>306</v>
      </c>
      <c r="M256" s="5" t="n">
        <v>80</v>
      </c>
      <c r="N256" s="10">
        <f>IF(AND(ISNUMBER(L256),M256&gt;0),L256/M256,"")</f>
        <v/>
      </c>
      <c r="O256" s="5" t="n">
        <v>2.448</v>
      </c>
      <c r="P256" s="5" t="n">
        <v>0</v>
      </c>
      <c r="Q256" s="5" t="n">
        <v>1</v>
      </c>
      <c r="R256" s="5" t="n">
        <v>0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3</v>
      </c>
      <c r="X256" s="5" t="n">
        <v>1</v>
      </c>
      <c r="Y256" s="5" t="n">
        <v>3.06</v>
      </c>
      <c r="Z256" s="5" t="inlineStr"/>
      <c r="AA256" s="5" t="n">
        <v>4813.6</v>
      </c>
      <c r="AB256" s="5" t="n">
        <v>2484.6</v>
      </c>
      <c r="AC256" s="5" t="n">
        <v>4904</v>
      </c>
      <c r="AD256" s="5" t="n">
        <v>2508.3</v>
      </c>
      <c r="AE256" s="5" t="inlineStr"/>
      <c r="AF256" s="5">
        <f>IF(AE256="","",IF(OR(AE256=F256,AND(AE256="crane_footing",F256="isolated_footing")),"yes","no"))</f>
        <v/>
      </c>
    </row>
    <row r="257">
      <c r="A257" s="5" t="n">
        <v>256</v>
      </c>
      <c r="B257" s="5" t="inlineStr">
        <is>
          <t>122</t>
        </is>
      </c>
      <c r="C257" s="5" t="inlineStr">
        <is>
          <t>region between joints</t>
        </is>
      </c>
      <c r="D257" s="5" t="inlineStr">
        <is>
          <t>band</t>
        </is>
      </c>
      <c r="E257" s="5" t="n">
        <v>5</v>
      </c>
      <c r="F257" s="5" t="inlineStr">
        <is>
          <t>strip_footing</t>
        </is>
      </c>
      <c r="G257" s="5" t="inlineStr">
        <is>
          <t>Strip footing SF1 2.31 × 0.80 m</t>
        </is>
      </c>
      <c r="H257" s="5" t="inlineStr">
        <is>
          <t>label vote</t>
        </is>
      </c>
      <c r="I257" s="5" t="inlineStr">
        <is>
          <t>SF1</t>
        </is>
      </c>
      <c r="J257" s="5" t="inlineStr">
        <is>
          <t>printed label</t>
        </is>
      </c>
      <c r="K257" s="5" t="inlineStr">
        <is>
          <t>VP25/SF1 80x25</t>
        </is>
      </c>
      <c r="L257" s="5" t="n">
        <v>231</v>
      </c>
      <c r="M257" s="5" t="n">
        <v>80</v>
      </c>
      <c r="N257" s="10">
        <f>IF(AND(ISNUMBER(L257),M257&gt;0),L257/M257,"")</f>
        <v/>
      </c>
      <c r="O257" s="5" t="n">
        <v>1.846</v>
      </c>
      <c r="P257" s="5" t="n">
        <v>90.09999999999999</v>
      </c>
      <c r="Q257" s="5" t="n">
        <v>1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2</v>
      </c>
      <c r="X257" s="5" t="n">
        <v>0</v>
      </c>
      <c r="Y257" s="5" t="n">
        <v>2.31</v>
      </c>
      <c r="Z257" s="5" t="inlineStr"/>
      <c r="AA257" s="5" t="n">
        <v>5005.6</v>
      </c>
      <c r="AB257" s="5" t="n">
        <v>2542.4</v>
      </c>
      <c r="AC257" s="5" t="n">
        <v>5029.2</v>
      </c>
      <c r="AD257" s="5" t="n">
        <v>2610.5</v>
      </c>
      <c r="AE257" s="5" t="inlineStr"/>
      <c r="AF257" s="5">
        <f>IF(AE257="","",IF(OR(AE257=F257,AND(AE257="crane_footing",F257="isolated_footing")),"yes","no"))</f>
        <v/>
      </c>
    </row>
    <row r="258">
      <c r="A258" s="5" t="n">
        <v>257</v>
      </c>
      <c r="B258" s="5" t="inlineStr">
        <is>
          <t>122</t>
        </is>
      </c>
      <c r="C258" s="5" t="inlineStr">
        <is>
          <t>nearest labels</t>
        </is>
      </c>
      <c r="D258" s="5" t="inlineStr">
        <is>
          <t>band</t>
        </is>
      </c>
      <c r="E258" s="5" t="n">
        <v>9</v>
      </c>
      <c r="F258" s="5" t="inlineStr">
        <is>
          <t>strip_footing</t>
        </is>
      </c>
      <c r="G258" s="5" t="inlineStr">
        <is>
          <t>Strip footing SF4 2.88 × 1.22 m</t>
        </is>
      </c>
      <c r="H258" s="5" t="inlineStr">
        <is>
          <t>its own label (the cluster's class was only a guess)</t>
        </is>
      </c>
      <c r="I258" s="5" t="inlineStr">
        <is>
          <t>SF4</t>
        </is>
      </c>
      <c r="J258" s="5" t="inlineStr">
        <is>
          <t>printed label</t>
        </is>
      </c>
      <c r="K258" s="5" t="inlineStr">
        <is>
          <t>SF4- 120x25</t>
        </is>
      </c>
      <c r="L258" s="5" t="n">
        <v>288</v>
      </c>
      <c r="M258" s="5" t="n">
        <v>122</v>
      </c>
      <c r="N258" s="10">
        <f>IF(AND(ISNUMBER(L258),M258&gt;0),L258/M258,"")</f>
        <v/>
      </c>
      <c r="O258" s="5" t="n">
        <v>3.502</v>
      </c>
      <c r="P258" s="5" t="n">
        <v>179.9</v>
      </c>
      <c r="Q258" s="5" t="n">
        <v>2</v>
      </c>
      <c r="R258" s="5" t="n">
        <v>0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9</v>
      </c>
      <c r="X258" s="5" t="n">
        <v>20</v>
      </c>
      <c r="Y258" s="5" t="n">
        <v>2.88</v>
      </c>
      <c r="Z258" s="5" t="inlineStr"/>
      <c r="AA258" s="5" t="n">
        <v>4610.3</v>
      </c>
      <c r="AB258" s="5" t="n">
        <v>2118.9</v>
      </c>
      <c r="AC258" s="5" t="n">
        <v>4695.5</v>
      </c>
      <c r="AD258" s="5" t="n">
        <v>2154.9</v>
      </c>
      <c r="AE258" s="5" t="inlineStr"/>
      <c r="AF258" s="5">
        <f>IF(AE258="","",IF(OR(AE258=F258,AND(AE258="crane_footing",F258="isolated_footing")),"yes","no"))</f>
        <v/>
      </c>
    </row>
    <row r="259">
      <c r="A259" s="5" t="n">
        <v>258</v>
      </c>
      <c r="B259" s="5" t="inlineStr">
        <is>
          <t>122</t>
        </is>
      </c>
      <c r="C259" s="5" t="inlineStr">
        <is>
          <t>region between joints</t>
        </is>
      </c>
      <c r="D259" s="5" t="inlineStr">
        <is>
          <t>band</t>
        </is>
      </c>
      <c r="E259" s="5" t="n">
        <v>1</v>
      </c>
      <c r="F259" s="5" t="inlineStr">
        <is>
          <t>grade_beam</t>
        </is>
      </c>
      <c r="G259" s="5" t="inlineStr">
        <is>
          <t>Grade beam LG25x40 11.95 × 0.25 m</t>
        </is>
      </c>
      <c r="H259" s="5" t="inlineStr">
        <is>
          <t>label vote</t>
        </is>
      </c>
      <c r="I259" s="5" t="inlineStr">
        <is>
          <t>LG25x40</t>
        </is>
      </c>
      <c r="J259" s="5" t="inlineStr">
        <is>
          <t>printed label</t>
        </is>
      </c>
      <c r="K259" s="5" t="inlineStr">
        <is>
          <t>LG-25x40</t>
        </is>
      </c>
      <c r="L259" s="5" t="n">
        <v>1195</v>
      </c>
      <c r="M259" s="5" t="n">
        <v>25</v>
      </c>
      <c r="N259" s="10">
        <f>IF(AND(ISNUMBER(L259),M259&gt;0),L259/M259,"")</f>
        <v/>
      </c>
      <c r="O259" s="5" t="n">
        <v>2.988</v>
      </c>
      <c r="P259" s="5" t="n">
        <v>179.9</v>
      </c>
      <c r="Q259" s="5" t="n">
        <v>3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1</v>
      </c>
      <c r="W259" s="5" t="n">
        <v>27</v>
      </c>
      <c r="X259" s="5" t="n">
        <v>2</v>
      </c>
      <c r="Y259" s="5" t="n">
        <v>5.05</v>
      </c>
      <c r="Z259" s="5" t="inlineStr"/>
      <c r="AA259" s="5" t="n">
        <v>4165.9</v>
      </c>
      <c r="AB259" s="5" t="n">
        <v>2139.2</v>
      </c>
      <c r="AC259" s="5" t="n">
        <v>4518.8</v>
      </c>
      <c r="AD259" s="5" t="n">
        <v>2147.4</v>
      </c>
      <c r="AE259" s="5" t="inlineStr"/>
      <c r="AF259" s="5">
        <f>IF(AE259="","",IF(OR(AE259=F259,AND(AE259="crane_footing",F259="isolated_footing")),"yes","no"))</f>
        <v/>
      </c>
    </row>
    <row r="260">
      <c r="A260" s="5" t="n">
        <v>259</v>
      </c>
      <c r="B260" s="5" t="inlineStr">
        <is>
          <t>122</t>
        </is>
      </c>
      <c r="C260" s="5" t="inlineStr">
        <is>
          <t>region between joints</t>
        </is>
      </c>
      <c r="D260" s="5" t="inlineStr">
        <is>
          <t>band</t>
        </is>
      </c>
      <c r="E260" s="5" t="n">
        <v>3</v>
      </c>
      <c r="F260" s="5" t="inlineStr">
        <is>
          <t>grade_beam</t>
        </is>
      </c>
      <c r="G260" s="5" t="inlineStr">
        <is>
          <t>Grade beam LG40x15 26.34 × 0.40 m</t>
        </is>
      </c>
      <c r="H260" s="5" t="inlineStr">
        <is>
          <t>label vote</t>
        </is>
      </c>
      <c r="I260" s="5" t="inlineStr">
        <is>
          <t>LG40x15</t>
        </is>
      </c>
      <c r="J260" s="5" t="inlineStr">
        <is>
          <t>printed label</t>
        </is>
      </c>
      <c r="K260" s="5" t="inlineStr">
        <is>
          <t>LG-40x15</t>
        </is>
      </c>
      <c r="L260" s="5" t="n">
        <v>2634</v>
      </c>
      <c r="M260" s="5" t="n">
        <v>40</v>
      </c>
      <c r="N260" s="10">
        <f>IF(AND(ISNUMBER(L260),M260&gt;0),L260/M260,"")</f>
        <v/>
      </c>
      <c r="O260" s="5" t="n">
        <v>10.537</v>
      </c>
      <c r="P260" s="5" t="n">
        <v>90</v>
      </c>
      <c r="Q260" s="5" t="n">
        <v>5</v>
      </c>
      <c r="R260" s="5" t="n">
        <v>0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3</v>
      </c>
      <c r="X260" s="5" t="n">
        <v>7</v>
      </c>
      <c r="Y260" s="5" t="n">
        <v>12.34</v>
      </c>
      <c r="Z260" s="5" t="inlineStr"/>
      <c r="AA260" s="5" t="n">
        <v>4541.6</v>
      </c>
      <c r="AB260" s="5" t="n">
        <v>2240.5</v>
      </c>
      <c r="AC260" s="5" t="n">
        <v>4554.1</v>
      </c>
      <c r="AD260" s="5" t="n">
        <v>3018.4</v>
      </c>
      <c r="AE260" s="5" t="inlineStr"/>
      <c r="AF260" s="5">
        <f>IF(AE260="","",IF(OR(AE260=F260,AND(AE260="crane_footing",F260="isolated_footing")),"yes","no"))</f>
        <v/>
      </c>
    </row>
    <row r="261">
      <c r="A261" s="5" t="n">
        <v>260</v>
      </c>
      <c r="B261" s="5" t="inlineStr">
        <is>
          <t>122</t>
        </is>
      </c>
      <c r="C261" s="5" t="inlineStr">
        <is>
          <t>region between joints</t>
        </is>
      </c>
      <c r="D261" s="5" t="inlineStr">
        <is>
          <t>band</t>
        </is>
      </c>
      <c r="E261" s="5" t="n">
        <v>3</v>
      </c>
      <c r="F261" s="5" t="inlineStr">
        <is>
          <t>grade_beam</t>
        </is>
      </c>
      <c r="G261" s="5" t="inlineStr">
        <is>
          <t>Grade beam LG40x15 20.88 × 0.40 m</t>
        </is>
      </c>
      <c r="H261" s="5" t="inlineStr">
        <is>
          <t>label vote</t>
        </is>
      </c>
      <c r="I261" s="5" t="inlineStr">
        <is>
          <t>LG40x15</t>
        </is>
      </c>
      <c r="J261" s="5" t="inlineStr">
        <is>
          <t>printed label</t>
        </is>
      </c>
      <c r="K261" s="5" t="inlineStr">
        <is>
          <t>LG-40x15</t>
        </is>
      </c>
      <c r="L261" s="5" t="n">
        <v>2088</v>
      </c>
      <c r="M261" s="5" t="n">
        <v>40</v>
      </c>
      <c r="N261" s="10">
        <f>IF(AND(ISNUMBER(L261),M261&gt;0),L261/M261,"")</f>
        <v/>
      </c>
      <c r="O261" s="5" t="n">
        <v>8.35</v>
      </c>
      <c r="P261" s="5" t="n">
        <v>79.3</v>
      </c>
      <c r="Q261" s="5" t="n">
        <v>4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2</v>
      </c>
      <c r="W261" s="5" t="n">
        <v>47</v>
      </c>
      <c r="X261" s="5" t="n">
        <v>7</v>
      </c>
      <c r="Y261" s="5" t="n">
        <v>9.800000000000001</v>
      </c>
      <c r="Z261" s="5" t="inlineStr"/>
      <c r="AA261" s="5" t="n">
        <v>3505.2</v>
      </c>
      <c r="AB261" s="5" t="n">
        <v>2861.7</v>
      </c>
      <c r="AC261" s="5" t="n">
        <v>3630.9</v>
      </c>
      <c r="AD261" s="5" t="n">
        <v>3469.7</v>
      </c>
      <c r="AE261" s="5" t="inlineStr"/>
      <c r="AF261" s="5">
        <f>IF(AE261="","",IF(OR(AE261=F261,AND(AE261="crane_footing",F261="isolated_footing")),"yes","no"))</f>
        <v/>
      </c>
    </row>
    <row r="262">
      <c r="A262" s="5" t="n">
        <v>261</v>
      </c>
      <c r="B262" s="5" t="inlineStr">
        <is>
          <t>122</t>
        </is>
      </c>
      <c r="C262" s="5" t="inlineStr">
        <is>
          <t>region between joints</t>
        </is>
      </c>
      <c r="D262" s="5" t="inlineStr">
        <is>
          <t>band</t>
        </is>
      </c>
      <c r="E262" s="5" t="n">
        <v>3</v>
      </c>
      <c r="F262" s="5" t="inlineStr">
        <is>
          <t>grade_beam</t>
        </is>
      </c>
      <c r="G262" s="5" t="inlineStr">
        <is>
          <t>Grade beam LG40x15 19.20 × 0.40 m</t>
        </is>
      </c>
      <c r="H262" s="5" t="inlineStr">
        <is>
          <t>label vote</t>
        </is>
      </c>
      <c r="I262" s="5" t="inlineStr">
        <is>
          <t>LG40x15</t>
        </is>
      </c>
      <c r="J262" s="5" t="inlineStr">
        <is>
          <t>printed label</t>
        </is>
      </c>
      <c r="K262" s="5" t="inlineStr">
        <is>
          <t>LG-40x15</t>
        </is>
      </c>
      <c r="L262" s="5" t="n">
        <v>1920</v>
      </c>
      <c r="M262" s="5" t="n">
        <v>40</v>
      </c>
      <c r="N262" s="10">
        <f>IF(AND(ISNUMBER(L262),M262&gt;0),L262/M262,"")</f>
        <v/>
      </c>
      <c r="O262" s="5" t="n">
        <v>7.681</v>
      </c>
      <c r="P262" s="5" t="n">
        <v>90.09999999999999</v>
      </c>
      <c r="Q262" s="5" t="n">
        <v>4</v>
      </c>
      <c r="R262" s="5" t="n">
        <v>0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145</v>
      </c>
      <c r="X262" s="5" t="n">
        <v>7</v>
      </c>
      <c r="Y262" s="5" t="n">
        <v>11.82</v>
      </c>
      <c r="Z262" s="5" t="inlineStr"/>
      <c r="AA262" s="5" t="n">
        <v>4315.7</v>
      </c>
      <c r="AB262" s="5" t="n">
        <v>2148.5</v>
      </c>
      <c r="AC262" s="5" t="n">
        <v>4328.1</v>
      </c>
      <c r="AD262" s="5" t="n">
        <v>2715.5</v>
      </c>
      <c r="AE262" s="5" t="inlineStr"/>
      <c r="AF262" s="5">
        <f>IF(AE262="","",IF(OR(AE262=F262,AND(AE262="crane_footing",F262="isolated_footing")),"yes","no"))</f>
        <v/>
      </c>
    </row>
    <row r="263">
      <c r="A263" s="5" t="n">
        <v>262</v>
      </c>
      <c r="B263" s="5" t="inlineStr">
        <is>
          <t>122</t>
        </is>
      </c>
      <c r="C263" s="5" t="inlineStr">
        <is>
          <t>region between joints</t>
        </is>
      </c>
      <c r="D263" s="5" t="inlineStr">
        <is>
          <t>band</t>
        </is>
      </c>
      <c r="E263" s="5" t="n">
        <v>3</v>
      </c>
      <c r="F263" s="5" t="inlineStr">
        <is>
          <t>grade_beam</t>
        </is>
      </c>
      <c r="G263" s="5" t="inlineStr">
        <is>
          <t>Grade beam LG40x15 18.60 × 0.40 m</t>
        </is>
      </c>
      <c r="H263" s="5" t="inlineStr">
        <is>
          <t>label vote</t>
        </is>
      </c>
      <c r="I263" s="5" t="inlineStr">
        <is>
          <t>LG40x15</t>
        </is>
      </c>
      <c r="J263" s="5" t="inlineStr">
        <is>
          <t>printed label</t>
        </is>
      </c>
      <c r="K263" s="5" t="inlineStr">
        <is>
          <t>LG-40x15</t>
        </is>
      </c>
      <c r="L263" s="5" t="n">
        <v>1860</v>
      </c>
      <c r="M263" s="5" t="n">
        <v>40</v>
      </c>
      <c r="N263" s="10">
        <f>IF(AND(ISNUMBER(L263),M263&gt;0),L263/M263,"")</f>
        <v/>
      </c>
      <c r="O263" s="5" t="n">
        <v>7.44</v>
      </c>
      <c r="P263" s="5" t="n">
        <v>79.3</v>
      </c>
      <c r="Q263" s="5" t="n">
        <v>4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4</v>
      </c>
      <c r="W263" s="5" t="n">
        <v>10</v>
      </c>
      <c r="X263" s="5" t="n">
        <v>6</v>
      </c>
      <c r="Y263" s="5" t="n">
        <v>7.71</v>
      </c>
      <c r="Z263" s="5" t="inlineStr"/>
      <c r="AA263" s="5" t="n">
        <v>4180.8</v>
      </c>
      <c r="AB263" s="5" t="n">
        <v>2725.8</v>
      </c>
      <c r="AC263" s="5" t="n">
        <v>4294.2</v>
      </c>
      <c r="AD263" s="5" t="n">
        <v>3267.7</v>
      </c>
      <c r="AE263" s="5" t="inlineStr"/>
      <c r="AF263" s="5">
        <f>IF(AE263="","",IF(OR(AE263=F263,AND(AE263="crane_footing",F263="isolated_footing")),"yes","no"))</f>
        <v/>
      </c>
    </row>
    <row r="264">
      <c r="A264" s="5" t="n">
        <v>263</v>
      </c>
      <c r="B264" s="5" t="inlineStr">
        <is>
          <t>122</t>
        </is>
      </c>
      <c r="C264" s="5" t="inlineStr">
        <is>
          <t>region between joints</t>
        </is>
      </c>
      <c r="D264" s="5" t="inlineStr">
        <is>
          <t>band</t>
        </is>
      </c>
      <c r="E264" s="5" t="n">
        <v>3</v>
      </c>
      <c r="F264" s="5" t="inlineStr">
        <is>
          <t>grade_beam</t>
        </is>
      </c>
      <c r="G264" s="5" t="inlineStr">
        <is>
          <t>Grade beam LG40x15 15.24 × 0.40 m</t>
        </is>
      </c>
      <c r="H264" s="5" t="inlineStr">
        <is>
          <t>label vote</t>
        </is>
      </c>
      <c r="I264" s="5" t="inlineStr">
        <is>
          <t>LG40x15</t>
        </is>
      </c>
      <c r="J264" s="5" t="inlineStr">
        <is>
          <t>printed label</t>
        </is>
      </c>
      <c r="K264" s="5" t="inlineStr">
        <is>
          <t>LG-40x15</t>
        </is>
      </c>
      <c r="L264" s="5" t="n">
        <v>1524</v>
      </c>
      <c r="M264" s="5" t="n">
        <v>40</v>
      </c>
      <c r="N264" s="10">
        <f>IF(AND(ISNUMBER(L264),M264&gt;0),L264/M264,"")</f>
        <v/>
      </c>
      <c r="O264" s="5" t="n">
        <v>6.095</v>
      </c>
      <c r="P264" s="5" t="n">
        <v>169.3</v>
      </c>
      <c r="Q264" s="5" t="n">
        <v>3</v>
      </c>
      <c r="R264" s="5" t="n">
        <v>0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38</v>
      </c>
      <c r="X264" s="5" t="n">
        <v>6</v>
      </c>
      <c r="Y264" s="5" t="n">
        <v>10.74</v>
      </c>
      <c r="Z264" s="5" t="inlineStr"/>
      <c r="AA264" s="5" t="n">
        <v>3757.9</v>
      </c>
      <c r="AB264" s="5" t="n">
        <v>2885.5</v>
      </c>
      <c r="AC264" s="5" t="n">
        <v>4202.2</v>
      </c>
      <c r="AD264" s="5" t="n">
        <v>2980.5</v>
      </c>
      <c r="AE264" s="5" t="inlineStr"/>
      <c r="AF264" s="5">
        <f>IF(AE264="","",IF(OR(AE264=F264,AND(AE264="crane_footing",F264="isolated_footing")),"yes","no"))</f>
        <v/>
      </c>
    </row>
    <row r="265">
      <c r="A265" s="5" t="n">
        <v>264</v>
      </c>
      <c r="B265" s="5" t="inlineStr">
        <is>
          <t>122</t>
        </is>
      </c>
      <c r="C265" s="5" t="inlineStr">
        <is>
          <t>region between joints</t>
        </is>
      </c>
      <c r="D265" s="5" t="inlineStr">
        <is>
          <t>band</t>
        </is>
      </c>
      <c r="E265" s="5" t="n">
        <v>3</v>
      </c>
      <c r="F265" s="5" t="inlineStr">
        <is>
          <t>grade_beam</t>
        </is>
      </c>
      <c r="G265" s="5" t="inlineStr">
        <is>
          <t>Grade beam LG40x15 14.96 × 0.40 m</t>
        </is>
      </c>
      <c r="H265" s="5" t="inlineStr">
        <is>
          <t>label vote</t>
        </is>
      </c>
      <c r="I265" s="5" t="inlineStr">
        <is>
          <t>LG40x15</t>
        </is>
      </c>
      <c r="J265" s="5" t="inlineStr">
        <is>
          <t>printed label</t>
        </is>
      </c>
      <c r="K265" s="5" t="inlineStr">
        <is>
          <t>LG-40x15</t>
        </is>
      </c>
      <c r="L265" s="5" t="n">
        <v>1496</v>
      </c>
      <c r="M265" s="5" t="n">
        <v>40</v>
      </c>
      <c r="N265" s="10">
        <f>IF(AND(ISNUMBER(L265),M265&gt;0),L265/M265,"")</f>
        <v/>
      </c>
      <c r="O265" s="5" t="n">
        <v>5.985</v>
      </c>
      <c r="P265" s="5" t="n">
        <v>0</v>
      </c>
      <c r="Q265" s="5" t="n">
        <v>2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1</v>
      </c>
      <c r="W265" s="5" t="n">
        <v>26</v>
      </c>
      <c r="X265" s="5" t="n">
        <v>2</v>
      </c>
      <c r="Y265" s="5" t="n">
        <v>8.449999999999999</v>
      </c>
      <c r="Z265" s="5" t="inlineStr"/>
      <c r="AA265" s="5" t="n">
        <v>4324.6</v>
      </c>
      <c r="AB265" s="5" t="n">
        <v>2323.1</v>
      </c>
      <c r="AC265" s="5" t="n">
        <v>4766.3</v>
      </c>
      <c r="AD265" s="5" t="n">
        <v>2335.2</v>
      </c>
      <c r="AE265" s="5" t="inlineStr"/>
      <c r="AF265" s="5">
        <f>IF(AE265="","",IF(OR(AE265=F265,AND(AE265="crane_footing",F265="isolated_footing")),"yes","no"))</f>
        <v/>
      </c>
    </row>
    <row r="266">
      <c r="A266" s="5" t="n">
        <v>265</v>
      </c>
      <c r="B266" s="5" t="inlineStr">
        <is>
          <t>122</t>
        </is>
      </c>
      <c r="C266" s="5" t="inlineStr">
        <is>
          <t>region between joints</t>
        </is>
      </c>
      <c r="D266" s="5" t="inlineStr">
        <is>
          <t>band</t>
        </is>
      </c>
      <c r="E266" s="5" t="n">
        <v>3</v>
      </c>
      <c r="F266" s="5" t="inlineStr">
        <is>
          <t>grade_beam</t>
        </is>
      </c>
      <c r="G266" s="5" t="inlineStr">
        <is>
          <t>Grade beam LG40x15 14.81 × 0.40 m</t>
        </is>
      </c>
      <c r="H266" s="5" t="inlineStr">
        <is>
          <t>label vote</t>
        </is>
      </c>
      <c r="I266" s="5" t="inlineStr">
        <is>
          <t>LG40x15</t>
        </is>
      </c>
      <c r="J266" s="5" t="inlineStr">
        <is>
          <t>printed label</t>
        </is>
      </c>
      <c r="K266" s="5" t="inlineStr">
        <is>
          <t>LG-40x15</t>
        </is>
      </c>
      <c r="L266" s="5" t="n">
        <v>1481</v>
      </c>
      <c r="M266" s="5" t="n">
        <v>40</v>
      </c>
      <c r="N266" s="10">
        <f>IF(AND(ISNUMBER(L266),M266&gt;0),L266/M266,"")</f>
        <v/>
      </c>
      <c r="O266" s="5" t="n">
        <v>5.923</v>
      </c>
      <c r="P266" s="5" t="n">
        <v>0</v>
      </c>
      <c r="Q266" s="5" t="n">
        <v>3</v>
      </c>
      <c r="R266" s="5" t="n">
        <v>0</v>
      </c>
      <c r="S266" s="5" t="n">
        <v>0</v>
      </c>
      <c r="T266" s="5" t="n">
        <v>0</v>
      </c>
      <c r="U266" s="5" t="n">
        <v>0</v>
      </c>
      <c r="V266" s="5" t="n">
        <v>1</v>
      </c>
      <c r="W266" s="5" t="n">
        <v>26</v>
      </c>
      <c r="X266" s="5" t="n">
        <v>2</v>
      </c>
      <c r="Y266" s="5" t="n">
        <v>7.41</v>
      </c>
      <c r="Z266" s="5" t="inlineStr"/>
      <c r="AA266" s="5" t="n">
        <v>4327.7</v>
      </c>
      <c r="AB266" s="5" t="n">
        <v>2492.9</v>
      </c>
      <c r="AC266" s="5" t="n">
        <v>4764.9</v>
      </c>
      <c r="AD266" s="5" t="n">
        <v>2505</v>
      </c>
      <c r="AE266" s="5" t="inlineStr"/>
      <c r="AF266" s="5">
        <f>IF(AE266="","",IF(OR(AE266=F266,AND(AE266="crane_footing",F266="isolated_footing")),"yes","no"))</f>
        <v/>
      </c>
    </row>
    <row r="267">
      <c r="A267" s="5" t="n">
        <v>266</v>
      </c>
      <c r="B267" s="5" t="inlineStr">
        <is>
          <t>122</t>
        </is>
      </c>
      <c r="C267" s="5" t="inlineStr">
        <is>
          <t>region between joints</t>
        </is>
      </c>
      <c r="D267" s="5" t="inlineStr">
        <is>
          <t>band</t>
        </is>
      </c>
      <c r="E267" s="5" t="n">
        <v>3</v>
      </c>
      <c r="F267" s="5" t="inlineStr">
        <is>
          <t>grade_beam</t>
        </is>
      </c>
      <c r="G267" s="5" t="inlineStr">
        <is>
          <t>Grade beam LG40x15 13.08 × 0.40 m</t>
        </is>
      </c>
      <c r="H267" s="5" t="inlineStr">
        <is>
          <t>label vote</t>
        </is>
      </c>
      <c r="I267" s="5" t="inlineStr">
        <is>
          <t>LG40x15</t>
        </is>
      </c>
      <c r="J267" s="5" t="inlineStr">
        <is>
          <t>printed label</t>
        </is>
      </c>
      <c r="K267" s="5" t="inlineStr">
        <is>
          <t>LG-40x15</t>
        </is>
      </c>
      <c r="L267" s="5" t="n">
        <v>1308</v>
      </c>
      <c r="M267" s="5" t="n">
        <v>40</v>
      </c>
      <c r="N267" s="10">
        <f>IF(AND(ISNUMBER(L267),M267&gt;0),L267/M267,"")</f>
        <v/>
      </c>
      <c r="O267" s="5" t="n">
        <v>5.233</v>
      </c>
      <c r="P267" s="5" t="n">
        <v>79.40000000000001</v>
      </c>
      <c r="Q267" s="5" t="n">
        <v>1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1</v>
      </c>
      <c r="W267" s="5" t="n">
        <v>24</v>
      </c>
      <c r="X267" s="5" t="n">
        <v>4</v>
      </c>
      <c r="Y267" s="5" t="n">
        <v>6.99</v>
      </c>
      <c r="Z267" s="5" t="inlineStr"/>
      <c r="AA267" s="5" t="n">
        <v>3890.6</v>
      </c>
      <c r="AB267" s="5" t="n">
        <v>2953.7</v>
      </c>
      <c r="AC267" s="5" t="n">
        <v>3973.2</v>
      </c>
      <c r="AD267" s="5" t="n">
        <v>3335.6</v>
      </c>
      <c r="AE267" s="5" t="inlineStr"/>
      <c r="AF267" s="5">
        <f>IF(AE267="","",IF(OR(AE267=F267,AND(AE267="crane_footing",F267="isolated_footing")),"yes","no"))</f>
        <v/>
      </c>
    </row>
    <row r="268">
      <c r="A268" s="5" t="n">
        <v>267</v>
      </c>
      <c r="B268" s="5" t="inlineStr">
        <is>
          <t>122</t>
        </is>
      </c>
      <c r="C268" s="5" t="inlineStr">
        <is>
          <t>region between joints</t>
        </is>
      </c>
      <c r="D268" s="5" t="inlineStr">
        <is>
          <t>band</t>
        </is>
      </c>
      <c r="E268" s="5" t="n">
        <v>3</v>
      </c>
      <c r="F268" s="5" t="inlineStr">
        <is>
          <t>grade_beam</t>
        </is>
      </c>
      <c r="G268" s="5" t="inlineStr">
        <is>
          <t>Grade beam LG40x15 12.80 × 0.40 m</t>
        </is>
      </c>
      <c r="H268" s="5" t="inlineStr">
        <is>
          <t>label vote</t>
        </is>
      </c>
      <c r="I268" s="5" t="inlineStr">
        <is>
          <t>LG40x15</t>
        </is>
      </c>
      <c r="J268" s="5" t="inlineStr">
        <is>
          <t>printed label</t>
        </is>
      </c>
      <c r="K268" s="5" t="inlineStr">
        <is>
          <t>LG-40x15</t>
        </is>
      </c>
      <c r="L268" s="5" t="n">
        <v>1280</v>
      </c>
      <c r="M268" s="5" t="n">
        <v>40</v>
      </c>
      <c r="N268" s="10">
        <f>IF(AND(ISNUMBER(L268),M268&gt;0),L268/M268,"")</f>
        <v/>
      </c>
      <c r="O268" s="5" t="n">
        <v>5.119</v>
      </c>
      <c r="P268" s="5" t="n">
        <v>0</v>
      </c>
      <c r="Q268" s="5" t="n">
        <v>2</v>
      </c>
      <c r="R268" s="5" t="n">
        <v>0</v>
      </c>
      <c r="S268" s="5" t="n">
        <v>0</v>
      </c>
      <c r="T268" s="5" t="n">
        <v>0</v>
      </c>
      <c r="U268" s="5" t="n">
        <v>0</v>
      </c>
      <c r="V268" s="5" t="n">
        <v>1</v>
      </c>
      <c r="W268" s="5" t="n">
        <v>8</v>
      </c>
      <c r="X268" s="5" t="n">
        <v>4</v>
      </c>
      <c r="Y268" s="5" t="n">
        <v>7.61</v>
      </c>
      <c r="Z268" s="5" t="inlineStr"/>
      <c r="AA268" s="5" t="n">
        <v>4164</v>
      </c>
      <c r="AB268" s="5" t="n">
        <v>2714</v>
      </c>
      <c r="AC268" s="5" t="n">
        <v>4541.9</v>
      </c>
      <c r="AD268" s="5" t="n">
        <v>2726</v>
      </c>
      <c r="AE268" s="5" t="inlineStr"/>
      <c r="AF268" s="5">
        <f>IF(AE268="","",IF(OR(AE268=F268,AND(AE268="crane_footing",F268="isolated_footing")),"yes","no"))</f>
        <v/>
      </c>
    </row>
    <row r="269">
      <c r="A269" s="5" t="n">
        <v>268</v>
      </c>
      <c r="B269" s="5" t="inlineStr">
        <is>
          <t>122</t>
        </is>
      </c>
      <c r="C269" s="5" t="inlineStr">
        <is>
          <t>nearest labels</t>
        </is>
      </c>
      <c r="D269" s="5" t="inlineStr">
        <is>
          <t>band</t>
        </is>
      </c>
      <c r="E269" s="5" t="n">
        <v>3</v>
      </c>
      <c r="F269" s="5" t="inlineStr">
        <is>
          <t>grade_beam</t>
        </is>
      </c>
      <c r="G269" s="5" t="inlineStr">
        <is>
          <t>Grade beam LG40x15 7.90 × 0.40 m</t>
        </is>
      </c>
      <c r="H269" s="5" t="inlineStr">
        <is>
          <t>label vote</t>
        </is>
      </c>
      <c r="I269" s="5" t="inlineStr">
        <is>
          <t>LG40x15</t>
        </is>
      </c>
      <c r="J269" s="5" t="inlineStr">
        <is>
          <t>printed label</t>
        </is>
      </c>
      <c r="K269" s="5" t="inlineStr">
        <is>
          <t>LG-40x15</t>
        </is>
      </c>
      <c r="L269" s="5" t="n">
        <v>790</v>
      </c>
      <c r="M269" s="5" t="n">
        <v>40</v>
      </c>
      <c r="N269" s="10">
        <f>IF(AND(ISNUMBER(L269),M269&gt;0),L269/M269,"")</f>
        <v/>
      </c>
      <c r="O269" s="5" t="n">
        <v>3.159</v>
      </c>
      <c r="P269" s="5" t="n">
        <v>90</v>
      </c>
      <c r="Q269" s="5" t="n">
        <v>2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16</v>
      </c>
      <c r="X269" s="5" t="n">
        <v>2</v>
      </c>
      <c r="Y269" s="5" t="n">
        <v>7.9</v>
      </c>
      <c r="Z269" s="5" t="inlineStr"/>
      <c r="AA269" s="5" t="n">
        <v>4766.7</v>
      </c>
      <c r="AB269" s="5" t="n">
        <v>2747.9</v>
      </c>
      <c r="AC269" s="5" t="n">
        <v>4778.7</v>
      </c>
      <c r="AD269" s="5" t="n">
        <v>2981.1</v>
      </c>
      <c r="AE269" s="5" t="inlineStr"/>
      <c r="AF269" s="5">
        <f>IF(AE269="","",IF(OR(AE269=F269,AND(AE269="crane_footing",F269="isolated_footing")),"yes","no"))</f>
        <v/>
      </c>
    </row>
    <row r="270">
      <c r="A270" s="5" t="n">
        <v>269</v>
      </c>
      <c r="B270" s="5" t="inlineStr">
        <is>
          <t>122</t>
        </is>
      </c>
      <c r="C270" s="5" t="inlineStr">
        <is>
          <t>region between joints</t>
        </is>
      </c>
      <c r="D270" s="5" t="inlineStr">
        <is>
          <t>band</t>
        </is>
      </c>
      <c r="E270" s="5" t="n">
        <v>3</v>
      </c>
      <c r="F270" s="5" t="inlineStr">
        <is>
          <t>grade_beam</t>
        </is>
      </c>
      <c r="G270" s="5" t="inlineStr">
        <is>
          <t>Grade beam LG40x15 7.66 × 0.40 m</t>
        </is>
      </c>
      <c r="H270" s="5" t="inlineStr">
        <is>
          <t>label vote</t>
        </is>
      </c>
      <c r="I270" s="5" t="inlineStr">
        <is>
          <t>LG40x15</t>
        </is>
      </c>
      <c r="J270" s="5" t="inlineStr">
        <is>
          <t>printed label</t>
        </is>
      </c>
      <c r="K270" s="5" t="inlineStr">
        <is>
          <t>LG-40x15</t>
        </is>
      </c>
      <c r="L270" s="5" t="n">
        <v>766</v>
      </c>
      <c r="M270" s="5" t="n">
        <v>40</v>
      </c>
      <c r="N270" s="10">
        <f>IF(AND(ISNUMBER(L270),M270&gt;0),L270/M270,"")</f>
        <v/>
      </c>
      <c r="O270" s="5" t="n">
        <v>3.063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  <c r="U270" s="5" t="n">
        <v>0</v>
      </c>
      <c r="V270" s="5" t="n">
        <v>1</v>
      </c>
      <c r="W270" s="5" t="n">
        <v>8</v>
      </c>
      <c r="X270" s="5" t="n">
        <v>2</v>
      </c>
      <c r="Y270" s="5" t="n">
        <v>5.12</v>
      </c>
      <c r="Z270" s="5" t="inlineStr"/>
      <c r="AA270" s="5" t="n">
        <v>4327.6</v>
      </c>
      <c r="AB270" s="5" t="n">
        <v>2609.4</v>
      </c>
      <c r="AC270" s="5" t="n">
        <v>4553.8</v>
      </c>
      <c r="AD270" s="5" t="n">
        <v>2621.4</v>
      </c>
      <c r="AE270" s="5" t="inlineStr"/>
      <c r="AF270" s="5">
        <f>IF(AE270="","",IF(OR(AE270=F270,AND(AE270="crane_footing",F270="isolated_footing")),"yes","no"))</f>
        <v/>
      </c>
    </row>
    <row r="271">
      <c r="A271" s="5" t="n">
        <v>270</v>
      </c>
      <c r="B271" s="5" t="inlineStr">
        <is>
          <t>122</t>
        </is>
      </c>
      <c r="C271" s="5" t="inlineStr">
        <is>
          <t>region between joints</t>
        </is>
      </c>
      <c r="D271" s="5" t="inlineStr">
        <is>
          <t>band</t>
        </is>
      </c>
      <c r="E271" s="5" t="n">
        <v>3</v>
      </c>
      <c r="F271" s="5" t="inlineStr">
        <is>
          <t>grade_beam</t>
        </is>
      </c>
      <c r="G271" s="5" t="inlineStr">
        <is>
          <t>Grade beam LG40x15 7.45 × 0.40 m</t>
        </is>
      </c>
      <c r="H271" s="5" t="inlineStr">
        <is>
          <t>label vote</t>
        </is>
      </c>
      <c r="I271" s="5" t="inlineStr">
        <is>
          <t>LG40x15</t>
        </is>
      </c>
      <c r="J271" s="5" t="inlineStr">
        <is>
          <t>printed label</t>
        </is>
      </c>
      <c r="K271" s="5" t="inlineStr">
        <is>
          <t>LG-40x15</t>
        </is>
      </c>
      <c r="L271" s="5" t="n">
        <v>745</v>
      </c>
      <c r="M271" s="5" t="n">
        <v>40</v>
      </c>
      <c r="N271" s="10">
        <f>IF(AND(ISNUMBER(L271),M271&gt;0),L271/M271,"")</f>
        <v/>
      </c>
      <c r="O271" s="5" t="n">
        <v>2.98</v>
      </c>
      <c r="P271" s="5" t="n">
        <v>169.3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6</v>
      </c>
      <c r="Y271" s="5" t="n">
        <v>5.98</v>
      </c>
      <c r="Z271" s="5" t="inlineStr"/>
      <c r="AA271" s="5" t="n">
        <v>3539.4</v>
      </c>
      <c r="AB271" s="5" t="n">
        <v>2956.5</v>
      </c>
      <c r="AC271" s="5" t="n">
        <v>3757.7</v>
      </c>
      <c r="AD271" s="5" t="n">
        <v>3008.8</v>
      </c>
      <c r="AE271" s="5" t="inlineStr"/>
      <c r="AF271" s="5">
        <f>IF(AE271="","",IF(OR(AE271=F271,AND(AE271="crane_footing",F271="isolated_footing")),"yes","no"))</f>
        <v/>
      </c>
    </row>
    <row r="272">
      <c r="A272" s="5" t="n">
        <v>271</v>
      </c>
      <c r="B272" s="5" t="inlineStr">
        <is>
          <t>122</t>
        </is>
      </c>
      <c r="C272" s="5" t="inlineStr">
        <is>
          <t>region between joints</t>
        </is>
      </c>
      <c r="D272" s="5" t="inlineStr">
        <is>
          <t>band</t>
        </is>
      </c>
      <c r="E272" s="5" t="n">
        <v>3</v>
      </c>
      <c r="F272" s="5" t="inlineStr">
        <is>
          <t>grade_beam</t>
        </is>
      </c>
      <c r="G272" s="5" t="inlineStr">
        <is>
          <t>Grade beam LG40x15 7.22 × 0.40 m</t>
        </is>
      </c>
      <c r="H272" s="5" t="inlineStr">
        <is>
          <t>label vote</t>
        </is>
      </c>
      <c r="I272" s="5" t="inlineStr">
        <is>
          <t>LG40x15</t>
        </is>
      </c>
      <c r="J272" s="5" t="inlineStr">
        <is>
          <t>printed label</t>
        </is>
      </c>
      <c r="K272" s="5" t="inlineStr">
        <is>
          <t>LG-40x15</t>
        </is>
      </c>
      <c r="L272" s="5" t="n">
        <v>722</v>
      </c>
      <c r="M272" s="5" t="n">
        <v>40</v>
      </c>
      <c r="N272" s="10">
        <f>IF(AND(ISNUMBER(L272),M272&gt;0),L272/M272,"")</f>
        <v/>
      </c>
      <c r="O272" s="5" t="n">
        <v>2.888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  <c r="U272" s="5" t="n">
        <v>0</v>
      </c>
      <c r="V272" s="5" t="n">
        <v>1</v>
      </c>
      <c r="W272" s="5" t="n">
        <v>4</v>
      </c>
      <c r="X272" s="5" t="n">
        <v>4</v>
      </c>
      <c r="Y272" s="5" t="n">
        <v>4.65</v>
      </c>
      <c r="Z272" s="5" t="inlineStr"/>
      <c r="AA272" s="5" t="n">
        <v>4553.6</v>
      </c>
      <c r="AB272" s="5" t="n">
        <v>2810.3</v>
      </c>
      <c r="AC272" s="5" t="n">
        <v>4766.8</v>
      </c>
      <c r="AD272" s="5" t="n">
        <v>2822.2</v>
      </c>
      <c r="AE272" s="5" t="inlineStr"/>
      <c r="AF272" s="5">
        <f>IF(AE272="","",IF(OR(AE272=F272,AND(AE272="crane_footing",F272="isolated_footing")),"yes","no"))</f>
        <v/>
      </c>
    </row>
    <row r="273">
      <c r="A273" s="5" t="n">
        <v>272</v>
      </c>
      <c r="B273" s="5" t="inlineStr">
        <is>
          <t>122</t>
        </is>
      </c>
      <c r="C273" s="5" t="inlineStr">
        <is>
          <t>region between joints</t>
        </is>
      </c>
      <c r="D273" s="5" t="inlineStr">
        <is>
          <t>band</t>
        </is>
      </c>
      <c r="E273" s="5" t="n">
        <v>3</v>
      </c>
      <c r="F273" s="5" t="inlineStr">
        <is>
          <t>grade_beam</t>
        </is>
      </c>
      <c r="G273" s="5" t="inlineStr">
        <is>
          <t>Grade beam LG40x15 6.79 × 0.40 m</t>
        </is>
      </c>
      <c r="H273" s="5" t="inlineStr">
        <is>
          <t>label vote</t>
        </is>
      </c>
      <c r="I273" s="5" t="inlineStr">
        <is>
          <t>LG40x15</t>
        </is>
      </c>
      <c r="J273" s="5" t="inlineStr">
        <is>
          <t>printed label</t>
        </is>
      </c>
      <c r="K273" s="5" t="inlineStr">
        <is>
          <t>LG-40x15</t>
        </is>
      </c>
      <c r="L273" s="5" t="n">
        <v>679</v>
      </c>
      <c r="M273" s="5" t="n">
        <v>40</v>
      </c>
      <c r="N273" s="10">
        <f>IF(AND(ISNUMBER(L273),M273&gt;0),L273/M273,"")</f>
        <v/>
      </c>
      <c r="O273" s="5" t="n">
        <v>2.715</v>
      </c>
      <c r="P273" s="5" t="n">
        <v>52.1</v>
      </c>
      <c r="Q273" s="5" t="n">
        <v>2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1</v>
      </c>
      <c r="X273" s="5" t="n">
        <v>2</v>
      </c>
      <c r="Y273" s="5" t="n">
        <v>4.08</v>
      </c>
      <c r="Z273" s="5" t="inlineStr"/>
      <c r="AA273" s="5" t="n">
        <v>4298</v>
      </c>
      <c r="AB273" s="5" t="n">
        <v>2885.7</v>
      </c>
      <c r="AC273" s="5" t="n">
        <v>4430.4</v>
      </c>
      <c r="AD273" s="5" t="n">
        <v>3051.1</v>
      </c>
      <c r="AE273" s="5" t="inlineStr"/>
      <c r="AF273" s="5">
        <f>IF(AE273="","",IF(OR(AE273=F273,AND(AE273="crane_footing",F273="isolated_footing")),"yes","no"))</f>
        <v/>
      </c>
    </row>
    <row r="274">
      <c r="A274" s="5" t="n">
        <v>273</v>
      </c>
      <c r="B274" s="5" t="inlineStr">
        <is>
          <t>122</t>
        </is>
      </c>
      <c r="C274" s="5" t="inlineStr">
        <is>
          <t>region between joints</t>
        </is>
      </c>
      <c r="D274" s="5" t="inlineStr">
        <is>
          <t>band</t>
        </is>
      </c>
      <c r="E274" s="5" t="n">
        <v>3</v>
      </c>
      <c r="F274" s="5" t="inlineStr">
        <is>
          <t>grade_beam</t>
        </is>
      </c>
      <c r="G274" s="5" t="inlineStr">
        <is>
          <t>Grade beam LG40x15 5.31 × 0.40 m</t>
        </is>
      </c>
      <c r="H274" s="5" t="inlineStr">
        <is>
          <t>label vote</t>
        </is>
      </c>
      <c r="I274" s="5" t="inlineStr">
        <is>
          <t>LG40x15</t>
        </is>
      </c>
      <c r="J274" s="5" t="inlineStr">
        <is>
          <t>printed label</t>
        </is>
      </c>
      <c r="K274" s="5" t="inlineStr">
        <is>
          <t>LG-40x15</t>
        </is>
      </c>
      <c r="L274" s="5" t="n">
        <v>531</v>
      </c>
      <c r="M274" s="5" t="n">
        <v>40</v>
      </c>
      <c r="N274" s="10">
        <f>IF(AND(ISNUMBER(L274),M274&gt;0),L274/M274,"")</f>
        <v/>
      </c>
      <c r="O274" s="5" t="n">
        <v>2.125</v>
      </c>
      <c r="P274" s="5" t="n">
        <v>93.90000000000001</v>
      </c>
      <c r="Q274" s="5" t="n">
        <v>2</v>
      </c>
      <c r="R274" s="5" t="n">
        <v>0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1</v>
      </c>
      <c r="Y274" s="5" t="n">
        <v>3.43</v>
      </c>
      <c r="Z274" s="5" t="inlineStr"/>
      <c r="AA274" s="5" t="n">
        <v>4301.3</v>
      </c>
      <c r="AB274" s="5" t="n">
        <v>2724.4</v>
      </c>
      <c r="AC274" s="5" t="n">
        <v>4323.6</v>
      </c>
      <c r="AD274" s="5" t="n">
        <v>2881.7</v>
      </c>
      <c r="AE274" s="5" t="inlineStr"/>
      <c r="AF274" s="5">
        <f>IF(AE274="","",IF(OR(AE274=F274,AND(AE274="crane_footing",F274="isolated_footing")),"yes","no"))</f>
        <v/>
      </c>
    </row>
    <row r="275">
      <c r="A275" s="5" t="n">
        <v>274</v>
      </c>
      <c r="B275" s="5" t="inlineStr">
        <is>
          <t>122</t>
        </is>
      </c>
      <c r="C275" s="5" t="inlineStr">
        <is>
          <t>region between joints</t>
        </is>
      </c>
      <c r="D275" s="5" t="inlineStr">
        <is>
          <t>band</t>
        </is>
      </c>
      <c r="E275" s="5" t="n">
        <v>3</v>
      </c>
      <c r="F275" s="5" t="inlineStr">
        <is>
          <t>grade_beam</t>
        </is>
      </c>
      <c r="G275" s="5" t="inlineStr">
        <is>
          <t>Grade beam LG40x15 5.27 × 0.40 m</t>
        </is>
      </c>
      <c r="H275" s="5" t="inlineStr">
        <is>
          <t>label vote</t>
        </is>
      </c>
      <c r="I275" s="5" t="inlineStr">
        <is>
          <t>LG40x15</t>
        </is>
      </c>
      <c r="J275" s="5" t="inlineStr">
        <is>
          <t>printed label</t>
        </is>
      </c>
      <c r="K275" s="5" t="inlineStr">
        <is>
          <t>LG-40x15</t>
        </is>
      </c>
      <c r="L275" s="5" t="n">
        <v>527</v>
      </c>
      <c r="M275" s="5" t="n">
        <v>40</v>
      </c>
      <c r="N275" s="10">
        <f>IF(AND(ISNUMBER(L275),M275&gt;0),L275/M275,"")</f>
        <v/>
      </c>
      <c r="O275" s="5" t="n">
        <v>2.107</v>
      </c>
      <c r="P275" s="5" t="n">
        <v>79.3</v>
      </c>
      <c r="Q275" s="5" t="n">
        <v>2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1</v>
      </c>
      <c r="W275" s="5" t="n">
        <v>20</v>
      </c>
      <c r="X275" s="5" t="n">
        <v>2</v>
      </c>
      <c r="Y275" s="5" t="n">
        <v>3.37</v>
      </c>
      <c r="Z275" s="5" t="inlineStr"/>
      <c r="AA275" s="5" t="n">
        <v>3727.5</v>
      </c>
      <c r="AB275" s="5" t="n">
        <v>2813.3</v>
      </c>
      <c r="AC275" s="5" t="n">
        <v>3768.1</v>
      </c>
      <c r="AD275" s="5" t="n">
        <v>2968.3</v>
      </c>
      <c r="AE275" s="5" t="inlineStr"/>
      <c r="AF275" s="5">
        <f>IF(AE275="","",IF(OR(AE275=F275,AND(AE275="crane_footing",F275="isolated_footing")),"yes","no"))</f>
        <v/>
      </c>
    </row>
    <row r="276">
      <c r="A276" s="5" t="n">
        <v>275</v>
      </c>
      <c r="B276" s="5" t="inlineStr">
        <is>
          <t>122</t>
        </is>
      </c>
      <c r="C276" s="5" t="inlineStr">
        <is>
          <t>region between joints</t>
        </is>
      </c>
      <c r="D276" s="5" t="inlineStr">
        <is>
          <t>band</t>
        </is>
      </c>
      <c r="E276" s="5" t="n">
        <v>3</v>
      </c>
      <c r="F276" s="5" t="inlineStr">
        <is>
          <t>grade_beam</t>
        </is>
      </c>
      <c r="G276" s="5" t="inlineStr">
        <is>
          <t>Grade beam LG40x15 5.14 × 0.40 m</t>
        </is>
      </c>
      <c r="H276" s="5" t="inlineStr">
        <is>
          <t>label vote</t>
        </is>
      </c>
      <c r="I276" s="5" t="inlineStr">
        <is>
          <t>LG40x15</t>
        </is>
      </c>
      <c r="J276" s="5" t="inlineStr">
        <is>
          <t>printed label</t>
        </is>
      </c>
      <c r="K276" s="5" t="inlineStr">
        <is>
          <t>LG-40x15</t>
        </is>
      </c>
      <c r="L276" s="5" t="n">
        <v>514</v>
      </c>
      <c r="M276" s="5" t="n">
        <v>40</v>
      </c>
      <c r="N276" s="10">
        <f>IF(AND(ISNUMBER(L276),M276&gt;0),L276/M276,"")</f>
        <v/>
      </c>
      <c r="O276" s="5" t="n">
        <v>2.057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16</v>
      </c>
      <c r="X276" s="5" t="n">
        <v>1</v>
      </c>
      <c r="Y276" s="5" t="n">
        <v>3.59</v>
      </c>
      <c r="Z276" s="5" t="inlineStr"/>
      <c r="AA276" s="5" t="n">
        <v>4164.3</v>
      </c>
      <c r="AB276" s="5" t="n">
        <v>2253.8</v>
      </c>
      <c r="AC276" s="5" t="n">
        <v>4316.1</v>
      </c>
      <c r="AD276" s="5" t="n">
        <v>2265.7</v>
      </c>
      <c r="AE276" s="5" t="inlineStr"/>
      <c r="AF276" s="5">
        <f>IF(AE276="","",IF(OR(AE276=F276,AND(AE276="crane_footing",F276="isolated_footing")),"yes","no"))</f>
        <v/>
      </c>
    </row>
    <row r="277">
      <c r="A277" s="5" t="n">
        <v>276</v>
      </c>
      <c r="B277" s="5" t="inlineStr">
        <is>
          <t>122</t>
        </is>
      </c>
      <c r="C277" s="5" t="inlineStr">
        <is>
          <t>region between joints</t>
        </is>
      </c>
      <c r="D277" s="5" t="inlineStr">
        <is>
          <t>band</t>
        </is>
      </c>
      <c r="E277" s="5" t="n">
        <v>3</v>
      </c>
      <c r="F277" s="5" t="inlineStr">
        <is>
          <t>grade_beam</t>
        </is>
      </c>
      <c r="G277" s="5" t="inlineStr">
        <is>
          <t>Grade beam LG40x15 5.14 × 0.40 m</t>
        </is>
      </c>
      <c r="H277" s="5" t="inlineStr">
        <is>
          <t>label vote</t>
        </is>
      </c>
      <c r="I277" s="5" t="inlineStr">
        <is>
          <t>LG40x15</t>
        </is>
      </c>
      <c r="J277" s="5" t="inlineStr">
        <is>
          <t>printed label</t>
        </is>
      </c>
      <c r="K277" s="5" t="inlineStr">
        <is>
          <t>LG-40x15</t>
        </is>
      </c>
      <c r="L277" s="5" t="n">
        <v>514</v>
      </c>
      <c r="M277" s="5" t="n">
        <v>40</v>
      </c>
      <c r="N277" s="10">
        <f>IF(AND(ISNUMBER(L277),M277&gt;0),L277/M277,"")</f>
        <v/>
      </c>
      <c r="O277" s="5" t="n">
        <v>2.056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17</v>
      </c>
      <c r="X277" s="5" t="n">
        <v>1</v>
      </c>
      <c r="Y277" s="5" t="n">
        <v>3.59</v>
      </c>
      <c r="Z277" s="5" t="inlineStr"/>
      <c r="AA277" s="5" t="n">
        <v>4164.1</v>
      </c>
      <c r="AB277" s="5" t="n">
        <v>2484.2</v>
      </c>
      <c r="AC277" s="5" t="n">
        <v>4315.9</v>
      </c>
      <c r="AD277" s="5" t="n">
        <v>2496</v>
      </c>
      <c r="AE277" s="5" t="inlineStr"/>
      <c r="AF277" s="5">
        <f>IF(AE277="","",IF(OR(AE277=F277,AND(AE277="crane_footing",F277="isolated_footing")),"yes","no"))</f>
        <v/>
      </c>
    </row>
    <row r="278">
      <c r="A278" s="5" t="n">
        <v>277</v>
      </c>
      <c r="B278" s="5" t="inlineStr">
        <is>
          <t>122</t>
        </is>
      </c>
      <c r="C278" s="5" t="inlineStr">
        <is>
          <t>region between joints</t>
        </is>
      </c>
      <c r="D278" s="5" t="inlineStr">
        <is>
          <t>band</t>
        </is>
      </c>
      <c r="E278" s="5" t="n">
        <v>3</v>
      </c>
      <c r="F278" s="5" t="inlineStr">
        <is>
          <t>grade_beam</t>
        </is>
      </c>
      <c r="G278" s="5" t="inlineStr">
        <is>
          <t>Grade beam LG40x15 5.12 × 0.40 m</t>
        </is>
      </c>
      <c r="H278" s="5" t="inlineStr">
        <is>
          <t>label vote</t>
        </is>
      </c>
      <c r="I278" s="5" t="inlineStr">
        <is>
          <t>LG40x15</t>
        </is>
      </c>
      <c r="J278" s="5" t="inlineStr">
        <is>
          <t>printed label</t>
        </is>
      </c>
      <c r="K278" s="5" t="inlineStr">
        <is>
          <t>LG-40x15</t>
        </is>
      </c>
      <c r="L278" s="5" t="n">
        <v>512</v>
      </c>
      <c r="M278" s="5" t="n">
        <v>40</v>
      </c>
      <c r="N278" s="10">
        <f>IF(AND(ISNUMBER(L278),M278&gt;0),L278/M278,"")</f>
        <v/>
      </c>
      <c r="O278" s="5" t="n">
        <v>2.047</v>
      </c>
      <c r="P278" s="5" t="n">
        <v>79.2</v>
      </c>
      <c r="Q278" s="5" t="n">
        <v>2</v>
      </c>
      <c r="R278" s="5" t="n">
        <v>0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19</v>
      </c>
      <c r="X278" s="5" t="n">
        <v>1</v>
      </c>
      <c r="Y278" s="5" t="n">
        <v>3.61</v>
      </c>
      <c r="Z278" s="5" t="inlineStr"/>
      <c r="AA278" s="5" t="n">
        <v>3952.3</v>
      </c>
      <c r="AB278" s="5" t="n">
        <v>2776.2</v>
      </c>
      <c r="AC278" s="5" t="n">
        <v>3992.2</v>
      </c>
      <c r="AD278" s="5" t="n">
        <v>2926.9</v>
      </c>
      <c r="AE278" s="5" t="inlineStr"/>
      <c r="AF278" s="5">
        <f>IF(AE278="","",IF(OR(AE278=F278,AND(AE278="crane_footing",F278="isolated_footing")),"yes","no"))</f>
        <v/>
      </c>
    </row>
    <row r="279">
      <c r="A279" s="5" t="n">
        <v>278</v>
      </c>
      <c r="B279" s="5" t="inlineStr">
        <is>
          <t>122</t>
        </is>
      </c>
      <c r="C279" s="5" t="inlineStr">
        <is>
          <t>region between joints</t>
        </is>
      </c>
      <c r="D279" s="5" t="inlineStr">
        <is>
          <t>band</t>
        </is>
      </c>
      <c r="E279" s="5" t="n">
        <v>3</v>
      </c>
      <c r="F279" s="5" t="inlineStr">
        <is>
          <t>grade_beam</t>
        </is>
      </c>
      <c r="G279" s="5" t="inlineStr">
        <is>
          <t>Grade beam LG40x15 2.60 × 0.40 m</t>
        </is>
      </c>
      <c r="H279" s="5" t="inlineStr">
        <is>
          <t>label vote</t>
        </is>
      </c>
      <c r="I279" s="5" t="inlineStr">
        <is>
          <t>LG40x15</t>
        </is>
      </c>
      <c r="J279" s="5" t="inlineStr">
        <is>
          <t>printed label</t>
        </is>
      </c>
      <c r="K279" s="5" t="inlineStr">
        <is>
          <t>LG-40x15</t>
        </is>
      </c>
      <c r="L279" s="5" t="n">
        <v>260</v>
      </c>
      <c r="M279" s="5" t="n">
        <v>40</v>
      </c>
      <c r="N279" s="10">
        <f>IF(AND(ISNUMBER(L279),M279&gt;0),L279/M279,"")</f>
        <v/>
      </c>
      <c r="O279" s="5" t="n">
        <v>1.039</v>
      </c>
      <c r="P279" s="5" t="n">
        <v>169.4</v>
      </c>
      <c r="Q279" s="5" t="n">
        <v>2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2</v>
      </c>
      <c r="X279" s="5" t="n">
        <v>2</v>
      </c>
      <c r="Y279" s="5" t="n">
        <v>0.99</v>
      </c>
      <c r="Z279" s="5" t="inlineStr"/>
      <c r="AA279" s="5" t="n">
        <v>4221.8</v>
      </c>
      <c r="AB279" s="5" t="n">
        <v>2883.1</v>
      </c>
      <c r="AC279" s="5" t="n">
        <v>4299.3</v>
      </c>
      <c r="AD279" s="5" t="n">
        <v>2908.8</v>
      </c>
      <c r="AE279" s="5" t="inlineStr"/>
      <c r="AF279" s="5">
        <f>IF(AE279="","",IF(OR(AE279=F279,AND(AE279="crane_footing",F279="isolated_footing")),"yes","no"))</f>
        <v/>
      </c>
    </row>
    <row r="280">
      <c r="A280" s="5" t="n">
        <v>279</v>
      </c>
      <c r="B280" s="5" t="inlineStr">
        <is>
          <t>122</t>
        </is>
      </c>
      <c r="C280" s="5" t="inlineStr">
        <is>
          <t>region between joints</t>
        </is>
      </c>
      <c r="D280" s="5" t="inlineStr">
        <is>
          <t>band</t>
        </is>
      </c>
      <c r="E280" s="5" t="n">
        <v>3</v>
      </c>
      <c r="F280" s="5" t="inlineStr">
        <is>
          <t>grade_beam</t>
        </is>
      </c>
      <c r="G280" s="5" t="inlineStr">
        <is>
          <t>Grade beam LG40x15 1.32 × 0.40 m</t>
        </is>
      </c>
      <c r="H280" s="5" t="inlineStr">
        <is>
          <t>label vote</t>
        </is>
      </c>
      <c r="I280" s="5" t="inlineStr">
        <is>
          <t>LG40x15</t>
        </is>
      </c>
      <c r="J280" s="5" t="inlineStr">
        <is>
          <t>printed label</t>
        </is>
      </c>
      <c r="K280" s="5" t="inlineStr">
        <is>
          <t>LG-40x15</t>
        </is>
      </c>
      <c r="L280" s="5" t="n">
        <v>132</v>
      </c>
      <c r="M280" s="5" t="n">
        <v>40</v>
      </c>
      <c r="N280" s="10">
        <f>IF(AND(ISNUMBER(L280),M280&gt;0),L280/M280,"")</f>
        <v/>
      </c>
      <c r="O280" s="5" t="n">
        <v>0.527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1</v>
      </c>
      <c r="X280" s="5" t="n">
        <v>2</v>
      </c>
      <c r="Y280" s="5" t="n">
        <v>0.22</v>
      </c>
      <c r="Z280" s="5" t="inlineStr"/>
      <c r="AA280" s="5" t="n">
        <v>4553.7</v>
      </c>
      <c r="AB280" s="5" t="n">
        <v>2695.2</v>
      </c>
      <c r="AC280" s="5" t="n">
        <v>4592.6</v>
      </c>
      <c r="AD280" s="5" t="n">
        <v>2707</v>
      </c>
      <c r="AE280" s="5" t="inlineStr"/>
      <c r="AF280" s="5">
        <f>IF(AE280="","",IF(OR(AE280=F280,AND(AE280="crane_footing",F280="isolated_footing")),"yes","no"))</f>
        <v/>
      </c>
    </row>
    <row r="281">
      <c r="A281" s="5" t="n">
        <v>280</v>
      </c>
      <c r="B281" s="5" t="inlineStr">
        <is>
          <t>122</t>
        </is>
      </c>
      <c r="C281" s="5" t="inlineStr">
        <is>
          <t>region between joints</t>
        </is>
      </c>
      <c r="D281" s="5" t="inlineStr">
        <is>
          <t>band</t>
        </is>
      </c>
      <c r="E281" s="5" t="n">
        <v>3</v>
      </c>
      <c r="F281" s="5" t="inlineStr">
        <is>
          <t>grade_beam</t>
        </is>
      </c>
      <c r="G281" s="5" t="inlineStr">
        <is>
          <t>Grade beam 3.50 × 0.40 m</t>
        </is>
      </c>
      <c r="H281" s="5" t="inlineStr">
        <is>
          <t>label vote</t>
        </is>
      </c>
      <c r="I281" s="5" t="inlineStr">
        <is>
          <t>(none)</t>
        </is>
      </c>
      <c r="J281" s="5" t="inlineStr"/>
      <c r="K281" s="5" t="inlineStr"/>
      <c r="L281" s="5" t="n">
        <v>350</v>
      </c>
      <c r="M281" s="5" t="n">
        <v>40</v>
      </c>
      <c r="N281" s="10">
        <f>IF(AND(ISNUMBER(L281),M281&gt;0),L281/M281,"")</f>
        <v/>
      </c>
      <c r="O281" s="5" t="n">
        <v>1.4</v>
      </c>
      <c r="P281" s="5" t="n">
        <v>90</v>
      </c>
      <c r="Q281" s="5" t="n">
        <v>1</v>
      </c>
      <c r="R281" s="5" t="n">
        <v>1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2</v>
      </c>
      <c r="X281" s="5" t="n">
        <v>2</v>
      </c>
      <c r="Y281" s="5" t="n">
        <v>0.63</v>
      </c>
      <c r="Z281" s="5" t="inlineStr"/>
      <c r="AA281" s="5" t="n">
        <v>4582.4</v>
      </c>
      <c r="AB281" s="5" t="n">
        <v>2707</v>
      </c>
      <c r="AC281" s="5" t="n">
        <v>4594.3</v>
      </c>
      <c r="AD281" s="5" t="n">
        <v>2810.3</v>
      </c>
      <c r="AE281" s="5" t="inlineStr"/>
      <c r="AF281" s="5">
        <f>IF(AE281="","",IF(OR(AE281=F281,AND(AE281="crane_footing",F281="isolated_footing")),"yes","no"))</f>
        <v/>
      </c>
    </row>
    <row r="282">
      <c r="A282" s="5" t="n">
        <v>281</v>
      </c>
      <c r="B282" s="5" t="inlineStr">
        <is>
          <t>122</t>
        </is>
      </c>
      <c r="C282" s="5" t="inlineStr">
        <is>
          <t>region between joints</t>
        </is>
      </c>
      <c r="D282" s="5" t="inlineStr">
        <is>
          <t>stamped_region</t>
        </is>
      </c>
      <c r="E282" s="5" t="n">
        <v>39</v>
      </c>
      <c r="F282" s="5" t="inlineStr">
        <is>
          <t>raft</t>
        </is>
      </c>
      <c r="G282" s="5" t="inlineStr">
        <is>
          <t>Raft Radier 100 12.01 × 10.51 m, 86.7 m²</t>
        </is>
      </c>
      <c r="H282" s="5" t="inlineStr">
        <is>
          <t>label vote</t>
        </is>
      </c>
      <c r="I282" s="5" t="inlineStr">
        <is>
          <t>Radier 100</t>
        </is>
      </c>
      <c r="J282" s="5" t="inlineStr">
        <is>
          <t>printed label</t>
        </is>
      </c>
      <c r="K282" s="5" t="inlineStr">
        <is>
          <t>Radier</t>
        </is>
      </c>
      <c r="L282" s="5" t="n">
        <v>1201</v>
      </c>
      <c r="M282" s="5" t="n">
        <v>1051</v>
      </c>
      <c r="N282" s="10">
        <f>IF(AND(ISNUMBER(L282),M282&gt;0),L282/M282,"")</f>
        <v/>
      </c>
      <c r="O282" s="5" t="n">
        <v>86.72199999999999</v>
      </c>
      <c r="P282" s="5" t="n">
        <v>0.1</v>
      </c>
      <c r="Q282" s="5" t="n">
        <v>13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10</v>
      </c>
      <c r="W282" s="5" t="n">
        <v>196</v>
      </c>
      <c r="X282" s="5" t="n">
        <v>3</v>
      </c>
      <c r="Y282" s="5" t="n"/>
      <c r="Z282" s="5" t="inlineStr">
        <is>
          <t>traced outline</t>
        </is>
      </c>
      <c r="AA282" s="5" t="n">
        <v>4689.5</v>
      </c>
      <c r="AB282" s="5" t="n">
        <v>2477.2</v>
      </c>
      <c r="AC282" s="5" t="n">
        <v>5043.8</v>
      </c>
      <c r="AD282" s="5" t="n">
        <v>2788</v>
      </c>
      <c r="AE282" s="5" t="inlineStr"/>
      <c r="AF282" s="5">
        <f>IF(AE282="","",IF(OR(AE282=F282,AND(AE282="crane_footing",F282="isolated_footing")),"yes","no"))</f>
        <v/>
      </c>
    </row>
    <row r="283">
      <c r="A283" s="5" t="n">
        <v>282</v>
      </c>
      <c r="B283" s="5" t="inlineStr">
        <is>
          <t>122</t>
        </is>
      </c>
      <c r="C283" s="5" t="inlineStr">
        <is>
          <t>region between joints</t>
        </is>
      </c>
      <c r="D283" s="5" t="inlineStr">
        <is>
          <t>single_hatch</t>
        </is>
      </c>
      <c r="E283" s="5" t="n">
        <v>24</v>
      </c>
      <c r="F283" s="5" t="inlineStr">
        <is>
          <t>unidentified</t>
        </is>
      </c>
      <c r="G283" s="5" t="inlineStr">
        <is>
          <t>C24</t>
        </is>
      </c>
      <c r="H283" s="5" t="inlineStr">
        <is>
          <t>no label votes</t>
        </is>
      </c>
      <c r="I283" s="5" t="inlineStr">
        <is>
          <t>(none)</t>
        </is>
      </c>
      <c r="J283" s="5" t="inlineStr"/>
      <c r="K283" s="5" t="inlineStr"/>
      <c r="L283" s="5" t="n">
        <v>70</v>
      </c>
      <c r="M283" s="5" t="n">
        <v>9</v>
      </c>
      <c r="N283" s="10">
        <f>IF(AND(ISNUMBER(L283),M283&gt;0),L283/M283,"")</f>
        <v/>
      </c>
      <c r="O283" s="5" t="n">
        <v>0.039</v>
      </c>
      <c r="P283" s="5" t="n">
        <v>26.8</v>
      </c>
      <c r="Q283" s="5" t="n">
        <v>1</v>
      </c>
      <c r="R283" s="5" t="n">
        <v>0</v>
      </c>
      <c r="S283" s="5" t="n">
        <v>0</v>
      </c>
      <c r="T283" s="5" t="n">
        <v>1</v>
      </c>
      <c r="U283" s="5" t="n">
        <v>0</v>
      </c>
      <c r="V283" s="5" t="n">
        <v>0</v>
      </c>
      <c r="W283" s="5" t="n">
        <v>1</v>
      </c>
      <c r="X283" s="5" t="n">
        <v>0</v>
      </c>
      <c r="Y283" s="5" t="n"/>
      <c r="Z283" s="5" t="inlineStr"/>
      <c r="AA283" s="5" t="n">
        <v>4821.8</v>
      </c>
      <c r="AB283" s="5" t="n">
        <v>2740.4</v>
      </c>
      <c r="AC283" s="5" t="n">
        <v>4841.3</v>
      </c>
      <c r="AD283" s="5" t="n">
        <v>2747.8</v>
      </c>
      <c r="AE283" s="5" t="inlineStr"/>
      <c r="AF283" s="5">
        <f>IF(AE283="","",IF(OR(AE283=F283,AND(AE283="crane_footing",F283="isolated_footing")),"yes","no"))</f>
        <v/>
      </c>
    </row>
    <row r="284">
      <c r="A284" s="5" t="n">
        <v>283</v>
      </c>
      <c r="B284" s="5" t="inlineStr">
        <is>
          <t>122</t>
        </is>
      </c>
      <c r="C284" s="5" t="inlineStr">
        <is>
          <t>region between joints</t>
        </is>
      </c>
      <c r="D284" s="5" t="inlineStr">
        <is>
          <t>single_hatch</t>
        </is>
      </c>
      <c r="E284" s="5" t="n">
        <v>24</v>
      </c>
      <c r="F284" s="5" t="inlineStr">
        <is>
          <t>unidentified</t>
        </is>
      </c>
      <c r="G284" s="5" t="inlineStr">
        <is>
          <t>C24</t>
        </is>
      </c>
      <c r="H284" s="5" t="inlineStr">
        <is>
          <t>no label votes</t>
        </is>
      </c>
      <c r="I284" s="5" t="inlineStr">
        <is>
          <t>(none)</t>
        </is>
      </c>
      <c r="J284" s="5" t="inlineStr"/>
      <c r="K284" s="5" t="inlineStr"/>
      <c r="L284" s="5" t="n">
        <v>107</v>
      </c>
      <c r="M284" s="5" t="n">
        <v>20</v>
      </c>
      <c r="N284" s="10">
        <f>IF(AND(ISNUMBER(L284),M284&gt;0),L284/M284,"")</f>
        <v/>
      </c>
      <c r="O284" s="5" t="n">
        <v>0.128</v>
      </c>
      <c r="P284" s="5" t="n">
        <v>0</v>
      </c>
      <c r="Q284" s="5" t="n">
        <v>1</v>
      </c>
      <c r="R284" s="5" t="n">
        <v>0</v>
      </c>
      <c r="S284" s="5" t="n">
        <v>0</v>
      </c>
      <c r="T284" s="5" t="n">
        <v>1</v>
      </c>
      <c r="U284" s="5" t="n">
        <v>0</v>
      </c>
      <c r="V284" s="5" t="n">
        <v>0</v>
      </c>
      <c r="W284" s="5" t="n">
        <v>1</v>
      </c>
      <c r="X284" s="5" t="n">
        <v>0</v>
      </c>
      <c r="Y284" s="5" t="n"/>
      <c r="Z284" s="5" t="inlineStr"/>
      <c r="AA284" s="5" t="n">
        <v>4881.4</v>
      </c>
      <c r="AB284" s="5" t="n">
        <v>2653.2</v>
      </c>
      <c r="AC284" s="5" t="n">
        <v>4913.1</v>
      </c>
      <c r="AD284" s="5" t="n">
        <v>2659.1</v>
      </c>
      <c r="AE284" s="5" t="inlineStr"/>
      <c r="AF284" s="5">
        <f>IF(AE284="","",IF(OR(AE284=F284,AND(AE284="crane_footing",F284="isolated_footing")),"yes","no"))</f>
        <v/>
      </c>
    </row>
    <row r="285">
      <c r="A285" s="5" t="n">
        <v>284</v>
      </c>
      <c r="B285" s="5" t="inlineStr">
        <is>
          <t>122</t>
        </is>
      </c>
      <c r="C285" s="5" t="inlineStr">
        <is>
          <t>region between joints</t>
        </is>
      </c>
      <c r="D285" s="5" t="inlineStr">
        <is>
          <t>outline</t>
        </is>
      </c>
      <c r="E285" s="5" t="n">
        <v>20</v>
      </c>
      <c r="F285" s="5" t="inlineStr">
        <is>
          <t>unidentified</t>
        </is>
      </c>
      <c r="G285" s="5" t="inlineStr">
        <is>
          <t>C20</t>
        </is>
      </c>
      <c r="H285" s="5" t="inlineStr">
        <is>
          <t>no label votes</t>
        </is>
      </c>
      <c r="I285" s="5" t="inlineStr">
        <is>
          <t>(none)</t>
        </is>
      </c>
      <c r="J285" s="5" t="inlineStr"/>
      <c r="K285" s="5" t="inlineStr"/>
      <c r="L285" s="5" t="n">
        <v>60</v>
      </c>
      <c r="M285" s="5" t="n">
        <v>60</v>
      </c>
      <c r="N285" s="10">
        <f>IF(AND(ISNUMBER(L285),M285&gt;0),L285/M285,"")</f>
        <v/>
      </c>
      <c r="O285" s="5" t="n">
        <v>0.361</v>
      </c>
      <c r="P285" s="5" t="n">
        <v>90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53</v>
      </c>
      <c r="X285" s="5" t="n">
        <v>2</v>
      </c>
      <c r="Y285" s="5" t="n"/>
      <c r="Z285" s="5" t="inlineStr"/>
      <c r="AA285" s="5" t="n">
        <v>4309.7</v>
      </c>
      <c r="AB285" s="5" t="n">
        <v>2320.8</v>
      </c>
      <c r="AC285" s="5" t="n">
        <v>4327.5</v>
      </c>
      <c r="AD285" s="5" t="n">
        <v>2338.5</v>
      </c>
      <c r="AE285" s="5" t="inlineStr">
        <is>
          <t>mass_concrete_pad</t>
        </is>
      </c>
      <c r="AF285" s="5">
        <f>IF(AE285="","",IF(OR(AE285=F285,AND(AE285="crane_footing",F285="isolated_footing")),"yes","no"))</f>
        <v/>
      </c>
    </row>
    <row r="286">
      <c r="A286" s="5" t="n">
        <v>285</v>
      </c>
      <c r="B286" s="5" t="inlineStr">
        <is>
          <t>122</t>
        </is>
      </c>
      <c r="C286" s="5" t="inlineStr">
        <is>
          <t>region between joints</t>
        </is>
      </c>
      <c r="D286" s="5" t="inlineStr">
        <is>
          <t>outline</t>
        </is>
      </c>
      <c r="E286" s="5" t="n">
        <v>20</v>
      </c>
      <c r="F286" s="5" t="inlineStr">
        <is>
          <t>unidentified</t>
        </is>
      </c>
      <c r="G286" s="5" t="inlineStr">
        <is>
          <t>C20</t>
        </is>
      </c>
      <c r="H286" s="5" t="inlineStr">
        <is>
          <t>no label votes</t>
        </is>
      </c>
      <c r="I286" s="5" t="inlineStr">
        <is>
          <t>(none)</t>
        </is>
      </c>
      <c r="J286" s="5" t="inlineStr"/>
      <c r="K286" s="5" t="inlineStr"/>
      <c r="L286" s="5" t="n">
        <v>60</v>
      </c>
      <c r="M286" s="5" t="n">
        <v>60</v>
      </c>
      <c r="N286" s="10">
        <f>IF(AND(ISNUMBER(L286),M286&gt;0),L286/M286,"")</f>
        <v/>
      </c>
      <c r="O286" s="5" t="n">
        <v>0.36</v>
      </c>
      <c r="P286" s="5" t="n">
        <v>79.40000000000001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47</v>
      </c>
      <c r="X286" s="5" t="n">
        <v>2</v>
      </c>
      <c r="Y286" s="5" t="n"/>
      <c r="Z286" s="5" t="inlineStr"/>
      <c r="AA286" s="5" t="n">
        <v>3884.5</v>
      </c>
      <c r="AB286" s="5" t="n">
        <v>2938.5</v>
      </c>
      <c r="AC286" s="5" t="n">
        <v>3905.2</v>
      </c>
      <c r="AD286" s="5" t="n">
        <v>2959.2</v>
      </c>
      <c r="AE286" s="5" t="inlineStr">
        <is>
          <t>mass_concrete_pad</t>
        </is>
      </c>
      <c r="AF286" s="5">
        <f>IF(AE286="","",IF(OR(AE286=F286,AND(AE286="crane_footing",F286="isolated_footing")),"yes","no"))</f>
        <v/>
      </c>
    </row>
    <row r="287">
      <c r="A287" s="5" t="n">
        <v>286</v>
      </c>
      <c r="B287" s="5" t="inlineStr">
        <is>
          <t>122</t>
        </is>
      </c>
      <c r="C287" s="5" t="inlineStr">
        <is>
          <t>region between joints</t>
        </is>
      </c>
      <c r="D287" s="5" t="inlineStr">
        <is>
          <t>outline</t>
        </is>
      </c>
      <c r="E287" s="5" t="n">
        <v>20</v>
      </c>
      <c r="F287" s="5" t="inlineStr">
        <is>
          <t>unidentified</t>
        </is>
      </c>
      <c r="G287" s="5" t="inlineStr">
        <is>
          <t>C20</t>
        </is>
      </c>
      <c r="H287" s="5" t="inlineStr">
        <is>
          <t>no label votes</t>
        </is>
      </c>
      <c r="I287" s="5" t="inlineStr">
        <is>
          <t>(none)</t>
        </is>
      </c>
      <c r="J287" s="5" t="inlineStr"/>
      <c r="K287" s="5" t="inlineStr"/>
      <c r="L287" s="5" t="n">
        <v>60</v>
      </c>
      <c r="M287" s="5" t="n">
        <v>60</v>
      </c>
      <c r="N287" s="10">
        <f>IF(AND(ISNUMBER(L287),M287&gt;0),L287/M287,"")</f>
        <v/>
      </c>
      <c r="O287" s="5" t="n">
        <v>0.36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54</v>
      </c>
      <c r="X287" s="5" t="n">
        <v>2</v>
      </c>
      <c r="Y287" s="5" t="n"/>
      <c r="Z287" s="5" t="inlineStr"/>
      <c r="AA287" s="5" t="n">
        <v>4312.5</v>
      </c>
      <c r="AB287" s="5" t="n">
        <v>2606.3</v>
      </c>
      <c r="AC287" s="5" t="n">
        <v>4330.3</v>
      </c>
      <c r="AD287" s="5" t="n">
        <v>2624</v>
      </c>
      <c r="AE287" s="5" t="inlineStr">
        <is>
          <t>mass_concrete_pad</t>
        </is>
      </c>
      <c r="AF287" s="5">
        <f>IF(AE287="","",IF(OR(AE287=F287,AND(AE287="crane_footing",F287="isolated_footing")),"yes","no"))</f>
        <v/>
      </c>
    </row>
    <row r="288">
      <c r="A288" s="5" t="n">
        <v>287</v>
      </c>
      <c r="B288" s="5" t="inlineStr">
        <is>
          <t>122</t>
        </is>
      </c>
      <c r="C288" s="5" t="inlineStr">
        <is>
          <t>region between joints</t>
        </is>
      </c>
      <c r="D288" s="5" t="inlineStr">
        <is>
          <t>band</t>
        </is>
      </c>
      <c r="E288" s="5" t="n">
        <v>2</v>
      </c>
      <c r="F288" s="5" t="inlineStr">
        <is>
          <t>unidentified</t>
        </is>
      </c>
      <c r="G288" s="5" t="inlineStr">
        <is>
          <t>C2</t>
        </is>
      </c>
      <c r="H288" s="5" t="inlineStr">
        <is>
          <t>no label votes</t>
        </is>
      </c>
      <c r="I288" s="5" t="inlineStr">
        <is>
          <t>(none)</t>
        </is>
      </c>
      <c r="J288" s="5" t="inlineStr"/>
      <c r="K288" s="5" t="inlineStr"/>
      <c r="L288" s="5" t="n">
        <v>217</v>
      </c>
      <c r="M288" s="5" t="n">
        <v>32</v>
      </c>
      <c r="N288" s="10">
        <f>IF(AND(ISNUMBER(L288),M288&gt;0),L288/M288,"")</f>
        <v/>
      </c>
      <c r="O288" s="5" t="n">
        <v>0.6909999999999999</v>
      </c>
      <c r="P288" s="5" t="n">
        <v>36.6</v>
      </c>
      <c r="Q288" s="5" t="n">
        <v>1</v>
      </c>
      <c r="R288" s="5" t="n">
        <v>1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8</v>
      </c>
      <c r="Y288" s="5" t="n">
        <v>0</v>
      </c>
      <c r="Z288" s="5" t="inlineStr"/>
      <c r="AA288" s="5" t="n">
        <v>4707.7</v>
      </c>
      <c r="AB288" s="5" t="n">
        <v>2144.3</v>
      </c>
      <c r="AC288" s="5" t="n">
        <v>4764.8</v>
      </c>
      <c r="AD288" s="5" t="n">
        <v>2190.1</v>
      </c>
      <c r="AE288" s="5" t="inlineStr"/>
      <c r="AF288" s="5">
        <f>IF(AE288="","",IF(OR(AE288=F288,AND(AE288="crane_footing",F288="isolated_footing")),"yes","no"))</f>
        <v/>
      </c>
    </row>
    <row r="289">
      <c r="A289" s="5" t="n">
        <v>288</v>
      </c>
      <c r="B289" s="5" t="inlineStr">
        <is>
          <t>122</t>
        </is>
      </c>
      <c r="C289" s="5" t="inlineStr">
        <is>
          <t>region between joints</t>
        </is>
      </c>
      <c r="D289" s="5" t="inlineStr">
        <is>
          <t>band</t>
        </is>
      </c>
      <c r="E289" s="5" t="n">
        <v>2</v>
      </c>
      <c r="F289" s="5" t="inlineStr">
        <is>
          <t>unidentified</t>
        </is>
      </c>
      <c r="G289" s="5" t="inlineStr">
        <is>
          <t>C2</t>
        </is>
      </c>
      <c r="H289" s="5" t="inlineStr">
        <is>
          <t>no label votes</t>
        </is>
      </c>
      <c r="I289" s="5" t="inlineStr">
        <is>
          <t>(none)</t>
        </is>
      </c>
      <c r="J289" s="5" t="inlineStr"/>
      <c r="K289" s="5" t="inlineStr"/>
      <c r="L289" s="5" t="n">
        <v>217</v>
      </c>
      <c r="M289" s="5" t="n">
        <v>32</v>
      </c>
      <c r="N289" s="10">
        <f>IF(AND(ISNUMBER(L289),M289&gt;0),L289/M289,"")</f>
        <v/>
      </c>
      <c r="O289" s="5" t="n">
        <v>0.6909999999999999</v>
      </c>
      <c r="P289" s="5" t="n">
        <v>36.6</v>
      </c>
      <c r="Q289" s="5" t="n">
        <v>1</v>
      </c>
      <c r="R289" s="5" t="n">
        <v>1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12</v>
      </c>
      <c r="Y289" s="5" t="n">
        <v>0.03</v>
      </c>
      <c r="Z289" s="5" t="inlineStr"/>
      <c r="AA289" s="5" t="n">
        <v>4692.1</v>
      </c>
      <c r="AB289" s="5" t="n">
        <v>2144.3</v>
      </c>
      <c r="AC289" s="5" t="n">
        <v>4749.2</v>
      </c>
      <c r="AD289" s="5" t="n">
        <v>2190.1</v>
      </c>
      <c r="AE289" s="5" t="inlineStr"/>
      <c r="AF289" s="5">
        <f>IF(AE289="","",IF(OR(AE289=F289,AND(AE289="crane_footing",F289="isolated_footing")),"yes","no"))</f>
        <v/>
      </c>
    </row>
    <row r="290">
      <c r="A290" s="5" t="n">
        <v>289</v>
      </c>
      <c r="B290" s="5" t="inlineStr">
        <is>
          <t>122</t>
        </is>
      </c>
      <c r="C290" s="5" t="inlineStr">
        <is>
          <t>region between joints</t>
        </is>
      </c>
      <c r="D290" s="5" t="inlineStr">
        <is>
          <t>band</t>
        </is>
      </c>
      <c r="E290" s="5" t="n">
        <v>2</v>
      </c>
      <c r="F290" s="5" t="inlineStr">
        <is>
          <t>unidentified</t>
        </is>
      </c>
      <c r="G290" s="5" t="inlineStr">
        <is>
          <t>C2</t>
        </is>
      </c>
      <c r="H290" s="5" t="inlineStr">
        <is>
          <t>no label votes</t>
        </is>
      </c>
      <c r="I290" s="5" t="inlineStr">
        <is>
          <t>(none)</t>
        </is>
      </c>
      <c r="J290" s="5" t="inlineStr"/>
      <c r="K290" s="5" t="inlineStr"/>
      <c r="L290" s="5" t="n">
        <v>217</v>
      </c>
      <c r="M290" s="5" t="n">
        <v>32</v>
      </c>
      <c r="N290" s="10">
        <f>IF(AND(ISNUMBER(L290),M290&gt;0),L290/M290,"")</f>
        <v/>
      </c>
      <c r="O290" s="5" t="n">
        <v>0.6899999999999999</v>
      </c>
      <c r="P290" s="5" t="n">
        <v>36.6</v>
      </c>
      <c r="Q290" s="5" t="n">
        <v>1</v>
      </c>
      <c r="R290" s="5" t="n">
        <v>1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14</v>
      </c>
      <c r="Y290" s="5" t="n">
        <v>0.6899999999999999</v>
      </c>
      <c r="Z290" s="5" t="inlineStr"/>
      <c r="AA290" s="5" t="n">
        <v>4676.4</v>
      </c>
      <c r="AB290" s="5" t="n">
        <v>2144.3</v>
      </c>
      <c r="AC290" s="5" t="n">
        <v>4733.5</v>
      </c>
      <c r="AD290" s="5" t="n">
        <v>2190.1</v>
      </c>
      <c r="AE290" s="5" t="inlineStr"/>
      <c r="AF290" s="5">
        <f>IF(AE290="","",IF(OR(AE290=F290,AND(AE290="crane_footing",F290="isolated_footing")),"yes","no"))</f>
        <v/>
      </c>
    </row>
    <row r="291">
      <c r="A291" s="5" t="n">
        <v>290</v>
      </c>
      <c r="B291" s="5" t="inlineStr">
        <is>
          <t>122</t>
        </is>
      </c>
      <c r="C291" s="5" t="inlineStr">
        <is>
          <t>region between joints</t>
        </is>
      </c>
      <c r="D291" s="5" t="inlineStr">
        <is>
          <t>band</t>
        </is>
      </c>
      <c r="E291" s="5" t="n">
        <v>2</v>
      </c>
      <c r="F291" s="5" t="inlineStr">
        <is>
          <t>unidentified</t>
        </is>
      </c>
      <c r="G291" s="5" t="inlineStr">
        <is>
          <t>C2</t>
        </is>
      </c>
      <c r="H291" s="5" t="inlineStr">
        <is>
          <t>no label votes</t>
        </is>
      </c>
      <c r="I291" s="5" t="inlineStr">
        <is>
          <t>(none)</t>
        </is>
      </c>
      <c r="J291" s="5" t="inlineStr"/>
      <c r="K291" s="5" t="inlineStr"/>
      <c r="L291" s="5" t="n">
        <v>217</v>
      </c>
      <c r="M291" s="5" t="n">
        <v>32</v>
      </c>
      <c r="N291" s="10">
        <f>IF(AND(ISNUMBER(L291),M291&gt;0),L291/M291,"")</f>
        <v/>
      </c>
      <c r="O291" s="5" t="n">
        <v>0.6899999999999999</v>
      </c>
      <c r="P291" s="5" t="n">
        <v>36.6</v>
      </c>
      <c r="Q291" s="5" t="n">
        <v>1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1</v>
      </c>
      <c r="X291" s="5" t="n">
        <v>15</v>
      </c>
      <c r="Y291" s="5" t="n">
        <v>1.35</v>
      </c>
      <c r="Z291" s="5" t="inlineStr"/>
      <c r="AA291" s="5" t="n">
        <v>4660.7</v>
      </c>
      <c r="AB291" s="5" t="n">
        <v>2144.3</v>
      </c>
      <c r="AC291" s="5" t="n">
        <v>4717.8</v>
      </c>
      <c r="AD291" s="5" t="n">
        <v>2190.1</v>
      </c>
      <c r="AE291" s="5" t="inlineStr"/>
      <c r="AF291" s="5">
        <f>IF(AE291="","",IF(OR(AE291=F291,AND(AE291="crane_footing",F291="isolated_footing")),"yes","no"))</f>
        <v/>
      </c>
    </row>
    <row r="292">
      <c r="A292" s="5" t="n">
        <v>291</v>
      </c>
      <c r="B292" s="5" t="inlineStr">
        <is>
          <t>122</t>
        </is>
      </c>
      <c r="C292" s="5" t="inlineStr">
        <is>
          <t>region between joints</t>
        </is>
      </c>
      <c r="D292" s="5" t="inlineStr">
        <is>
          <t>band</t>
        </is>
      </c>
      <c r="E292" s="5" t="n">
        <v>2</v>
      </c>
      <c r="F292" s="5" t="inlineStr">
        <is>
          <t>unidentified</t>
        </is>
      </c>
      <c r="G292" s="5" t="inlineStr">
        <is>
          <t>C2</t>
        </is>
      </c>
      <c r="H292" s="5" t="inlineStr">
        <is>
          <t>no label votes</t>
        </is>
      </c>
      <c r="I292" s="5" t="inlineStr">
        <is>
          <t>(none)</t>
        </is>
      </c>
      <c r="J292" s="5" t="inlineStr"/>
      <c r="K292" s="5" t="inlineStr"/>
      <c r="L292" s="5" t="n">
        <v>217</v>
      </c>
      <c r="M292" s="5" t="n">
        <v>32</v>
      </c>
      <c r="N292" s="10">
        <f>IF(AND(ISNUMBER(L292),M292&gt;0),L292/M292,"")</f>
        <v/>
      </c>
      <c r="O292" s="5" t="n">
        <v>0.6899999999999999</v>
      </c>
      <c r="P292" s="5" t="n">
        <v>36.6</v>
      </c>
      <c r="Q292" s="5" t="n">
        <v>1</v>
      </c>
      <c r="R292" s="5" t="n">
        <v>0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15</v>
      </c>
      <c r="Y292" s="5" t="n">
        <v>2.01</v>
      </c>
      <c r="Z292" s="5" t="inlineStr"/>
      <c r="AA292" s="5" t="n">
        <v>4645.1</v>
      </c>
      <c r="AB292" s="5" t="n">
        <v>2144.4</v>
      </c>
      <c r="AC292" s="5" t="n">
        <v>4702.1</v>
      </c>
      <c r="AD292" s="5" t="n">
        <v>2190.2</v>
      </c>
      <c r="AE292" s="5" t="inlineStr"/>
      <c r="AF292" s="5">
        <f>IF(AE292="","",IF(OR(AE292=F292,AND(AE292="crane_footing",F292="isolated_footing")),"yes","no"))</f>
        <v/>
      </c>
    </row>
    <row r="293">
      <c r="A293" s="5" t="n">
        <v>292</v>
      </c>
      <c r="B293" s="5" t="inlineStr">
        <is>
          <t>122</t>
        </is>
      </c>
      <c r="C293" s="5" t="inlineStr">
        <is>
          <t>region between joints</t>
        </is>
      </c>
      <c r="D293" s="5" t="inlineStr">
        <is>
          <t>band</t>
        </is>
      </c>
      <c r="E293" s="5" t="n">
        <v>2</v>
      </c>
      <c r="F293" s="5" t="inlineStr">
        <is>
          <t>unidentified</t>
        </is>
      </c>
      <c r="G293" s="5" t="inlineStr">
        <is>
          <t>C2</t>
        </is>
      </c>
      <c r="H293" s="5" t="inlineStr">
        <is>
          <t>no label votes</t>
        </is>
      </c>
      <c r="I293" s="5" t="inlineStr">
        <is>
          <t>(none)</t>
        </is>
      </c>
      <c r="J293" s="5" t="inlineStr"/>
      <c r="K293" s="5" t="inlineStr"/>
      <c r="L293" s="5" t="n">
        <v>217</v>
      </c>
      <c r="M293" s="5" t="n">
        <v>32</v>
      </c>
      <c r="N293" s="10">
        <f>IF(AND(ISNUMBER(L293),M293&gt;0),L293/M293,"")</f>
        <v/>
      </c>
      <c r="O293" s="5" t="n">
        <v>0.6899999999999999</v>
      </c>
      <c r="P293" s="5" t="n">
        <v>36.6</v>
      </c>
      <c r="Q293" s="5" t="n">
        <v>1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15</v>
      </c>
      <c r="Y293" s="5" t="n">
        <v>2.17</v>
      </c>
      <c r="Z293" s="5" t="inlineStr"/>
      <c r="AA293" s="5" t="n">
        <v>4629.4</v>
      </c>
      <c r="AB293" s="5" t="n">
        <v>2144.4</v>
      </c>
      <c r="AC293" s="5" t="n">
        <v>4686.4</v>
      </c>
      <c r="AD293" s="5" t="n">
        <v>2190.2</v>
      </c>
      <c r="AE293" s="5" t="inlineStr"/>
      <c r="AF293" s="5">
        <f>IF(AE293="","",IF(OR(AE293=F293,AND(AE293="crane_footing",F293="isolated_footing")),"yes","no"))</f>
        <v/>
      </c>
    </row>
    <row r="294">
      <c r="A294" s="5" t="n">
        <v>293</v>
      </c>
      <c r="B294" s="5" t="inlineStr">
        <is>
          <t>122</t>
        </is>
      </c>
      <c r="C294" s="5" t="inlineStr">
        <is>
          <t>region between joints</t>
        </is>
      </c>
      <c r="D294" s="5" t="inlineStr">
        <is>
          <t>band</t>
        </is>
      </c>
      <c r="E294" s="5" t="n">
        <v>2</v>
      </c>
      <c r="F294" s="5" t="inlineStr">
        <is>
          <t>unidentified</t>
        </is>
      </c>
      <c r="G294" s="5" t="inlineStr">
        <is>
          <t>C2</t>
        </is>
      </c>
      <c r="H294" s="5" t="inlineStr">
        <is>
          <t>no label votes</t>
        </is>
      </c>
      <c r="I294" s="5" t="inlineStr">
        <is>
          <t>(none)</t>
        </is>
      </c>
      <c r="J294" s="5" t="inlineStr"/>
      <c r="K294" s="5" t="inlineStr"/>
      <c r="L294" s="5" t="n">
        <v>217</v>
      </c>
      <c r="M294" s="5" t="n">
        <v>32</v>
      </c>
      <c r="N294" s="10">
        <f>IF(AND(ISNUMBER(L294),M294&gt;0),L294/M294,"")</f>
        <v/>
      </c>
      <c r="O294" s="5" t="n">
        <v>0.6899999999999999</v>
      </c>
      <c r="P294" s="5" t="n">
        <v>36.6</v>
      </c>
      <c r="Q294" s="5" t="n">
        <v>1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15</v>
      </c>
      <c r="Y294" s="5" t="n">
        <v>2.17</v>
      </c>
      <c r="Z294" s="5" t="inlineStr"/>
      <c r="AA294" s="5" t="n">
        <v>4613.7</v>
      </c>
      <c r="AB294" s="5" t="n">
        <v>2144.4</v>
      </c>
      <c r="AC294" s="5" t="n">
        <v>4670.7</v>
      </c>
      <c r="AD294" s="5" t="n">
        <v>2190.2</v>
      </c>
      <c r="AE294" s="5" t="inlineStr"/>
      <c r="AF294" s="5">
        <f>IF(AE294="","",IF(OR(AE294=F294,AND(AE294="crane_footing",F294="isolated_footing")),"yes","no"))</f>
        <v/>
      </c>
    </row>
    <row r="295">
      <c r="A295" s="5" t="n">
        <v>294</v>
      </c>
      <c r="B295" s="5" t="inlineStr">
        <is>
          <t>122</t>
        </is>
      </c>
      <c r="C295" s="5" t="inlineStr">
        <is>
          <t>region between joints</t>
        </is>
      </c>
      <c r="D295" s="5" t="inlineStr">
        <is>
          <t>band</t>
        </is>
      </c>
      <c r="E295" s="5" t="n">
        <v>2</v>
      </c>
      <c r="F295" s="5" t="inlineStr">
        <is>
          <t>unidentified</t>
        </is>
      </c>
      <c r="G295" s="5" t="inlineStr">
        <is>
          <t>C2</t>
        </is>
      </c>
      <c r="H295" s="5" t="inlineStr">
        <is>
          <t>no label votes</t>
        </is>
      </c>
      <c r="I295" s="5" t="inlineStr">
        <is>
          <t>(none)</t>
        </is>
      </c>
      <c r="J295" s="5" t="inlineStr"/>
      <c r="K295" s="5" t="inlineStr"/>
      <c r="L295" s="5" t="n">
        <v>217</v>
      </c>
      <c r="M295" s="5" t="n">
        <v>32</v>
      </c>
      <c r="N295" s="10">
        <f>IF(AND(ISNUMBER(L295),M295&gt;0),L295/M295,"")</f>
        <v/>
      </c>
      <c r="O295" s="5" t="n">
        <v>0.6889999999999999</v>
      </c>
      <c r="P295" s="5" t="n">
        <v>36.6</v>
      </c>
      <c r="Q295" s="5" t="n">
        <v>1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1</v>
      </c>
      <c r="X295" s="5" t="n">
        <v>15</v>
      </c>
      <c r="Y295" s="5" t="n">
        <v>1.77</v>
      </c>
      <c r="Z295" s="5" t="inlineStr"/>
      <c r="AA295" s="5" t="n">
        <v>4598.1</v>
      </c>
      <c r="AB295" s="5" t="n">
        <v>2144.5</v>
      </c>
      <c r="AC295" s="5" t="n">
        <v>4655</v>
      </c>
      <c r="AD295" s="5" t="n">
        <v>2190.2</v>
      </c>
      <c r="AE295" s="5" t="inlineStr"/>
      <c r="AF295" s="5">
        <f>IF(AE295="","",IF(OR(AE295=F295,AND(AE295="crane_footing",F295="isolated_footing")),"yes","no"))</f>
        <v/>
      </c>
    </row>
    <row r="296">
      <c r="A296" s="5" t="n">
        <v>295</v>
      </c>
      <c r="B296" s="5" t="inlineStr">
        <is>
          <t>122</t>
        </is>
      </c>
      <c r="C296" s="5" t="inlineStr">
        <is>
          <t>region between joints</t>
        </is>
      </c>
      <c r="D296" s="5" t="inlineStr">
        <is>
          <t>band</t>
        </is>
      </c>
      <c r="E296" s="5" t="n">
        <v>2</v>
      </c>
      <c r="F296" s="5" t="inlineStr">
        <is>
          <t>unidentified</t>
        </is>
      </c>
      <c r="G296" s="5" t="inlineStr">
        <is>
          <t>C2</t>
        </is>
      </c>
      <c r="H296" s="5" t="inlineStr">
        <is>
          <t>no label votes</t>
        </is>
      </c>
      <c r="I296" s="5" t="inlineStr">
        <is>
          <t>(none)</t>
        </is>
      </c>
      <c r="J296" s="5" t="inlineStr"/>
      <c r="K296" s="5" t="inlineStr"/>
      <c r="L296" s="5" t="n">
        <v>217</v>
      </c>
      <c r="M296" s="5" t="n">
        <v>32</v>
      </c>
      <c r="N296" s="10">
        <f>IF(AND(ISNUMBER(L296),M296&gt;0),L296/M296,"")</f>
        <v/>
      </c>
      <c r="O296" s="5" t="n">
        <v>0.6889999999999999</v>
      </c>
      <c r="P296" s="5" t="n">
        <v>36.7</v>
      </c>
      <c r="Q296" s="5" t="n">
        <v>1</v>
      </c>
      <c r="R296" s="5" t="n">
        <v>1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15</v>
      </c>
      <c r="Y296" s="5" t="n">
        <v>1.1</v>
      </c>
      <c r="Z296" s="5" t="inlineStr"/>
      <c r="AA296" s="5" t="n">
        <v>4582.4</v>
      </c>
      <c r="AB296" s="5" t="n">
        <v>2144.5</v>
      </c>
      <c r="AC296" s="5" t="n">
        <v>4639.3</v>
      </c>
      <c r="AD296" s="5" t="n">
        <v>2190.2</v>
      </c>
      <c r="AE296" s="5" t="inlineStr"/>
      <c r="AF296" s="5">
        <f>IF(AE296="","",IF(OR(AE296=F296,AND(AE296="crane_footing",F296="isolated_footing")),"yes","no"))</f>
        <v/>
      </c>
    </row>
    <row r="297">
      <c r="A297" s="5" t="n">
        <v>296</v>
      </c>
      <c r="B297" s="5" t="inlineStr">
        <is>
          <t>122</t>
        </is>
      </c>
      <c r="C297" s="5" t="inlineStr">
        <is>
          <t>region between joints</t>
        </is>
      </c>
      <c r="D297" s="5" t="inlineStr">
        <is>
          <t>band</t>
        </is>
      </c>
      <c r="E297" s="5" t="n">
        <v>2</v>
      </c>
      <c r="F297" s="5" t="inlineStr">
        <is>
          <t>unidentified</t>
        </is>
      </c>
      <c r="G297" s="5" t="inlineStr">
        <is>
          <t>C2</t>
        </is>
      </c>
      <c r="H297" s="5" t="inlineStr">
        <is>
          <t>no label votes</t>
        </is>
      </c>
      <c r="I297" s="5" t="inlineStr">
        <is>
          <t>(none)</t>
        </is>
      </c>
      <c r="J297" s="5" t="inlineStr"/>
      <c r="K297" s="5" t="inlineStr"/>
      <c r="L297" s="5" t="n">
        <v>208</v>
      </c>
      <c r="M297" s="5" t="n">
        <v>32</v>
      </c>
      <c r="N297" s="10">
        <f>IF(AND(ISNUMBER(L297),M297&gt;0),L297/M297,"")</f>
        <v/>
      </c>
      <c r="O297" s="5" t="n">
        <v>0.663</v>
      </c>
      <c r="P297" s="5" t="n">
        <v>36.6</v>
      </c>
      <c r="Q297" s="5" t="n">
        <v>1</v>
      </c>
      <c r="R297" s="5" t="n">
        <v>1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3</v>
      </c>
      <c r="X297" s="5" t="n">
        <v>11</v>
      </c>
      <c r="Y297" s="5" t="n">
        <v>0</v>
      </c>
      <c r="Z297" s="5" t="inlineStr"/>
      <c r="AA297" s="5" t="n">
        <v>4521.7</v>
      </c>
      <c r="AB297" s="5" t="n">
        <v>2146.1</v>
      </c>
      <c r="AC297" s="5" t="n">
        <v>4576.6</v>
      </c>
      <c r="AD297" s="5" t="n">
        <v>2190.3</v>
      </c>
      <c r="AE297" s="5" t="inlineStr"/>
      <c r="AF297" s="5">
        <f>IF(AE297="","",IF(OR(AE297=F297,AND(AE297="crane_footing",F297="isolated_footing")),"yes","no"))</f>
        <v/>
      </c>
    </row>
    <row r="298">
      <c r="A298" s="5" t="n">
        <v>297</v>
      </c>
      <c r="B298" s="5" t="inlineStr">
        <is>
          <t>122</t>
        </is>
      </c>
      <c r="C298" s="5" t="inlineStr">
        <is>
          <t>region between joints</t>
        </is>
      </c>
      <c r="D298" s="5" t="inlineStr">
        <is>
          <t>band</t>
        </is>
      </c>
      <c r="E298" s="5" t="n">
        <v>2</v>
      </c>
      <c r="F298" s="5" t="inlineStr">
        <is>
          <t>unidentified</t>
        </is>
      </c>
      <c r="G298" s="5" t="inlineStr">
        <is>
          <t>C2</t>
        </is>
      </c>
      <c r="H298" s="5" t="inlineStr">
        <is>
          <t>no label votes</t>
        </is>
      </c>
      <c r="I298" s="5" t="inlineStr">
        <is>
          <t>(none)</t>
        </is>
      </c>
      <c r="J298" s="5" t="inlineStr"/>
      <c r="K298" s="5" t="inlineStr"/>
      <c r="L298" s="5" t="n">
        <v>164</v>
      </c>
      <c r="M298" s="5" t="n">
        <v>32</v>
      </c>
      <c r="N298" s="10">
        <f>IF(AND(ISNUMBER(L298),M298&gt;0),L298/M298,"")</f>
        <v/>
      </c>
      <c r="O298" s="5" t="n">
        <v>0.52</v>
      </c>
      <c r="P298" s="5" t="n">
        <v>36.6</v>
      </c>
      <c r="Q298" s="5" t="n">
        <v>0</v>
      </c>
      <c r="R298" s="5" t="n">
        <v>1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13</v>
      </c>
      <c r="Y298" s="5" t="n">
        <v>0.44</v>
      </c>
      <c r="Z298" s="5" t="inlineStr"/>
      <c r="AA298" s="5" t="n">
        <v>4579.3</v>
      </c>
      <c r="AB298" s="5" t="n">
        <v>2153.9</v>
      </c>
      <c r="AC298" s="5" t="n">
        <v>4623.7</v>
      </c>
      <c r="AD298" s="5" t="n">
        <v>2190.2</v>
      </c>
      <c r="AE298" s="5" t="inlineStr"/>
      <c r="AF298" s="5">
        <f>IF(AE298="","",IF(OR(AE298=F298,AND(AE298="crane_footing",F298="isolated_footing")),"yes","no"))</f>
        <v/>
      </c>
    </row>
    <row r="299">
      <c r="A299" s="5" t="n">
        <v>298</v>
      </c>
      <c r="B299" s="5" t="inlineStr">
        <is>
          <t>122</t>
        </is>
      </c>
      <c r="C299" s="5" t="inlineStr">
        <is>
          <t>region between joints</t>
        </is>
      </c>
      <c r="D299" s="5" t="inlineStr">
        <is>
          <t>band</t>
        </is>
      </c>
      <c r="E299" s="5" t="n">
        <v>2</v>
      </c>
      <c r="F299" s="5" t="inlineStr">
        <is>
          <t>unidentified</t>
        </is>
      </c>
      <c r="G299" s="5" t="inlineStr">
        <is>
          <t>C2</t>
        </is>
      </c>
      <c r="H299" s="5" t="inlineStr">
        <is>
          <t>no label votes</t>
        </is>
      </c>
      <c r="I299" s="5" t="inlineStr">
        <is>
          <t>(none)</t>
        </is>
      </c>
      <c r="J299" s="5" t="inlineStr"/>
      <c r="K299" s="5" t="inlineStr"/>
      <c r="L299" s="5" t="n">
        <v>163</v>
      </c>
      <c r="M299" s="5" t="n">
        <v>32</v>
      </c>
      <c r="N299" s="10">
        <f>IF(AND(ISNUMBER(L299),M299&gt;0),L299/M299,"")</f>
        <v/>
      </c>
      <c r="O299" s="5" t="n">
        <v>0.52</v>
      </c>
      <c r="P299" s="5" t="n">
        <v>126.6</v>
      </c>
      <c r="Q299" s="5" t="n">
        <v>1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12</v>
      </c>
      <c r="Y299" s="5" t="n">
        <v>1.22</v>
      </c>
      <c r="Z299" s="5" t="inlineStr"/>
      <c r="AA299" s="5" t="n">
        <v>4552.1</v>
      </c>
      <c r="AB299" s="5" t="n">
        <v>2190.3</v>
      </c>
      <c r="AC299" s="5" t="n">
        <v>4588.4</v>
      </c>
      <c r="AD299" s="5" t="n">
        <v>2234.6</v>
      </c>
      <c r="AE299" s="5" t="inlineStr"/>
      <c r="AF299" s="5">
        <f>IF(AE299="","",IF(OR(AE299=F299,AND(AE299="crane_footing",F299="isolated_footing")),"yes","no"))</f>
        <v/>
      </c>
    </row>
    <row r="300">
      <c r="A300" s="5" t="n">
        <v>299</v>
      </c>
      <c r="B300" s="5" t="inlineStr">
        <is>
          <t>122</t>
        </is>
      </c>
      <c r="C300" s="5" t="inlineStr">
        <is>
          <t>region between joints</t>
        </is>
      </c>
      <c r="D300" s="5" t="inlineStr">
        <is>
          <t>band</t>
        </is>
      </c>
      <c r="E300" s="5" t="n">
        <v>2</v>
      </c>
      <c r="F300" s="5" t="inlineStr">
        <is>
          <t>unidentified</t>
        </is>
      </c>
      <c r="G300" s="5" t="inlineStr">
        <is>
          <t>C2</t>
        </is>
      </c>
      <c r="H300" s="5" t="inlineStr">
        <is>
          <t>no label votes</t>
        </is>
      </c>
      <c r="I300" s="5" t="inlineStr">
        <is>
          <t>(none)</t>
        </is>
      </c>
      <c r="J300" s="5" t="inlineStr"/>
      <c r="K300" s="5" t="inlineStr"/>
      <c r="L300" s="5" t="n">
        <v>163</v>
      </c>
      <c r="M300" s="5" t="n">
        <v>32</v>
      </c>
      <c r="N300" s="10">
        <f>IF(AND(ISNUMBER(L300),M300&gt;0),L300/M300,"")</f>
        <v/>
      </c>
      <c r="O300" s="5" t="n">
        <v>0.519</v>
      </c>
      <c r="P300" s="5" t="n">
        <v>126.6</v>
      </c>
      <c r="Q300" s="5" t="n">
        <v>1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11</v>
      </c>
      <c r="Y300" s="5" t="n">
        <v>1.22</v>
      </c>
      <c r="Z300" s="5" t="inlineStr"/>
      <c r="AA300" s="5" t="n">
        <v>4540.4</v>
      </c>
      <c r="AB300" s="5" t="n">
        <v>2190.3</v>
      </c>
      <c r="AC300" s="5" t="n">
        <v>4576.7</v>
      </c>
      <c r="AD300" s="5" t="n">
        <v>2234.6</v>
      </c>
      <c r="AE300" s="5" t="inlineStr"/>
      <c r="AF300" s="5">
        <f>IF(AE300="","",IF(OR(AE300=F300,AND(AE300="crane_footing",F300="isolated_footing")),"yes","no"))</f>
        <v/>
      </c>
    </row>
    <row r="301">
      <c r="A301" s="5" t="n">
        <v>300</v>
      </c>
      <c r="B301" s="5" t="inlineStr">
        <is>
          <t>122</t>
        </is>
      </c>
      <c r="C301" s="5" t="inlineStr">
        <is>
          <t>region between joints</t>
        </is>
      </c>
      <c r="D301" s="5" t="inlineStr">
        <is>
          <t>band</t>
        </is>
      </c>
      <c r="E301" s="5" t="n">
        <v>2</v>
      </c>
      <c r="F301" s="5" t="inlineStr">
        <is>
          <t>unidentified</t>
        </is>
      </c>
      <c r="G301" s="5" t="inlineStr">
        <is>
          <t>C2</t>
        </is>
      </c>
      <c r="H301" s="5" t="inlineStr">
        <is>
          <t>no label votes</t>
        </is>
      </c>
      <c r="I301" s="5" t="inlineStr">
        <is>
          <t>(none)</t>
        </is>
      </c>
      <c r="J301" s="5" t="inlineStr"/>
      <c r="K301" s="5" t="inlineStr"/>
      <c r="L301" s="5" t="n">
        <v>163</v>
      </c>
      <c r="M301" s="5" t="n">
        <v>32</v>
      </c>
      <c r="N301" s="10">
        <f>IF(AND(ISNUMBER(L301),M301&gt;0),L301/M301,"")</f>
        <v/>
      </c>
      <c r="O301" s="5" t="n">
        <v>0.519</v>
      </c>
      <c r="P301" s="5" t="n">
        <v>126.7</v>
      </c>
      <c r="Q301" s="5" t="n">
        <v>1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12</v>
      </c>
      <c r="Y301" s="5" t="n">
        <v>1.63</v>
      </c>
      <c r="Z301" s="5" t="inlineStr"/>
      <c r="AA301" s="5" t="n">
        <v>4598.9</v>
      </c>
      <c r="AB301" s="5" t="n">
        <v>2190.2</v>
      </c>
      <c r="AC301" s="5" t="n">
        <v>4635.2</v>
      </c>
      <c r="AD301" s="5" t="n">
        <v>2234.5</v>
      </c>
      <c r="AE301" s="5" t="inlineStr"/>
      <c r="AF301" s="5">
        <f>IF(AE301="","",IF(OR(AE301=F301,AND(AE301="crane_footing",F301="isolated_footing")),"yes","no"))</f>
        <v/>
      </c>
    </row>
    <row r="302">
      <c r="A302" s="5" t="n">
        <v>301</v>
      </c>
      <c r="B302" s="5" t="inlineStr">
        <is>
          <t>122</t>
        </is>
      </c>
      <c r="C302" s="5" t="inlineStr">
        <is>
          <t>region between joints</t>
        </is>
      </c>
      <c r="D302" s="5" t="inlineStr">
        <is>
          <t>band</t>
        </is>
      </c>
      <c r="E302" s="5" t="n">
        <v>2</v>
      </c>
      <c r="F302" s="5" t="inlineStr">
        <is>
          <t>unidentified</t>
        </is>
      </c>
      <c r="G302" s="5" t="inlineStr">
        <is>
          <t>C2</t>
        </is>
      </c>
      <c r="H302" s="5" t="inlineStr">
        <is>
          <t>no label votes</t>
        </is>
      </c>
      <c r="I302" s="5" t="inlineStr">
        <is>
          <t>(none)</t>
        </is>
      </c>
      <c r="J302" s="5" t="inlineStr"/>
      <c r="K302" s="5" t="inlineStr"/>
      <c r="L302" s="5" t="n">
        <v>163</v>
      </c>
      <c r="M302" s="5" t="n">
        <v>32</v>
      </c>
      <c r="N302" s="10">
        <f>IF(AND(ISNUMBER(L302),M302&gt;0),L302/M302,"")</f>
        <v/>
      </c>
      <c r="O302" s="5" t="n">
        <v>0.519</v>
      </c>
      <c r="P302" s="5" t="n">
        <v>126.7</v>
      </c>
      <c r="Q302" s="5" t="n">
        <v>1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9</v>
      </c>
      <c r="Y302" s="5" t="n">
        <v>1.22</v>
      </c>
      <c r="Z302" s="5" t="inlineStr"/>
      <c r="AA302" s="5" t="n">
        <v>4528.7</v>
      </c>
      <c r="AB302" s="5" t="n">
        <v>2190.4</v>
      </c>
      <c r="AC302" s="5" t="n">
        <v>4565</v>
      </c>
      <c r="AD302" s="5" t="n">
        <v>2234.6</v>
      </c>
      <c r="AE302" s="5" t="inlineStr"/>
      <c r="AF302" s="5">
        <f>IF(AE302="","",IF(OR(AE302=F302,AND(AE302="crane_footing",F302="isolated_footing")),"yes","no"))</f>
        <v/>
      </c>
    </row>
    <row r="303">
      <c r="A303" s="5" t="n">
        <v>302</v>
      </c>
      <c r="B303" s="5" t="inlineStr">
        <is>
          <t>122</t>
        </is>
      </c>
      <c r="C303" s="5" t="inlineStr">
        <is>
          <t>region between joints</t>
        </is>
      </c>
      <c r="D303" s="5" t="inlineStr">
        <is>
          <t>band</t>
        </is>
      </c>
      <c r="E303" s="5" t="n">
        <v>2</v>
      </c>
      <c r="F303" s="5" t="inlineStr">
        <is>
          <t>unidentified</t>
        </is>
      </c>
      <c r="G303" s="5" t="inlineStr">
        <is>
          <t>C2</t>
        </is>
      </c>
      <c r="H303" s="5" t="inlineStr">
        <is>
          <t>no label votes</t>
        </is>
      </c>
      <c r="I303" s="5" t="inlineStr">
        <is>
          <t>(none)</t>
        </is>
      </c>
      <c r="J303" s="5" t="inlineStr"/>
      <c r="K303" s="5" t="inlineStr"/>
      <c r="L303" s="5" t="n">
        <v>163</v>
      </c>
      <c r="M303" s="5" t="n">
        <v>32</v>
      </c>
      <c r="N303" s="10">
        <f>IF(AND(ISNUMBER(L303),M303&gt;0),L303/M303,"")</f>
        <v/>
      </c>
      <c r="O303" s="5" t="n">
        <v>0.519</v>
      </c>
      <c r="P303" s="5" t="n">
        <v>126.7</v>
      </c>
      <c r="Q303" s="5" t="n">
        <v>1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12</v>
      </c>
      <c r="Y303" s="5" t="n">
        <v>1.63</v>
      </c>
      <c r="Z303" s="5" t="inlineStr"/>
      <c r="AA303" s="5" t="n">
        <v>4610.6</v>
      </c>
      <c r="AB303" s="5" t="n">
        <v>2190.2</v>
      </c>
      <c r="AC303" s="5" t="n">
        <v>4646.9</v>
      </c>
      <c r="AD303" s="5" t="n">
        <v>2234.5</v>
      </c>
      <c r="AE303" s="5" t="inlineStr"/>
      <c r="AF303" s="5">
        <f>IF(AE303="","",IF(OR(AE303=F303,AND(AE303="crane_footing",F303="isolated_footing")),"yes","no"))</f>
        <v/>
      </c>
    </row>
    <row r="304">
      <c r="A304" s="5" t="n">
        <v>303</v>
      </c>
      <c r="B304" s="5" t="inlineStr">
        <is>
          <t>122</t>
        </is>
      </c>
      <c r="C304" s="5" t="inlineStr">
        <is>
          <t>region between joints</t>
        </is>
      </c>
      <c r="D304" s="5" t="inlineStr">
        <is>
          <t>band</t>
        </is>
      </c>
      <c r="E304" s="5" t="n">
        <v>2</v>
      </c>
      <c r="F304" s="5" t="inlineStr">
        <is>
          <t>unidentified</t>
        </is>
      </c>
      <c r="G304" s="5" t="inlineStr">
        <is>
          <t>C2</t>
        </is>
      </c>
      <c r="H304" s="5" t="inlineStr">
        <is>
          <t>no label votes</t>
        </is>
      </c>
      <c r="I304" s="5" t="inlineStr">
        <is>
          <t>(none)</t>
        </is>
      </c>
      <c r="J304" s="5" t="inlineStr"/>
      <c r="K304" s="5" t="inlineStr"/>
      <c r="L304" s="5" t="n">
        <v>163</v>
      </c>
      <c r="M304" s="5" t="n">
        <v>32</v>
      </c>
      <c r="N304" s="10">
        <f>IF(AND(ISNUMBER(L304),M304&gt;0),L304/M304,"")</f>
        <v/>
      </c>
      <c r="O304" s="5" t="n">
        <v>0.519</v>
      </c>
      <c r="P304" s="5" t="n">
        <v>126.6</v>
      </c>
      <c r="Q304" s="5" t="n">
        <v>1</v>
      </c>
      <c r="R304" s="5" t="n">
        <v>0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12</v>
      </c>
      <c r="Y304" s="5" t="n">
        <v>1.22</v>
      </c>
      <c r="Z304" s="5" t="inlineStr"/>
      <c r="AA304" s="5" t="n">
        <v>4575.5</v>
      </c>
      <c r="AB304" s="5" t="n">
        <v>2190.3</v>
      </c>
      <c r="AC304" s="5" t="n">
        <v>4611.8</v>
      </c>
      <c r="AD304" s="5" t="n">
        <v>2234.5</v>
      </c>
      <c r="AE304" s="5" t="inlineStr"/>
      <c r="AF304" s="5">
        <f>IF(AE304="","",IF(OR(AE304=F304,AND(AE304="crane_footing",F304="isolated_footing")),"yes","no"))</f>
        <v/>
      </c>
    </row>
    <row r="305">
      <c r="A305" s="5" t="n">
        <v>304</v>
      </c>
      <c r="B305" s="5" t="inlineStr">
        <is>
          <t>122</t>
        </is>
      </c>
      <c r="C305" s="5" t="inlineStr">
        <is>
          <t>region between joints</t>
        </is>
      </c>
      <c r="D305" s="5" t="inlineStr">
        <is>
          <t>band</t>
        </is>
      </c>
      <c r="E305" s="5" t="n">
        <v>2</v>
      </c>
      <c r="F305" s="5" t="inlineStr">
        <is>
          <t>unidentified</t>
        </is>
      </c>
      <c r="G305" s="5" t="inlineStr">
        <is>
          <t>C2</t>
        </is>
      </c>
      <c r="H305" s="5" t="inlineStr">
        <is>
          <t>no label votes</t>
        </is>
      </c>
      <c r="I305" s="5" t="inlineStr">
        <is>
          <t>(none)</t>
        </is>
      </c>
      <c r="J305" s="5" t="inlineStr"/>
      <c r="K305" s="5" t="inlineStr"/>
      <c r="L305" s="5" t="n">
        <v>163</v>
      </c>
      <c r="M305" s="5" t="n">
        <v>32</v>
      </c>
      <c r="N305" s="10">
        <f>IF(AND(ISNUMBER(L305),M305&gt;0),L305/M305,"")</f>
        <v/>
      </c>
      <c r="O305" s="5" t="n">
        <v>0.519</v>
      </c>
      <c r="P305" s="5" t="n">
        <v>126.6</v>
      </c>
      <c r="Q305" s="5" t="n">
        <v>1</v>
      </c>
      <c r="R305" s="5" t="n">
        <v>0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12</v>
      </c>
      <c r="Y305" s="5" t="n">
        <v>1.22</v>
      </c>
      <c r="Z305" s="5" t="inlineStr"/>
      <c r="AA305" s="5" t="n">
        <v>4563.8</v>
      </c>
      <c r="AB305" s="5" t="n">
        <v>2190.3</v>
      </c>
      <c r="AC305" s="5" t="n">
        <v>4600.1</v>
      </c>
      <c r="AD305" s="5" t="n">
        <v>2234.5</v>
      </c>
      <c r="AE305" s="5" t="inlineStr"/>
      <c r="AF305" s="5">
        <f>IF(AE305="","",IF(OR(AE305=F305,AND(AE305="crane_footing",F305="isolated_footing")),"yes","no"))</f>
        <v/>
      </c>
    </row>
    <row r="306">
      <c r="A306" s="5" t="n">
        <v>305</v>
      </c>
      <c r="B306" s="5" t="inlineStr">
        <is>
          <t>122</t>
        </is>
      </c>
      <c r="C306" s="5" t="inlineStr">
        <is>
          <t>region between joints</t>
        </is>
      </c>
      <c r="D306" s="5" t="inlineStr">
        <is>
          <t>band</t>
        </is>
      </c>
      <c r="E306" s="5" t="n">
        <v>2</v>
      </c>
      <c r="F306" s="5" t="inlineStr">
        <is>
          <t>unidentified</t>
        </is>
      </c>
      <c r="G306" s="5" t="inlineStr">
        <is>
          <t>C2</t>
        </is>
      </c>
      <c r="H306" s="5" t="inlineStr">
        <is>
          <t>no label votes</t>
        </is>
      </c>
      <c r="I306" s="5" t="inlineStr">
        <is>
          <t>(none)</t>
        </is>
      </c>
      <c r="J306" s="5" t="inlineStr"/>
      <c r="K306" s="5" t="inlineStr"/>
      <c r="L306" s="5" t="n">
        <v>163</v>
      </c>
      <c r="M306" s="5" t="n">
        <v>32</v>
      </c>
      <c r="N306" s="10">
        <f>IF(AND(ISNUMBER(L306),M306&gt;0),L306/M306,"")</f>
        <v/>
      </c>
      <c r="O306" s="5" t="n">
        <v>0.519</v>
      </c>
      <c r="P306" s="5" t="n">
        <v>126.6</v>
      </c>
      <c r="Q306" s="5" t="n">
        <v>1</v>
      </c>
      <c r="R306" s="5" t="n">
        <v>0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12</v>
      </c>
      <c r="Y306" s="5" t="n">
        <v>1.63</v>
      </c>
      <c r="Z306" s="5" t="inlineStr"/>
      <c r="AA306" s="5" t="n">
        <v>4634</v>
      </c>
      <c r="AB306" s="5" t="n">
        <v>2190.2</v>
      </c>
      <c r="AC306" s="5" t="n">
        <v>4670.3</v>
      </c>
      <c r="AD306" s="5" t="n">
        <v>2234.4</v>
      </c>
      <c r="AE306" s="5" t="inlineStr"/>
      <c r="AF306" s="5">
        <f>IF(AE306="","",IF(OR(AE306=F306,AND(AE306="crane_footing",F306="isolated_footing")),"yes","no"))</f>
        <v/>
      </c>
    </row>
    <row r="307">
      <c r="A307" s="5" t="n">
        <v>306</v>
      </c>
      <c r="B307" s="5" t="inlineStr">
        <is>
          <t>122</t>
        </is>
      </c>
      <c r="C307" s="5" t="inlineStr">
        <is>
          <t>region between joints</t>
        </is>
      </c>
      <c r="D307" s="5" t="inlineStr">
        <is>
          <t>band</t>
        </is>
      </c>
      <c r="E307" s="5" t="n">
        <v>2</v>
      </c>
      <c r="F307" s="5" t="inlineStr">
        <is>
          <t>unidentified</t>
        </is>
      </c>
      <c r="G307" s="5" t="inlineStr">
        <is>
          <t>C2</t>
        </is>
      </c>
      <c r="H307" s="5" t="inlineStr">
        <is>
          <t>no label votes</t>
        </is>
      </c>
      <c r="I307" s="5" t="inlineStr">
        <is>
          <t>(none)</t>
        </is>
      </c>
      <c r="J307" s="5" t="inlineStr"/>
      <c r="K307" s="5" t="inlineStr"/>
      <c r="L307" s="5" t="n">
        <v>163</v>
      </c>
      <c r="M307" s="5" t="n">
        <v>32</v>
      </c>
      <c r="N307" s="10">
        <f>IF(AND(ISNUMBER(L307),M307&gt;0),L307/M307,"")</f>
        <v/>
      </c>
      <c r="O307" s="5" t="n">
        <v>0.519</v>
      </c>
      <c r="P307" s="5" t="n">
        <v>126.7</v>
      </c>
      <c r="Q307" s="5" t="n">
        <v>1</v>
      </c>
      <c r="R307" s="5" t="n">
        <v>0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12</v>
      </c>
      <c r="Y307" s="5" t="n">
        <v>1.63</v>
      </c>
      <c r="Z307" s="5" t="inlineStr"/>
      <c r="AA307" s="5" t="n">
        <v>4587.2</v>
      </c>
      <c r="AB307" s="5" t="n">
        <v>2190.3</v>
      </c>
      <c r="AC307" s="5" t="n">
        <v>4623.5</v>
      </c>
      <c r="AD307" s="5" t="n">
        <v>2234.5</v>
      </c>
      <c r="AE307" s="5" t="inlineStr"/>
      <c r="AF307" s="5">
        <f>IF(AE307="","",IF(OR(AE307=F307,AND(AE307="crane_footing",F307="isolated_footing")),"yes","no"))</f>
        <v/>
      </c>
    </row>
    <row r="308">
      <c r="A308" s="5" t="n">
        <v>307</v>
      </c>
      <c r="B308" s="5" t="inlineStr">
        <is>
          <t>122</t>
        </is>
      </c>
      <c r="C308" s="5" t="inlineStr">
        <is>
          <t>region between joints</t>
        </is>
      </c>
      <c r="D308" s="5" t="inlineStr">
        <is>
          <t>band</t>
        </is>
      </c>
      <c r="E308" s="5" t="n">
        <v>2</v>
      </c>
      <c r="F308" s="5" t="inlineStr">
        <is>
          <t>unidentified</t>
        </is>
      </c>
      <c r="G308" s="5" t="inlineStr">
        <is>
          <t>C2</t>
        </is>
      </c>
      <c r="H308" s="5" t="inlineStr">
        <is>
          <t>no label votes</t>
        </is>
      </c>
      <c r="I308" s="5" t="inlineStr">
        <is>
          <t>(none)</t>
        </is>
      </c>
      <c r="J308" s="5" t="inlineStr"/>
      <c r="K308" s="5" t="inlineStr"/>
      <c r="L308" s="5" t="n">
        <v>163</v>
      </c>
      <c r="M308" s="5" t="n">
        <v>32</v>
      </c>
      <c r="N308" s="10">
        <f>IF(AND(ISNUMBER(L308),M308&gt;0),L308/M308,"")</f>
        <v/>
      </c>
      <c r="O308" s="5" t="n">
        <v>0.518</v>
      </c>
      <c r="P308" s="5" t="n">
        <v>126.6</v>
      </c>
      <c r="Q308" s="5" t="n">
        <v>1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12</v>
      </c>
      <c r="Y308" s="5" t="n">
        <v>1.63</v>
      </c>
      <c r="Z308" s="5" t="inlineStr"/>
      <c r="AA308" s="5" t="n">
        <v>4622.3</v>
      </c>
      <c r="AB308" s="5" t="n">
        <v>2190.2</v>
      </c>
      <c r="AC308" s="5" t="n">
        <v>4658.6</v>
      </c>
      <c r="AD308" s="5" t="n">
        <v>2234.4</v>
      </c>
      <c r="AE308" s="5" t="inlineStr"/>
      <c r="AF308" s="5">
        <f>IF(AE308="","",IF(OR(AE308=F308,AND(AE308="crane_footing",F308="isolated_footing")),"yes","no"))</f>
        <v/>
      </c>
    </row>
    <row r="309">
      <c r="A309" s="5" t="n">
        <v>308</v>
      </c>
      <c r="B309" s="5" t="inlineStr">
        <is>
          <t>122</t>
        </is>
      </c>
      <c r="C309" s="5" t="inlineStr">
        <is>
          <t>region between joints</t>
        </is>
      </c>
      <c r="D309" s="5" t="inlineStr">
        <is>
          <t>band</t>
        </is>
      </c>
      <c r="E309" s="5" t="n">
        <v>2</v>
      </c>
      <c r="F309" s="5" t="inlineStr">
        <is>
          <t>unidentified</t>
        </is>
      </c>
      <c r="G309" s="5" t="inlineStr">
        <is>
          <t>C2</t>
        </is>
      </c>
      <c r="H309" s="5" t="inlineStr">
        <is>
          <t>no label votes</t>
        </is>
      </c>
      <c r="I309" s="5" t="inlineStr">
        <is>
          <t>(none)</t>
        </is>
      </c>
      <c r="J309" s="5" t="inlineStr"/>
      <c r="K309" s="5" t="inlineStr"/>
      <c r="L309" s="5" t="n">
        <v>163</v>
      </c>
      <c r="M309" s="5" t="n">
        <v>32</v>
      </c>
      <c r="N309" s="10">
        <f>IF(AND(ISNUMBER(L309),M309&gt;0),L309/M309,"")</f>
        <v/>
      </c>
      <c r="O309" s="5" t="n">
        <v>0.518</v>
      </c>
      <c r="P309" s="5" t="n">
        <v>126.6</v>
      </c>
      <c r="Q309" s="5" t="n">
        <v>1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11</v>
      </c>
      <c r="Y309" s="5" t="n">
        <v>1.63</v>
      </c>
      <c r="Z309" s="5" t="inlineStr"/>
      <c r="AA309" s="5" t="n">
        <v>4692.5</v>
      </c>
      <c r="AB309" s="5" t="n">
        <v>2190.1</v>
      </c>
      <c r="AC309" s="5" t="n">
        <v>4728.8</v>
      </c>
      <c r="AD309" s="5" t="n">
        <v>2234.3</v>
      </c>
      <c r="AE309" s="5" t="inlineStr"/>
      <c r="AF309" s="5">
        <f>IF(AE309="","",IF(OR(AE309=F309,AND(AE309="crane_footing",F309="isolated_footing")),"yes","no"))</f>
        <v/>
      </c>
    </row>
    <row r="310">
      <c r="A310" s="5" t="n">
        <v>309</v>
      </c>
      <c r="B310" s="5" t="inlineStr">
        <is>
          <t>122</t>
        </is>
      </c>
      <c r="C310" s="5" t="inlineStr">
        <is>
          <t>region between joints</t>
        </is>
      </c>
      <c r="D310" s="5" t="inlineStr">
        <is>
          <t>band</t>
        </is>
      </c>
      <c r="E310" s="5" t="n">
        <v>2</v>
      </c>
      <c r="F310" s="5" t="inlineStr">
        <is>
          <t>unidentified</t>
        </is>
      </c>
      <c r="G310" s="5" t="inlineStr">
        <is>
          <t>C2</t>
        </is>
      </c>
      <c r="H310" s="5" t="inlineStr">
        <is>
          <t>no label votes</t>
        </is>
      </c>
      <c r="I310" s="5" t="inlineStr">
        <is>
          <t>(none)</t>
        </is>
      </c>
      <c r="J310" s="5" t="inlineStr"/>
      <c r="K310" s="5" t="inlineStr"/>
      <c r="L310" s="5" t="n">
        <v>163</v>
      </c>
      <c r="M310" s="5" t="n">
        <v>32</v>
      </c>
      <c r="N310" s="10">
        <f>IF(AND(ISNUMBER(L310),M310&gt;0),L310/M310,"")</f>
        <v/>
      </c>
      <c r="O310" s="5" t="n">
        <v>0.518</v>
      </c>
      <c r="P310" s="5" t="n">
        <v>126.6</v>
      </c>
      <c r="Q310" s="5" t="n">
        <v>1</v>
      </c>
      <c r="R310" s="5" t="n">
        <v>0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12</v>
      </c>
      <c r="Y310" s="5" t="n">
        <v>1.63</v>
      </c>
      <c r="Z310" s="5" t="inlineStr"/>
      <c r="AA310" s="5" t="n">
        <v>4645.7</v>
      </c>
      <c r="AB310" s="5" t="n">
        <v>2190.2</v>
      </c>
      <c r="AC310" s="5" t="n">
        <v>4682</v>
      </c>
      <c r="AD310" s="5" t="n">
        <v>2234.4</v>
      </c>
      <c r="AE310" s="5" t="inlineStr"/>
      <c r="AF310" s="5">
        <f>IF(AE310="","",IF(OR(AE310=F310,AND(AE310="crane_footing",F310="isolated_footing")),"yes","no"))</f>
        <v/>
      </c>
    </row>
    <row r="311">
      <c r="A311" s="5" t="n">
        <v>310</v>
      </c>
      <c r="B311" s="5" t="inlineStr">
        <is>
          <t>122</t>
        </is>
      </c>
      <c r="C311" s="5" t="inlineStr">
        <is>
          <t>region between joints</t>
        </is>
      </c>
      <c r="D311" s="5" t="inlineStr">
        <is>
          <t>band</t>
        </is>
      </c>
      <c r="E311" s="5" t="n">
        <v>2</v>
      </c>
      <c r="F311" s="5" t="inlineStr">
        <is>
          <t>unidentified</t>
        </is>
      </c>
      <c r="G311" s="5" t="inlineStr">
        <is>
          <t>C2</t>
        </is>
      </c>
      <c r="H311" s="5" t="inlineStr">
        <is>
          <t>no label votes</t>
        </is>
      </c>
      <c r="I311" s="5" t="inlineStr">
        <is>
          <t>(none)</t>
        </is>
      </c>
      <c r="J311" s="5" t="inlineStr"/>
      <c r="K311" s="5" t="inlineStr"/>
      <c r="L311" s="5" t="n">
        <v>163</v>
      </c>
      <c r="M311" s="5" t="n">
        <v>32</v>
      </c>
      <c r="N311" s="10">
        <f>IF(AND(ISNUMBER(L311),M311&gt;0),L311/M311,"")</f>
        <v/>
      </c>
      <c r="O311" s="5" t="n">
        <v>0.518</v>
      </c>
      <c r="P311" s="5" t="n">
        <v>126.6</v>
      </c>
      <c r="Q311" s="5" t="n">
        <v>1</v>
      </c>
      <c r="R311" s="5" t="n">
        <v>0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12</v>
      </c>
      <c r="Y311" s="5" t="n">
        <v>1.63</v>
      </c>
      <c r="Z311" s="5" t="inlineStr"/>
      <c r="AA311" s="5" t="n">
        <v>4657.4</v>
      </c>
      <c r="AB311" s="5" t="n">
        <v>2190.2</v>
      </c>
      <c r="AC311" s="5" t="n">
        <v>4693.7</v>
      </c>
      <c r="AD311" s="5" t="n">
        <v>2234.4</v>
      </c>
      <c r="AE311" s="5" t="inlineStr"/>
      <c r="AF311" s="5">
        <f>IF(AE311="","",IF(OR(AE311=F311,AND(AE311="crane_footing",F311="isolated_footing")),"yes","no"))</f>
        <v/>
      </c>
    </row>
    <row r="312">
      <c r="A312" s="5" t="n">
        <v>311</v>
      </c>
      <c r="B312" s="5" t="inlineStr">
        <is>
          <t>122</t>
        </is>
      </c>
      <c r="C312" s="5" t="inlineStr">
        <is>
          <t>region between joints</t>
        </is>
      </c>
      <c r="D312" s="5" t="inlineStr">
        <is>
          <t>band</t>
        </is>
      </c>
      <c r="E312" s="5" t="n">
        <v>2</v>
      </c>
      <c r="F312" s="5" t="inlineStr">
        <is>
          <t>unidentified</t>
        </is>
      </c>
      <c r="G312" s="5" t="inlineStr">
        <is>
          <t>C2</t>
        </is>
      </c>
      <c r="H312" s="5" t="inlineStr">
        <is>
          <t>no label votes</t>
        </is>
      </c>
      <c r="I312" s="5" t="inlineStr">
        <is>
          <t>(none)</t>
        </is>
      </c>
      <c r="J312" s="5" t="inlineStr"/>
      <c r="K312" s="5" t="inlineStr"/>
      <c r="L312" s="5" t="n">
        <v>163</v>
      </c>
      <c r="M312" s="5" t="n">
        <v>32</v>
      </c>
      <c r="N312" s="10">
        <f>IF(AND(ISNUMBER(L312),M312&gt;0),L312/M312,"")</f>
        <v/>
      </c>
      <c r="O312" s="5" t="n">
        <v>0.518</v>
      </c>
      <c r="P312" s="5" t="n">
        <v>126.6</v>
      </c>
      <c r="Q312" s="5" t="n">
        <v>1</v>
      </c>
      <c r="R312" s="5" t="n">
        <v>0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12</v>
      </c>
      <c r="Y312" s="5" t="n">
        <v>1.63</v>
      </c>
      <c r="Z312" s="5" t="inlineStr"/>
      <c r="AA312" s="5" t="n">
        <v>4669.1</v>
      </c>
      <c r="AB312" s="5" t="n">
        <v>2190.1</v>
      </c>
      <c r="AC312" s="5" t="n">
        <v>4705.3</v>
      </c>
      <c r="AD312" s="5" t="n">
        <v>2234.4</v>
      </c>
      <c r="AE312" s="5" t="inlineStr"/>
      <c r="AF312" s="5">
        <f>IF(AE312="","",IF(OR(AE312=F312,AND(AE312="crane_footing",F312="isolated_footing")),"yes","no"))</f>
        <v/>
      </c>
    </row>
    <row r="313">
      <c r="A313" s="5" t="n">
        <v>312</v>
      </c>
      <c r="B313" s="5" t="inlineStr">
        <is>
          <t>122</t>
        </is>
      </c>
      <c r="C313" s="5" t="inlineStr">
        <is>
          <t>region between joints</t>
        </is>
      </c>
      <c r="D313" s="5" t="inlineStr">
        <is>
          <t>band</t>
        </is>
      </c>
      <c r="E313" s="5" t="n">
        <v>2</v>
      </c>
      <c r="F313" s="5" t="inlineStr">
        <is>
          <t>unidentified</t>
        </is>
      </c>
      <c r="G313" s="5" t="inlineStr">
        <is>
          <t>C2</t>
        </is>
      </c>
      <c r="H313" s="5" t="inlineStr">
        <is>
          <t>no label votes</t>
        </is>
      </c>
      <c r="I313" s="5" t="inlineStr">
        <is>
          <t>(none)</t>
        </is>
      </c>
      <c r="J313" s="5" t="inlineStr"/>
      <c r="K313" s="5" t="inlineStr"/>
      <c r="L313" s="5" t="n">
        <v>163</v>
      </c>
      <c r="M313" s="5" t="n">
        <v>32</v>
      </c>
      <c r="N313" s="10">
        <f>IF(AND(ISNUMBER(L313),M313&gt;0),L313/M313,"")</f>
        <v/>
      </c>
      <c r="O313" s="5" t="n">
        <v>0.518</v>
      </c>
      <c r="P313" s="5" t="n">
        <v>126.6</v>
      </c>
      <c r="Q313" s="5" t="n">
        <v>1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7</v>
      </c>
      <c r="Y313" s="5" t="n">
        <v>1.62</v>
      </c>
      <c r="Z313" s="5" t="inlineStr"/>
      <c r="AA313" s="5" t="n">
        <v>4727.6</v>
      </c>
      <c r="AB313" s="5" t="n">
        <v>2190</v>
      </c>
      <c r="AC313" s="5" t="n">
        <v>4763.8</v>
      </c>
      <c r="AD313" s="5" t="n">
        <v>2234.2</v>
      </c>
      <c r="AE313" s="5" t="inlineStr"/>
      <c r="AF313" s="5">
        <f>IF(AE313="","",IF(OR(AE313=F313,AND(AE313="crane_footing",F313="isolated_footing")),"yes","no"))</f>
        <v/>
      </c>
    </row>
    <row r="314">
      <c r="A314" s="5" t="n">
        <v>313</v>
      </c>
      <c r="B314" s="5" t="inlineStr">
        <is>
          <t>122</t>
        </is>
      </c>
      <c r="C314" s="5" t="inlineStr">
        <is>
          <t>region between joints</t>
        </is>
      </c>
      <c r="D314" s="5" t="inlineStr">
        <is>
          <t>band</t>
        </is>
      </c>
      <c r="E314" s="5" t="n">
        <v>2</v>
      </c>
      <c r="F314" s="5" t="inlineStr">
        <is>
          <t>unidentified</t>
        </is>
      </c>
      <c r="G314" s="5" t="inlineStr">
        <is>
          <t>C2</t>
        </is>
      </c>
      <c r="H314" s="5" t="inlineStr">
        <is>
          <t>no label votes</t>
        </is>
      </c>
      <c r="I314" s="5" t="inlineStr">
        <is>
          <t>(none)</t>
        </is>
      </c>
      <c r="J314" s="5" t="inlineStr"/>
      <c r="K314" s="5" t="inlineStr"/>
      <c r="L314" s="5" t="n">
        <v>163</v>
      </c>
      <c r="M314" s="5" t="n">
        <v>32</v>
      </c>
      <c r="N314" s="10">
        <f>IF(AND(ISNUMBER(L314),M314&gt;0),L314/M314,"")</f>
        <v/>
      </c>
      <c r="O314" s="5" t="n">
        <v>0.518</v>
      </c>
      <c r="P314" s="5" t="n">
        <v>126.6</v>
      </c>
      <c r="Q314" s="5" t="n">
        <v>1</v>
      </c>
      <c r="R314" s="5" t="n">
        <v>0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12</v>
      </c>
      <c r="Y314" s="5" t="n">
        <v>1.63</v>
      </c>
      <c r="Z314" s="5" t="inlineStr"/>
      <c r="AA314" s="5" t="n">
        <v>4680.8</v>
      </c>
      <c r="AB314" s="5" t="n">
        <v>2190.1</v>
      </c>
      <c r="AC314" s="5" t="n">
        <v>4717.1</v>
      </c>
      <c r="AD314" s="5" t="n">
        <v>2234.3</v>
      </c>
      <c r="AE314" s="5" t="inlineStr"/>
      <c r="AF314" s="5">
        <f>IF(AE314="","",IF(OR(AE314=F314,AND(AE314="crane_footing",F314="isolated_footing")),"yes","no"))</f>
        <v/>
      </c>
    </row>
    <row r="315">
      <c r="A315" s="5" t="n">
        <v>314</v>
      </c>
      <c r="B315" s="5" t="inlineStr">
        <is>
          <t>122</t>
        </is>
      </c>
      <c r="C315" s="5" t="inlineStr">
        <is>
          <t>region between joints</t>
        </is>
      </c>
      <c r="D315" s="5" t="inlineStr">
        <is>
          <t>band</t>
        </is>
      </c>
      <c r="E315" s="5" t="n">
        <v>2</v>
      </c>
      <c r="F315" s="5" t="inlineStr">
        <is>
          <t>unidentified</t>
        </is>
      </c>
      <c r="G315" s="5" t="inlineStr">
        <is>
          <t>C2</t>
        </is>
      </c>
      <c r="H315" s="5" t="inlineStr">
        <is>
          <t>no label votes</t>
        </is>
      </c>
      <c r="I315" s="5" t="inlineStr">
        <is>
          <t>(none)</t>
        </is>
      </c>
      <c r="J315" s="5" t="inlineStr"/>
      <c r="K315" s="5" t="inlineStr"/>
      <c r="L315" s="5" t="n">
        <v>163</v>
      </c>
      <c r="M315" s="5" t="n">
        <v>32</v>
      </c>
      <c r="N315" s="10">
        <f>IF(AND(ISNUMBER(L315),M315&gt;0),L315/M315,"")</f>
        <v/>
      </c>
      <c r="O315" s="5" t="n">
        <v>0.517</v>
      </c>
      <c r="P315" s="5" t="n">
        <v>126.6</v>
      </c>
      <c r="Q315" s="5" t="n">
        <v>1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9</v>
      </c>
      <c r="Y315" s="5" t="n">
        <v>1.63</v>
      </c>
      <c r="Z315" s="5" t="inlineStr"/>
      <c r="AA315" s="5" t="n">
        <v>4715.9</v>
      </c>
      <c r="AB315" s="5" t="n">
        <v>2190.1</v>
      </c>
      <c r="AC315" s="5" t="n">
        <v>4752.1</v>
      </c>
      <c r="AD315" s="5" t="n">
        <v>2234.2</v>
      </c>
      <c r="AE315" s="5" t="inlineStr"/>
      <c r="AF315" s="5">
        <f>IF(AE315="","",IF(OR(AE315=F315,AND(AE315="crane_footing",F315="isolated_footing")),"yes","no"))</f>
        <v/>
      </c>
    </row>
    <row r="316">
      <c r="A316" s="5" t="n">
        <v>315</v>
      </c>
      <c r="B316" s="5" t="inlineStr">
        <is>
          <t>122</t>
        </is>
      </c>
      <c r="C316" s="5" t="inlineStr">
        <is>
          <t>region between joints</t>
        </is>
      </c>
      <c r="D316" s="5" t="inlineStr">
        <is>
          <t>band</t>
        </is>
      </c>
      <c r="E316" s="5" t="n">
        <v>2</v>
      </c>
      <c r="F316" s="5" t="inlineStr">
        <is>
          <t>unidentified</t>
        </is>
      </c>
      <c r="G316" s="5" t="inlineStr">
        <is>
          <t>C2</t>
        </is>
      </c>
      <c r="H316" s="5" t="inlineStr">
        <is>
          <t>no label votes</t>
        </is>
      </c>
      <c r="I316" s="5" t="inlineStr">
        <is>
          <t>(none)</t>
        </is>
      </c>
      <c r="J316" s="5" t="inlineStr"/>
      <c r="K316" s="5" t="inlineStr"/>
      <c r="L316" s="5" t="n">
        <v>163</v>
      </c>
      <c r="M316" s="5" t="n">
        <v>32</v>
      </c>
      <c r="N316" s="10">
        <f>IF(AND(ISNUMBER(L316),M316&gt;0),L316/M316,"")</f>
        <v/>
      </c>
      <c r="O316" s="5" t="n">
        <v>0.517</v>
      </c>
      <c r="P316" s="5" t="n">
        <v>126.7</v>
      </c>
      <c r="Q316" s="5" t="n">
        <v>1</v>
      </c>
      <c r="R316" s="5" t="n">
        <v>0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10</v>
      </c>
      <c r="Y316" s="5" t="n">
        <v>1.63</v>
      </c>
      <c r="Z316" s="5" t="inlineStr"/>
      <c r="AA316" s="5" t="n">
        <v>4704.2</v>
      </c>
      <c r="AB316" s="5" t="n">
        <v>2190.1</v>
      </c>
      <c r="AC316" s="5" t="n">
        <v>4740.5</v>
      </c>
      <c r="AD316" s="5" t="n">
        <v>2234.2</v>
      </c>
      <c r="AE316" s="5" t="inlineStr"/>
      <c r="AF316" s="5">
        <f>IF(AE316="","",IF(OR(AE316=F316,AND(AE316="crane_footing",F316="isolated_footing")),"yes","no"))</f>
        <v/>
      </c>
    </row>
    <row r="317">
      <c r="A317" s="5" t="n">
        <v>316</v>
      </c>
      <c r="B317" s="5" t="inlineStr">
        <is>
          <t>122</t>
        </is>
      </c>
      <c r="C317" s="5" t="inlineStr">
        <is>
          <t>region between joints</t>
        </is>
      </c>
      <c r="D317" s="5" t="inlineStr">
        <is>
          <t>band</t>
        </is>
      </c>
      <c r="E317" s="5" t="n">
        <v>2</v>
      </c>
      <c r="F317" s="5" t="inlineStr">
        <is>
          <t>unidentified</t>
        </is>
      </c>
      <c r="G317" s="5" t="inlineStr">
        <is>
          <t>C2</t>
        </is>
      </c>
      <c r="H317" s="5" t="inlineStr">
        <is>
          <t>no label votes</t>
        </is>
      </c>
      <c r="I317" s="5" t="inlineStr">
        <is>
          <t>(none)</t>
        </is>
      </c>
      <c r="J317" s="5" t="inlineStr"/>
      <c r="K317" s="5" t="inlineStr"/>
      <c r="L317" s="5" t="n">
        <v>156</v>
      </c>
      <c r="M317" s="5" t="n">
        <v>32</v>
      </c>
      <c r="N317" s="10">
        <f>IF(AND(ISNUMBER(L317),M317&gt;0),L317/M317,"")</f>
        <v/>
      </c>
      <c r="O317" s="5" t="n">
        <v>0.497</v>
      </c>
      <c r="P317" s="5" t="n">
        <v>36.6</v>
      </c>
      <c r="Q317" s="5" t="n">
        <v>0</v>
      </c>
      <c r="R317" s="5" t="n">
        <v>1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15</v>
      </c>
      <c r="X317" s="5" t="n">
        <v>8</v>
      </c>
      <c r="Y317" s="5" t="n">
        <v>0</v>
      </c>
      <c r="Z317" s="5" t="inlineStr"/>
      <c r="AA317" s="5" t="n">
        <v>4518.4</v>
      </c>
      <c r="AB317" s="5" t="n">
        <v>2155.3</v>
      </c>
      <c r="AC317" s="5" t="n">
        <v>4561</v>
      </c>
      <c r="AD317" s="5" t="n">
        <v>2190.3</v>
      </c>
      <c r="AE317" s="5" t="inlineStr"/>
      <c r="AF317" s="5">
        <f>IF(AE317="","",IF(OR(AE317=F317,AND(AE317="crane_footing",F317="isolated_footing")),"yes","no"))</f>
        <v/>
      </c>
    </row>
    <row r="318">
      <c r="A318" s="5" t="n">
        <v>317</v>
      </c>
      <c r="B318" s="5" t="inlineStr">
        <is>
          <t>122</t>
        </is>
      </c>
      <c r="C318" s="5" t="inlineStr">
        <is>
          <t>region between joints</t>
        </is>
      </c>
      <c r="D318" s="5" t="inlineStr">
        <is>
          <t>band</t>
        </is>
      </c>
      <c r="E318" s="5" t="n">
        <v>2</v>
      </c>
      <c r="F318" s="5" t="inlineStr">
        <is>
          <t>unidentified</t>
        </is>
      </c>
      <c r="G318" s="5" t="inlineStr">
        <is>
          <t>C2</t>
        </is>
      </c>
      <c r="H318" s="5" t="inlineStr">
        <is>
          <t>no label votes</t>
        </is>
      </c>
      <c r="I318" s="5" t="inlineStr">
        <is>
          <t>(none)</t>
        </is>
      </c>
      <c r="J318" s="5" t="inlineStr"/>
      <c r="K318" s="5" t="inlineStr"/>
      <c r="L318" s="5" t="n">
        <v>155</v>
      </c>
      <c r="M318" s="5" t="n">
        <v>32</v>
      </c>
      <c r="N318" s="10">
        <f>IF(AND(ISNUMBER(L318),M318&gt;0),L318/M318,"")</f>
        <v/>
      </c>
      <c r="O318" s="5" t="n">
        <v>0.493</v>
      </c>
      <c r="P318" s="5" t="n">
        <v>126.6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7</v>
      </c>
      <c r="Y318" s="5" t="n">
        <v>1.14</v>
      </c>
      <c r="Z318" s="5" t="inlineStr"/>
      <c r="AA318" s="5" t="n">
        <v>4518.5</v>
      </c>
      <c r="AB318" s="5" t="n">
        <v>2190.4</v>
      </c>
      <c r="AC318" s="5" t="n">
        <v>4553.3</v>
      </c>
      <c r="AD318" s="5" t="n">
        <v>2232.7</v>
      </c>
      <c r="AE318" s="5" t="inlineStr"/>
      <c r="AF318" s="5">
        <f>IF(AE318="","",IF(OR(AE318=F318,AND(AE318="crane_footing",F318="isolated_footing")),"yes","no"))</f>
        <v/>
      </c>
    </row>
    <row r="319">
      <c r="A319" s="5" t="n">
        <v>318</v>
      </c>
      <c r="B319" s="5" t="inlineStr">
        <is>
          <t>122</t>
        </is>
      </c>
      <c r="C319" s="5" t="inlineStr">
        <is>
          <t>region between joints</t>
        </is>
      </c>
      <c r="D319" s="5" t="inlineStr">
        <is>
          <t>band</t>
        </is>
      </c>
      <c r="E319" s="5" t="n">
        <v>2</v>
      </c>
      <c r="F319" s="5" t="inlineStr">
        <is>
          <t>unidentified</t>
        </is>
      </c>
      <c r="G319" s="5" t="inlineStr">
        <is>
          <t>C2</t>
        </is>
      </c>
      <c r="H319" s="5" t="inlineStr">
        <is>
          <t>no label votes</t>
        </is>
      </c>
      <c r="I319" s="5" t="inlineStr">
        <is>
          <t>(none)</t>
        </is>
      </c>
      <c r="J319" s="5" t="inlineStr"/>
      <c r="K319" s="5" t="inlineStr"/>
      <c r="L319" s="5" t="n">
        <v>121</v>
      </c>
      <c r="M319" s="5" t="n">
        <v>32</v>
      </c>
      <c r="N319" s="10">
        <f>IF(AND(ISNUMBER(L319),M319&gt;0),L319/M319,"")</f>
        <v/>
      </c>
      <c r="O319" s="5" t="n">
        <v>0.385</v>
      </c>
      <c r="P319" s="5" t="n">
        <v>36.6</v>
      </c>
      <c r="Q319" s="5" t="n">
        <v>0</v>
      </c>
      <c r="R319" s="5" t="n">
        <v>1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11</v>
      </c>
      <c r="Y319" s="5" t="n">
        <v>0</v>
      </c>
      <c r="Z319" s="5" t="inlineStr"/>
      <c r="AA319" s="5" t="n">
        <v>4573.7</v>
      </c>
      <c r="AB319" s="5" t="n">
        <v>2161.4</v>
      </c>
      <c r="AC319" s="5" t="n">
        <v>4608</v>
      </c>
      <c r="AD319" s="5" t="n">
        <v>2190.3</v>
      </c>
      <c r="AE319" s="5" t="inlineStr"/>
      <c r="AF319" s="5">
        <f>IF(AE319="","",IF(OR(AE319=F319,AND(AE319="crane_footing",F319="isolated_footing")),"yes","no"))</f>
        <v/>
      </c>
    </row>
    <row r="320">
      <c r="A320" s="5" t="n">
        <v>319</v>
      </c>
      <c r="B320" s="5" t="inlineStr">
        <is>
          <t>122</t>
        </is>
      </c>
      <c r="C320" s="5" t="inlineStr">
        <is>
          <t>region between joints</t>
        </is>
      </c>
      <c r="D320" s="5" t="inlineStr">
        <is>
          <t>band</t>
        </is>
      </c>
      <c r="E320" s="5" t="n">
        <v>2</v>
      </c>
      <c r="F320" s="5" t="inlineStr">
        <is>
          <t>unidentified</t>
        </is>
      </c>
      <c r="G320" s="5" t="inlineStr">
        <is>
          <t>C2</t>
        </is>
      </c>
      <c r="H320" s="5" t="inlineStr">
        <is>
          <t>no label votes</t>
        </is>
      </c>
      <c r="I320" s="5" t="inlineStr">
        <is>
          <t>(none)</t>
        </is>
      </c>
      <c r="J320" s="5" t="inlineStr"/>
      <c r="K320" s="5" t="inlineStr"/>
      <c r="L320" s="5" t="n">
        <v>120</v>
      </c>
      <c r="M320" s="5" t="n">
        <v>32</v>
      </c>
      <c r="N320" s="10">
        <f>IF(AND(ISNUMBER(L320),M320&gt;0),L320/M320,"")</f>
        <v/>
      </c>
      <c r="O320" s="5" t="n">
        <v>0.381</v>
      </c>
      <c r="P320" s="5" t="n">
        <v>36.6</v>
      </c>
      <c r="Q320" s="5" t="n">
        <v>0</v>
      </c>
      <c r="R320" s="5" t="n">
        <v>1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11</v>
      </c>
      <c r="Y320" s="5" t="n">
        <v>0</v>
      </c>
      <c r="Z320" s="5" t="inlineStr"/>
      <c r="AA320" s="5" t="n">
        <v>4558.3</v>
      </c>
      <c r="AB320" s="5" t="n">
        <v>2161.7</v>
      </c>
      <c r="AC320" s="5" t="n">
        <v>4592.3</v>
      </c>
      <c r="AD320" s="5" t="n">
        <v>2190.3</v>
      </c>
      <c r="AE320" s="5" t="inlineStr"/>
      <c r="AF320" s="5">
        <f>IF(AE320="","",IF(OR(AE320=F320,AND(AE320="crane_footing",F320="isolated_footing")),"yes","no"))</f>
        <v/>
      </c>
    </row>
    <row r="321">
      <c r="A321" s="5" t="n">
        <v>320</v>
      </c>
      <c r="B321" s="5" t="inlineStr">
        <is>
          <t>122</t>
        </is>
      </c>
      <c r="C321" s="5" t="inlineStr">
        <is>
          <t>region between joints</t>
        </is>
      </c>
      <c r="D321" s="5" t="inlineStr">
        <is>
          <t>band</t>
        </is>
      </c>
      <c r="E321" s="5" t="n">
        <v>2</v>
      </c>
      <c r="F321" s="5" t="inlineStr">
        <is>
          <t>unidentified</t>
        </is>
      </c>
      <c r="G321" s="5" t="inlineStr">
        <is>
          <t>C2</t>
        </is>
      </c>
      <c r="H321" s="5" t="inlineStr">
        <is>
          <t>no label votes</t>
        </is>
      </c>
      <c r="I321" s="5" t="inlineStr">
        <is>
          <t>(none)</t>
        </is>
      </c>
      <c r="J321" s="5" t="inlineStr"/>
      <c r="K321" s="5" t="inlineStr"/>
      <c r="L321" s="5" t="n">
        <v>115</v>
      </c>
      <c r="M321" s="5" t="n">
        <v>32</v>
      </c>
      <c r="N321" s="10">
        <f>IF(AND(ISNUMBER(L321),M321&gt;0),L321/M321,"")</f>
        <v/>
      </c>
      <c r="O321" s="5" t="n">
        <v>0.366</v>
      </c>
      <c r="P321" s="5" t="n">
        <v>126.6</v>
      </c>
      <c r="Q321" s="5" t="n">
        <v>2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3</v>
      </c>
      <c r="Y321" s="5" t="n">
        <v>1.15</v>
      </c>
      <c r="Z321" s="5" t="inlineStr"/>
      <c r="AA321" s="5" t="n">
        <v>4739.4</v>
      </c>
      <c r="AB321" s="5" t="n">
        <v>2201.3</v>
      </c>
      <c r="AC321" s="5" t="n">
        <v>4767.1</v>
      </c>
      <c r="AD321" s="5" t="n">
        <v>2234.2</v>
      </c>
      <c r="AE321" s="5" t="inlineStr"/>
      <c r="AF321" s="5">
        <f>IF(AE321="","",IF(OR(AE321=F321,AND(AE321="crane_footing",F321="isolated_footing")),"yes","no"))</f>
        <v/>
      </c>
    </row>
    <row r="322">
      <c r="A322" s="5" t="n">
        <v>321</v>
      </c>
      <c r="B322" s="5" t="inlineStr">
        <is>
          <t>122</t>
        </is>
      </c>
      <c r="C322" s="5" t="inlineStr">
        <is>
          <t>region between joints</t>
        </is>
      </c>
      <c r="D322" s="5" t="inlineStr">
        <is>
          <t>band</t>
        </is>
      </c>
      <c r="E322" s="5" t="n">
        <v>2</v>
      </c>
      <c r="F322" s="5" t="inlineStr">
        <is>
          <t>unidentified</t>
        </is>
      </c>
      <c r="G322" s="5" t="inlineStr">
        <is>
          <t>C2</t>
        </is>
      </c>
      <c r="H322" s="5" t="inlineStr">
        <is>
          <t>no label votes</t>
        </is>
      </c>
      <c r="I322" s="5" t="inlineStr">
        <is>
          <t>(none)</t>
        </is>
      </c>
      <c r="J322" s="5" t="inlineStr"/>
      <c r="K322" s="5" t="inlineStr"/>
      <c r="L322" s="5" t="n">
        <v>90</v>
      </c>
      <c r="M322" s="5" t="n">
        <v>32</v>
      </c>
      <c r="N322" s="10">
        <f>IF(AND(ISNUMBER(L322),M322&gt;0),L322/M322,"")</f>
        <v/>
      </c>
      <c r="O322" s="5" t="n">
        <v>0.286</v>
      </c>
      <c r="P322" s="5" t="n">
        <v>36.6</v>
      </c>
      <c r="Q322" s="5" t="n">
        <v>0</v>
      </c>
      <c r="R322" s="5" t="n">
        <v>1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1</v>
      </c>
      <c r="X322" s="5" t="n">
        <v>6</v>
      </c>
      <c r="Y322" s="5" t="n">
        <v>0</v>
      </c>
      <c r="Z322" s="5" t="inlineStr"/>
      <c r="AA322" s="5" t="n">
        <v>4518.4</v>
      </c>
      <c r="AB322" s="5" t="n">
        <v>2167</v>
      </c>
      <c r="AC322" s="5" t="n">
        <v>4545.3</v>
      </c>
      <c r="AD322" s="5" t="n">
        <v>2190.4</v>
      </c>
      <c r="AE322" s="5" t="inlineStr"/>
      <c r="AF322" s="5">
        <f>IF(AE322="","",IF(OR(AE322=F322,AND(AE322="crane_footing",F322="isolated_footing")),"yes","no"))</f>
        <v/>
      </c>
    </row>
    <row r="323">
      <c r="A323" s="5" t="n">
        <v>322</v>
      </c>
      <c r="B323" s="5" t="inlineStr">
        <is>
          <t>122</t>
        </is>
      </c>
      <c r="C323" s="5" t="inlineStr">
        <is>
          <t>region between joints</t>
        </is>
      </c>
      <c r="D323" s="5" t="inlineStr">
        <is>
          <t>band</t>
        </is>
      </c>
      <c r="E323" s="5" t="n">
        <v>2</v>
      </c>
      <c r="F323" s="5" t="inlineStr">
        <is>
          <t>unidentified</t>
        </is>
      </c>
      <c r="G323" s="5" t="inlineStr">
        <is>
          <t>C2</t>
        </is>
      </c>
      <c r="H323" s="5" t="inlineStr">
        <is>
          <t>no label votes</t>
        </is>
      </c>
      <c r="I323" s="5" t="inlineStr">
        <is>
          <t>(none)</t>
        </is>
      </c>
      <c r="J323" s="5" t="inlineStr"/>
      <c r="K323" s="5" t="inlineStr"/>
      <c r="L323" s="5" t="n">
        <v>89</v>
      </c>
      <c r="M323" s="5" t="n">
        <v>32</v>
      </c>
      <c r="N323" s="10">
        <f>IF(AND(ISNUMBER(L323),M323&gt;0),L323/M323,"")</f>
        <v/>
      </c>
      <c r="O323" s="5" t="n">
        <v>0.283</v>
      </c>
      <c r="P323" s="5" t="n">
        <v>126.6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6</v>
      </c>
      <c r="Y323" s="5" t="n">
        <v>0.48</v>
      </c>
      <c r="Z323" s="5" t="inlineStr"/>
      <c r="AA323" s="5" t="n">
        <v>4518.5</v>
      </c>
      <c r="AB323" s="5" t="n">
        <v>2190.3</v>
      </c>
      <c r="AC323" s="5" t="n">
        <v>4541.7</v>
      </c>
      <c r="AD323" s="5" t="n">
        <v>2217</v>
      </c>
      <c r="AE323" s="5" t="inlineStr"/>
      <c r="AF323" s="5">
        <f>IF(AE323="","",IF(OR(AE323=F323,AND(AE323="crane_footing",F323="isolated_footing")),"yes","no"))</f>
        <v/>
      </c>
    </row>
    <row r="324">
      <c r="A324" s="5" t="n">
        <v>323</v>
      </c>
      <c r="B324" s="5" t="inlineStr">
        <is>
          <t>122</t>
        </is>
      </c>
      <c r="C324" s="5" t="inlineStr">
        <is>
          <t>region between joints</t>
        </is>
      </c>
      <c r="D324" s="5" t="inlineStr">
        <is>
          <t>band</t>
        </is>
      </c>
      <c r="E324" s="5" t="n">
        <v>4</v>
      </c>
      <c r="F324" s="5" t="inlineStr">
        <is>
          <t>unidentified</t>
        </is>
      </c>
      <c r="G324" s="5" t="inlineStr">
        <is>
          <t>C4</t>
        </is>
      </c>
      <c r="H324" s="5" t="inlineStr">
        <is>
          <t>no label votes</t>
        </is>
      </c>
      <c r="I324" s="5" t="inlineStr">
        <is>
          <t>(none)</t>
        </is>
      </c>
      <c r="J324" s="5" t="inlineStr"/>
      <c r="K324" s="5" t="inlineStr"/>
      <c r="L324" s="5" t="n">
        <v>124</v>
      </c>
      <c r="M324" s="5" t="n">
        <v>48</v>
      </c>
      <c r="N324" s="10">
        <f>IF(AND(ISNUMBER(L324),M324&gt;0),L324/M324,"")</f>
        <v/>
      </c>
      <c r="O324" s="5" t="n">
        <v>0.6</v>
      </c>
      <c r="P324" s="5" t="n">
        <v>0</v>
      </c>
      <c r="Q324" s="5" t="n">
        <v>0</v>
      </c>
      <c r="R324" s="5" t="n">
        <v>1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1</v>
      </c>
      <c r="X324" s="5" t="n">
        <v>2</v>
      </c>
      <c r="Y324" s="5" t="n">
        <v>0</v>
      </c>
      <c r="Z324" s="5" t="inlineStr"/>
      <c r="AA324" s="5" t="n">
        <v>4553.6</v>
      </c>
      <c r="AB324" s="5" t="n">
        <v>2822</v>
      </c>
      <c r="AC324" s="5" t="n">
        <v>4590.1</v>
      </c>
      <c r="AD324" s="5" t="n">
        <v>2836.4</v>
      </c>
      <c r="AE324" s="5" t="inlineStr"/>
      <c r="AF324" s="5">
        <f>IF(AE324="","",IF(OR(AE324=F324,AND(AE324="crane_footing",F324="isolated_footing")),"yes","no"))</f>
        <v/>
      </c>
    </row>
    <row r="325">
      <c r="A325" s="5" t="n">
        <v>324</v>
      </c>
      <c r="B325" s="5" t="inlineStr">
        <is>
          <t>122</t>
        </is>
      </c>
      <c r="C325" s="5" t="inlineStr">
        <is>
          <t>nearest labels</t>
        </is>
      </c>
      <c r="D325" s="5" t="inlineStr">
        <is>
          <t>band</t>
        </is>
      </c>
      <c r="E325" s="5" t="n">
        <v>8</v>
      </c>
      <c r="F325" s="5" t="inlineStr">
        <is>
          <t>unidentified</t>
        </is>
      </c>
      <c r="G325" s="5" t="inlineStr">
        <is>
          <t>C8</t>
        </is>
      </c>
      <c r="H325" s="5" t="inlineStr">
        <is>
          <t>no label votes</t>
        </is>
      </c>
      <c r="I325" s="5" t="inlineStr">
        <is>
          <t>(none)</t>
        </is>
      </c>
      <c r="J325" s="5" t="inlineStr"/>
      <c r="K325" s="5" t="inlineStr"/>
      <c r="L325" s="5" t="n">
        <v>1470</v>
      </c>
      <c r="M325" s="5" t="n">
        <v>100</v>
      </c>
      <c r="N325" s="10">
        <f>IF(AND(ISNUMBER(L325),M325&gt;0),L325/M325,"")</f>
        <v/>
      </c>
      <c r="O325" s="5" t="n">
        <v>14.686</v>
      </c>
      <c r="P325" s="5" t="n">
        <v>90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1</v>
      </c>
      <c r="Y325" s="5" t="n">
        <v>14.7</v>
      </c>
      <c r="Z325" s="5" t="inlineStr"/>
      <c r="AA325" s="5" t="n">
        <v>5202</v>
      </c>
      <c r="AB325" s="5" t="n">
        <v>2113</v>
      </c>
      <c r="AC325" s="5" t="n">
        <v>5231.5</v>
      </c>
      <c r="AD325" s="5" t="n">
        <v>2547</v>
      </c>
      <c r="AE325" s="5" t="inlineStr"/>
      <c r="AF325" s="5">
        <f>IF(AE325="","",IF(OR(AE325=F325,AND(AE325="crane_footing",F325="isolated_footing")),"yes","no"))</f>
        <v/>
      </c>
    </row>
    <row r="326">
      <c r="A326" s="5" t="n">
        <v>325</v>
      </c>
      <c r="B326" s="5" t="inlineStr">
        <is>
          <t>122</t>
        </is>
      </c>
      <c r="C326" s="5" t="inlineStr">
        <is>
          <t>region between joints</t>
        </is>
      </c>
      <c r="D326" s="5" t="inlineStr">
        <is>
          <t>band</t>
        </is>
      </c>
      <c r="E326" s="5" t="n">
        <v>8</v>
      </c>
      <c r="F326" s="5" t="inlineStr">
        <is>
          <t>unidentified</t>
        </is>
      </c>
      <c r="G326" s="5" t="inlineStr">
        <is>
          <t>C8</t>
        </is>
      </c>
      <c r="H326" s="5" t="inlineStr">
        <is>
          <t>no label votes</t>
        </is>
      </c>
      <c r="I326" s="5" t="inlineStr">
        <is>
          <t>(none)</t>
        </is>
      </c>
      <c r="J326" s="5" t="inlineStr"/>
      <c r="K326" s="5" t="inlineStr"/>
      <c r="L326" s="5" t="n">
        <v>234</v>
      </c>
      <c r="M326" s="5" t="n">
        <v>100</v>
      </c>
      <c r="N326" s="10">
        <f>IF(AND(ISNUMBER(L326),M326&gt;0),L326/M326,"")</f>
        <v/>
      </c>
      <c r="O326" s="5" t="n">
        <v>2.337</v>
      </c>
      <c r="P326" s="5" t="n">
        <v>89.90000000000001</v>
      </c>
      <c r="Q326" s="5" t="n">
        <v>0</v>
      </c>
      <c r="R326" s="5" t="n">
        <v>1</v>
      </c>
      <c r="S326" s="5" t="n">
        <v>0</v>
      </c>
      <c r="T326" s="5" t="n">
        <v>1</v>
      </c>
      <c r="U326" s="5" t="n">
        <v>0</v>
      </c>
      <c r="V326" s="5" t="n">
        <v>0</v>
      </c>
      <c r="W326" s="5" t="n">
        <v>9</v>
      </c>
      <c r="X326" s="5" t="n">
        <v>0</v>
      </c>
      <c r="Y326" s="5" t="n">
        <v>0</v>
      </c>
      <c r="Z326" s="5" t="inlineStr"/>
      <c r="AA326" s="5" t="n">
        <v>4783.9</v>
      </c>
      <c r="AB326" s="5" t="n">
        <v>2505.2</v>
      </c>
      <c r="AC326" s="5" t="n">
        <v>4813.6</v>
      </c>
      <c r="AD326" s="5" t="n">
        <v>2574.4</v>
      </c>
      <c r="AE326" s="5" t="inlineStr"/>
      <c r="AF326" s="5">
        <f>IF(AE326="","",IF(OR(AE326=F326,AND(AE326="crane_footing",F326="isolated_footing")),"yes","no"))</f>
        <v/>
      </c>
    </row>
    <row r="327">
      <c r="A327" s="5" t="n">
        <v>326</v>
      </c>
      <c r="B327" s="5" t="inlineStr">
        <is>
          <t>123</t>
        </is>
      </c>
      <c r="C327" s="5" t="inlineStr">
        <is>
          <t>own label</t>
        </is>
      </c>
      <c r="D327" s="5" t="inlineStr">
        <is>
          <t>solid</t>
        </is>
      </c>
      <c r="E327" s="5" t="n">
        <v>37</v>
      </c>
      <c r="F327" s="5" t="inlineStr">
        <is>
          <t>shear_wall</t>
        </is>
      </c>
      <c r="G327" s="5" t="inlineStr">
        <is>
          <t>Shear wall V1/123 1.25 × 0.25 m</t>
        </is>
      </c>
      <c r="H327" s="5" t="inlineStr">
        <is>
          <t>similar to cluster 33 (distance 1.78)</t>
        </is>
      </c>
      <c r="I327" s="5" t="inlineStr">
        <is>
          <t>V1/123</t>
        </is>
      </c>
      <c r="J327" s="5" t="inlineStr">
        <is>
          <t>printed label</t>
        </is>
      </c>
      <c r="K327" s="5" t="inlineStr">
        <is>
          <t>V1/123/123</t>
        </is>
      </c>
      <c r="L327" s="5" t="n">
        <v>125</v>
      </c>
      <c r="M327" s="5" t="n">
        <v>25</v>
      </c>
      <c r="N327" s="10">
        <f>IF(AND(ISNUMBER(L327),M327&gt;0),L327/M327,"")</f>
        <v/>
      </c>
      <c r="O327" s="5" t="n">
        <v>0.313</v>
      </c>
      <c r="P327" s="5" t="n">
        <v>79.40000000000001</v>
      </c>
      <c r="Q327" s="5" t="n">
        <v>2</v>
      </c>
      <c r="R327" s="5" t="n">
        <v>1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1</v>
      </c>
      <c r="X327" s="5" t="n">
        <v>1</v>
      </c>
      <c r="Y327" s="5" t="n"/>
      <c r="Z327" s="5" t="inlineStr"/>
      <c r="AA327" s="5" t="n">
        <v>4335.1</v>
      </c>
      <c r="AB327" s="5" t="n">
        <v>3545</v>
      </c>
      <c r="AC327" s="5" t="n">
        <v>4349.2</v>
      </c>
      <c r="AD327" s="5" t="n">
        <v>3582.7</v>
      </c>
      <c r="AE327" s="5" t="inlineStr"/>
      <c r="AF327" s="5">
        <f>IF(AE327="","",IF(OR(AE327=F327,AND(AE327="crane_footing",F327="isolated_footing")),"yes","no"))</f>
        <v/>
      </c>
    </row>
    <row r="328">
      <c r="A328" s="5" t="n">
        <v>327</v>
      </c>
      <c r="B328" s="5" t="inlineStr">
        <is>
          <t>123</t>
        </is>
      </c>
      <c r="C328" s="5" t="inlineStr">
        <is>
          <t>own label</t>
        </is>
      </c>
      <c r="D328" s="5" t="inlineStr">
        <is>
          <t>solid</t>
        </is>
      </c>
      <c r="E328" s="5" t="n">
        <v>38</v>
      </c>
      <c r="F328" s="5" t="inlineStr">
        <is>
          <t>shear_wall</t>
        </is>
      </c>
      <c r="G328" s="5" t="inlineStr">
        <is>
          <t>Shear wall V2/123 2.00 × 0.30 m</t>
        </is>
      </c>
      <c r="H328" s="5" t="inlineStr">
        <is>
          <t>label vote</t>
        </is>
      </c>
      <c r="I328" s="5" t="inlineStr">
        <is>
          <t>V2/123</t>
        </is>
      </c>
      <c r="J328" s="5" t="inlineStr">
        <is>
          <t>printed label</t>
        </is>
      </c>
      <c r="K328" s="5" t="inlineStr">
        <is>
          <t>V2/123/123</t>
        </is>
      </c>
      <c r="L328" s="5" t="n">
        <v>200</v>
      </c>
      <c r="M328" s="5" t="n">
        <v>30</v>
      </c>
      <c r="N328" s="10">
        <f>IF(AND(ISNUMBER(L328),M328&gt;0),L328/M328,"")</f>
        <v/>
      </c>
      <c r="O328" s="5" t="n">
        <v>0.6</v>
      </c>
      <c r="P328" s="5" t="n">
        <v>79.40000000000001</v>
      </c>
      <c r="Q328" s="5" t="n">
        <v>0</v>
      </c>
      <c r="R328" s="5" t="n">
        <v>1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2</v>
      </c>
      <c r="X328" s="5" t="n">
        <v>2</v>
      </c>
      <c r="Y328" s="5" t="n"/>
      <c r="Z328" s="5" t="inlineStr"/>
      <c r="AA328" s="5" t="n">
        <v>4703.6</v>
      </c>
      <c r="AB328" s="5" t="n">
        <v>3429.1</v>
      </c>
      <c r="AC328" s="5" t="n">
        <v>4723.2</v>
      </c>
      <c r="AD328" s="5" t="n">
        <v>3488.8</v>
      </c>
      <c r="AE328" s="5" t="inlineStr">
        <is>
          <t>shear_wall</t>
        </is>
      </c>
      <c r="AF328" s="5">
        <f>IF(AE328="","",IF(OR(AE328=F328,AND(AE328="crane_footing",F328="isolated_footing")),"yes","no"))</f>
        <v/>
      </c>
    </row>
    <row r="329">
      <c r="A329" s="5" t="n">
        <v>328</v>
      </c>
      <c r="B329" s="5" t="inlineStr">
        <is>
          <t>123</t>
        </is>
      </c>
      <c r="C329" s="5" t="inlineStr">
        <is>
          <t>own label</t>
        </is>
      </c>
      <c r="D329" s="5" t="inlineStr">
        <is>
          <t>solid</t>
        </is>
      </c>
      <c r="E329" s="5" t="n">
        <v>38</v>
      </c>
      <c r="F329" s="5" t="inlineStr">
        <is>
          <t>shear_wall</t>
        </is>
      </c>
      <c r="G329" s="5" t="inlineStr">
        <is>
          <t>Shear wall V2/123 2.00 × 0.30 m</t>
        </is>
      </c>
      <c r="H329" s="5" t="inlineStr">
        <is>
          <t>label vote</t>
        </is>
      </c>
      <c r="I329" s="5" t="inlineStr">
        <is>
          <t>V2/123</t>
        </is>
      </c>
      <c r="J329" s="5" t="inlineStr">
        <is>
          <t>printed label</t>
        </is>
      </c>
      <c r="K329" s="5" t="inlineStr">
        <is>
          <t>V2/123/123</t>
        </is>
      </c>
      <c r="L329" s="5" t="n">
        <v>200</v>
      </c>
      <c r="M329" s="5" t="n">
        <v>30</v>
      </c>
      <c r="N329" s="10">
        <f>IF(AND(ISNUMBER(L329),M329&gt;0),L329/M329,"")</f>
        <v/>
      </c>
      <c r="O329" s="5" t="n">
        <v>0.599</v>
      </c>
      <c r="P329" s="5" t="n">
        <v>79.40000000000001</v>
      </c>
      <c r="Q329" s="5" t="n">
        <v>0</v>
      </c>
      <c r="R329" s="5" t="n">
        <v>1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9</v>
      </c>
      <c r="X329" s="5" t="n">
        <v>3</v>
      </c>
      <c r="Y329" s="5" t="n"/>
      <c r="Z329" s="5" t="inlineStr"/>
      <c r="AA329" s="5" t="n">
        <v>4411.6</v>
      </c>
      <c r="AB329" s="5" t="n">
        <v>3059.4</v>
      </c>
      <c r="AC329" s="5" t="n">
        <v>4431.1</v>
      </c>
      <c r="AD329" s="5" t="n">
        <v>3119</v>
      </c>
      <c r="AE329" s="5" t="inlineStr">
        <is>
          <t>shear_wall</t>
        </is>
      </c>
      <c r="AF329" s="5">
        <f>IF(AE329="","",IF(OR(AE329=F329,AND(AE329="crane_footing",F329="isolated_footing")),"yes","no"))</f>
        <v/>
      </c>
    </row>
    <row r="330">
      <c r="A330" s="5" t="n">
        <v>329</v>
      </c>
      <c r="B330" s="5" t="inlineStr">
        <is>
          <t>123</t>
        </is>
      </c>
      <c r="C330" s="5" t="inlineStr">
        <is>
          <t>own label</t>
        </is>
      </c>
      <c r="D330" s="5" t="inlineStr">
        <is>
          <t>solid</t>
        </is>
      </c>
      <c r="E330" s="5" t="n">
        <v>33</v>
      </c>
      <c r="F330" s="5" t="inlineStr">
        <is>
          <t>shear_wall</t>
        </is>
      </c>
      <c r="G330" s="5" t="inlineStr">
        <is>
          <t>Shear wall V2/123 2.00 × 0.30 m</t>
        </is>
      </c>
      <c r="H330" s="5" t="inlineStr">
        <is>
          <t>label vote</t>
        </is>
      </c>
      <c r="I330" s="5" t="inlineStr">
        <is>
          <t>V2/123</t>
        </is>
      </c>
      <c r="J330" s="5" t="inlineStr">
        <is>
          <t>printed label</t>
        </is>
      </c>
      <c r="K330" s="5" t="inlineStr">
        <is>
          <t>V2/123/123</t>
        </is>
      </c>
      <c r="L330" s="5" t="n">
        <v>200</v>
      </c>
      <c r="M330" s="5" t="n">
        <v>30</v>
      </c>
      <c r="N330" s="10">
        <f>IF(AND(ISNUMBER(L330),M330&gt;0),L330/M330,"")</f>
        <v/>
      </c>
      <c r="O330" s="5" t="n">
        <v>0.599</v>
      </c>
      <c r="P330" s="5" t="n">
        <v>79.3</v>
      </c>
      <c r="Q330" s="5" t="n">
        <v>1</v>
      </c>
      <c r="R330" s="5" t="n">
        <v>1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1</v>
      </c>
      <c r="X330" s="5" t="n">
        <v>2</v>
      </c>
      <c r="Y330" s="5" t="n"/>
      <c r="Z330" s="5" t="inlineStr"/>
      <c r="AA330" s="5" t="n">
        <v>4519.9</v>
      </c>
      <c r="AB330" s="5" t="n">
        <v>3487.9</v>
      </c>
      <c r="AC330" s="5" t="n">
        <v>4539.6</v>
      </c>
      <c r="AD330" s="5" t="n">
        <v>3547.5</v>
      </c>
      <c r="AE330" s="5" t="inlineStr"/>
      <c r="AF330" s="5">
        <f>IF(AE330="","",IF(OR(AE330=F330,AND(AE330="crane_footing",F330="isolated_footing")),"yes","no"))</f>
        <v/>
      </c>
    </row>
    <row r="331">
      <c r="A331" s="5" t="n">
        <v>330</v>
      </c>
      <c r="B331" s="5" t="inlineStr">
        <is>
          <t>123</t>
        </is>
      </c>
      <c r="C331" s="5" t="inlineStr">
        <is>
          <t>own label</t>
        </is>
      </c>
      <c r="D331" s="5" t="inlineStr">
        <is>
          <t>solid</t>
        </is>
      </c>
      <c r="E331" s="5" t="n">
        <v>31</v>
      </c>
      <c r="F331" s="5" t="inlineStr">
        <is>
          <t>shear_wall</t>
        </is>
      </c>
      <c r="G331" s="5" t="inlineStr">
        <is>
          <t>Shear wall V3/123 2.00 × 0.25 m</t>
        </is>
      </c>
      <c r="H331" s="5" t="inlineStr">
        <is>
          <t>label vote</t>
        </is>
      </c>
      <c r="I331" s="5" t="inlineStr">
        <is>
          <t>V3/123</t>
        </is>
      </c>
      <c r="J331" s="5" t="inlineStr">
        <is>
          <t>printed label</t>
        </is>
      </c>
      <c r="K331" s="5" t="inlineStr">
        <is>
          <t>V3/123/123</t>
        </is>
      </c>
      <c r="L331" s="5" t="n">
        <v>200</v>
      </c>
      <c r="M331" s="5" t="n">
        <v>25</v>
      </c>
      <c r="N331" s="10">
        <f>IF(AND(ISNUMBER(L331),M331&gt;0),L331/M331,"")</f>
        <v/>
      </c>
      <c r="O331" s="5" t="n">
        <v>0.501</v>
      </c>
      <c r="P331" s="5" t="n">
        <v>169.3</v>
      </c>
      <c r="Q331" s="5" t="n">
        <v>0</v>
      </c>
      <c r="R331" s="5" t="n">
        <v>0</v>
      </c>
      <c r="S331" s="5" t="n">
        <v>0</v>
      </c>
      <c r="T331" s="5" t="n">
        <v>1</v>
      </c>
      <c r="U331" s="5" t="n">
        <v>0</v>
      </c>
      <c r="V331" s="5" t="n">
        <v>0</v>
      </c>
      <c r="W331" s="5" t="n">
        <v>1</v>
      </c>
      <c r="X331" s="5" t="n">
        <v>0</v>
      </c>
      <c r="Y331" s="5" t="n"/>
      <c r="Z331" s="5" t="inlineStr"/>
      <c r="AA331" s="5" t="n">
        <v>4634.4</v>
      </c>
      <c r="AB331" s="5" t="n">
        <v>3257.9</v>
      </c>
      <c r="AC331" s="5" t="n">
        <v>4693.8</v>
      </c>
      <c r="AD331" s="5" t="n">
        <v>3276.1</v>
      </c>
      <c r="AE331" s="5" t="inlineStr">
        <is>
          <t>shear_wall</t>
        </is>
      </c>
      <c r="AF331" s="5">
        <f>IF(AE331="","",IF(OR(AE331=F331,AND(AE331="crane_footing",F331="isolated_footing")),"yes","no"))</f>
        <v/>
      </c>
    </row>
    <row r="332">
      <c r="A332" s="5" t="n">
        <v>331</v>
      </c>
      <c r="B332" s="5" t="inlineStr">
        <is>
          <t>123</t>
        </is>
      </c>
      <c r="C332" s="5" t="inlineStr">
        <is>
          <t>own label</t>
        </is>
      </c>
      <c r="D332" s="5" t="inlineStr">
        <is>
          <t>solid</t>
        </is>
      </c>
      <c r="E332" s="5" t="n">
        <v>31</v>
      </c>
      <c r="F332" s="5" t="inlineStr">
        <is>
          <t>shear_wall</t>
        </is>
      </c>
      <c r="G332" s="5" t="inlineStr">
        <is>
          <t>Shear wall V3/123 2.00 × 0.25 m</t>
        </is>
      </c>
      <c r="H332" s="5" t="inlineStr">
        <is>
          <t>label vote</t>
        </is>
      </c>
      <c r="I332" s="5" t="inlineStr">
        <is>
          <t>V3/123</t>
        </is>
      </c>
      <c r="J332" s="5" t="inlineStr">
        <is>
          <t>printed label</t>
        </is>
      </c>
      <c r="K332" s="5" t="inlineStr">
        <is>
          <t>V3/123/123</t>
        </is>
      </c>
      <c r="L332" s="5" t="n">
        <v>200</v>
      </c>
      <c r="M332" s="5" t="n">
        <v>25</v>
      </c>
      <c r="N332" s="10">
        <f>IF(AND(ISNUMBER(L332),M332&gt;0),L332/M332,"")</f>
        <v/>
      </c>
      <c r="O332" s="5" t="n">
        <v>0.501</v>
      </c>
      <c r="P332" s="5" t="n">
        <v>169.3</v>
      </c>
      <c r="Q332" s="5" t="n">
        <v>0</v>
      </c>
      <c r="R332" s="5" t="n">
        <v>0</v>
      </c>
      <c r="S332" s="5" t="n">
        <v>0</v>
      </c>
      <c r="T332" s="5" t="n">
        <v>1</v>
      </c>
      <c r="U332" s="5" t="n">
        <v>0</v>
      </c>
      <c r="V332" s="5" t="n">
        <v>0</v>
      </c>
      <c r="W332" s="5" t="n">
        <v>2</v>
      </c>
      <c r="X332" s="5" t="n">
        <v>0</v>
      </c>
      <c r="Y332" s="5" t="n"/>
      <c r="Z332" s="5" t="inlineStr"/>
      <c r="AA332" s="5" t="n">
        <v>4805.9</v>
      </c>
      <c r="AB332" s="5" t="n">
        <v>3225.6</v>
      </c>
      <c r="AC332" s="5" t="n">
        <v>4865.3</v>
      </c>
      <c r="AD332" s="5" t="n">
        <v>3243.8</v>
      </c>
      <c r="AE332" s="5" t="inlineStr">
        <is>
          <t>shear_wall</t>
        </is>
      </c>
      <c r="AF332" s="5">
        <f>IF(AE332="","",IF(OR(AE332=F332,AND(AE332="crane_footing",F332="isolated_footing")),"yes","no"))</f>
        <v/>
      </c>
    </row>
    <row r="333">
      <c r="A333" s="5" t="n">
        <v>332</v>
      </c>
      <c r="B333" s="5" t="inlineStr">
        <is>
          <t>123</t>
        </is>
      </c>
      <c r="C333" s="5" t="inlineStr">
        <is>
          <t>own label (region says 124)</t>
        </is>
      </c>
      <c r="D333" s="5" t="inlineStr">
        <is>
          <t>solid</t>
        </is>
      </c>
      <c r="E333" s="5" t="n">
        <v>31</v>
      </c>
      <c r="F333" s="5" t="inlineStr">
        <is>
          <t>shear_wall</t>
        </is>
      </c>
      <c r="G333" s="5" t="inlineStr">
        <is>
          <t>Shear wall V3/123 2.00 × 0.25 m</t>
        </is>
      </c>
      <c r="H333" s="5" t="inlineStr">
        <is>
          <t>label vote</t>
        </is>
      </c>
      <c r="I333" s="5" t="inlineStr">
        <is>
          <t>V3/123</t>
        </is>
      </c>
      <c r="J333" s="5" t="inlineStr">
        <is>
          <t>printed label</t>
        </is>
      </c>
      <c r="K333" s="5" t="inlineStr">
        <is>
          <t>V3/123/123</t>
        </is>
      </c>
      <c r="L333" s="5" t="n">
        <v>200</v>
      </c>
      <c r="M333" s="5" t="n">
        <v>25</v>
      </c>
      <c r="N333" s="10">
        <f>IF(AND(ISNUMBER(L333),M333&gt;0),L333/M333,"")</f>
        <v/>
      </c>
      <c r="O333" s="5" t="n">
        <v>0.499</v>
      </c>
      <c r="P333" s="5" t="n">
        <v>79.3</v>
      </c>
      <c r="Q333" s="5" t="n">
        <v>0</v>
      </c>
      <c r="R333" s="5" t="n">
        <v>1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1</v>
      </c>
      <c r="X333" s="5" t="n">
        <v>3</v>
      </c>
      <c r="Y333" s="5" t="n"/>
      <c r="Z333" s="5" t="inlineStr"/>
      <c r="AA333" s="5" t="n">
        <v>4249.1</v>
      </c>
      <c r="AB333" s="5" t="n">
        <v>3088.5</v>
      </c>
      <c r="AC333" s="5" t="n">
        <v>4267.3</v>
      </c>
      <c r="AD333" s="5" t="n">
        <v>3147.9</v>
      </c>
      <c r="AE333" s="5" t="inlineStr">
        <is>
          <t>shear_wall</t>
        </is>
      </c>
      <c r="AF333" s="5">
        <f>IF(AE333="","",IF(OR(AE333=F333,AND(AE333="crane_footing",F333="isolated_footing")),"yes","no"))</f>
        <v/>
      </c>
    </row>
    <row r="334">
      <c r="A334" s="5" t="n">
        <v>333</v>
      </c>
      <c r="B334" s="5" t="inlineStr">
        <is>
          <t>123</t>
        </is>
      </c>
      <c r="C334" s="5" t="inlineStr">
        <is>
          <t>own label (region says 124)</t>
        </is>
      </c>
      <c r="D334" s="5" t="inlineStr">
        <is>
          <t>solid</t>
        </is>
      </c>
      <c r="E334" s="5" t="n">
        <v>33</v>
      </c>
      <c r="F334" s="5" t="inlineStr">
        <is>
          <t>shear_wall</t>
        </is>
      </c>
      <c r="G334" s="5" t="inlineStr">
        <is>
          <t>Shear wall V3/123 2.00 × 0.25 m</t>
        </is>
      </c>
      <c r="H334" s="5" t="inlineStr">
        <is>
          <t>label vote</t>
        </is>
      </c>
      <c r="I334" s="5" t="inlineStr">
        <is>
          <t>V3/123</t>
        </is>
      </c>
      <c r="J334" s="5" t="inlineStr">
        <is>
          <t>printed label</t>
        </is>
      </c>
      <c r="K334" s="5" t="inlineStr">
        <is>
          <t>V3/123/123</t>
        </is>
      </c>
      <c r="L334" s="5" t="n">
        <v>200</v>
      </c>
      <c r="M334" s="5" t="n">
        <v>25</v>
      </c>
      <c r="N334" s="10">
        <f>IF(AND(ISNUMBER(L334),M334&gt;0),L334/M334,"")</f>
        <v/>
      </c>
      <c r="O334" s="5" t="n">
        <v>0.499</v>
      </c>
      <c r="P334" s="5" t="n">
        <v>79.3</v>
      </c>
      <c r="Q334" s="5" t="n">
        <v>1</v>
      </c>
      <c r="R334" s="5" t="n">
        <v>1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1</v>
      </c>
      <c r="X334" s="5" t="n">
        <v>1</v>
      </c>
      <c r="Y334" s="5" t="n"/>
      <c r="Z334" s="5" t="inlineStr"/>
      <c r="AA334" s="5" t="n">
        <v>4290.9</v>
      </c>
      <c r="AB334" s="5" t="n">
        <v>3310.2</v>
      </c>
      <c r="AC334" s="5" t="n">
        <v>4309.1</v>
      </c>
      <c r="AD334" s="5" t="n">
        <v>3369.6</v>
      </c>
      <c r="AE334" s="5" t="inlineStr"/>
      <c r="AF334" s="5">
        <f>IF(AE334="","",IF(OR(AE334=F334,AND(AE334="crane_footing",F334="isolated_footing")),"yes","no"))</f>
        <v/>
      </c>
    </row>
    <row r="335">
      <c r="A335" s="5" t="n">
        <v>334</v>
      </c>
      <c r="B335" s="5" t="inlineStr">
        <is>
          <t>123</t>
        </is>
      </c>
      <c r="C335" s="5" t="inlineStr">
        <is>
          <t>own label</t>
        </is>
      </c>
      <c r="D335" s="5" t="inlineStr">
        <is>
          <t>solid</t>
        </is>
      </c>
      <c r="E335" s="5" t="n">
        <v>33</v>
      </c>
      <c r="F335" s="5" t="inlineStr">
        <is>
          <t>shear_wall</t>
        </is>
      </c>
      <c r="G335" s="5" t="inlineStr">
        <is>
          <t>Shear wall V4/123 2.00 × 0.30 m</t>
        </is>
      </c>
      <c r="H335" s="5" t="inlineStr">
        <is>
          <t>label vote</t>
        </is>
      </c>
      <c r="I335" s="5" t="inlineStr">
        <is>
          <t>V4/123</t>
        </is>
      </c>
      <c r="J335" s="5" t="inlineStr">
        <is>
          <t>printed label</t>
        </is>
      </c>
      <c r="K335" s="5" t="inlineStr">
        <is>
          <t>V4/123/123</t>
        </is>
      </c>
      <c r="L335" s="5" t="n">
        <v>200</v>
      </c>
      <c r="M335" s="5" t="n">
        <v>30</v>
      </c>
      <c r="N335" s="10">
        <f>IF(AND(ISNUMBER(L335),M335&gt;0),L335/M335,"")</f>
        <v/>
      </c>
      <c r="O335" s="5" t="n">
        <v>0.603</v>
      </c>
      <c r="P335" s="5" t="n">
        <v>79.40000000000001</v>
      </c>
      <c r="Q335" s="5" t="n">
        <v>1</v>
      </c>
      <c r="R335" s="5" t="n">
        <v>1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2</v>
      </c>
      <c r="X335" s="5" t="n">
        <v>1</v>
      </c>
      <c r="Y335" s="5" t="n"/>
      <c r="Z335" s="5" t="inlineStr"/>
      <c r="AA335" s="5" t="n">
        <v>4892.3</v>
      </c>
      <c r="AB335" s="5" t="n">
        <v>3417.7</v>
      </c>
      <c r="AC335" s="5" t="n">
        <v>4911.9</v>
      </c>
      <c r="AD335" s="5" t="n">
        <v>3477.4</v>
      </c>
      <c r="AE335" s="5" t="inlineStr"/>
      <c r="AF335" s="5">
        <f>IF(AE335="","",IF(OR(AE335=F335,AND(AE335="crane_footing",F335="isolated_footing")),"yes","no"))</f>
        <v/>
      </c>
    </row>
    <row r="336">
      <c r="A336" s="5" t="n">
        <v>335</v>
      </c>
      <c r="B336" s="5" t="inlineStr">
        <is>
          <t>123</t>
        </is>
      </c>
      <c r="C336" s="5" t="inlineStr">
        <is>
          <t>own label</t>
        </is>
      </c>
      <c r="D336" s="5" t="inlineStr">
        <is>
          <t>solid</t>
        </is>
      </c>
      <c r="E336" s="5" t="n">
        <v>38</v>
      </c>
      <c r="F336" s="5" t="inlineStr">
        <is>
          <t>shear_wall</t>
        </is>
      </c>
      <c r="G336" s="5" t="inlineStr">
        <is>
          <t>Shear wall V4/123 2.00 × 0.30 m</t>
        </is>
      </c>
      <c r="H336" s="5" t="inlineStr">
        <is>
          <t>label vote</t>
        </is>
      </c>
      <c r="I336" s="5" t="inlineStr">
        <is>
          <t>V4/123</t>
        </is>
      </c>
      <c r="J336" s="5" t="inlineStr">
        <is>
          <t>printed label</t>
        </is>
      </c>
      <c r="K336" s="5" t="inlineStr">
        <is>
          <t>V4/123/123</t>
        </is>
      </c>
      <c r="L336" s="5" t="n">
        <v>200</v>
      </c>
      <c r="M336" s="5" t="n">
        <v>30</v>
      </c>
      <c r="N336" s="10">
        <f>IF(AND(ISNUMBER(L336),M336&gt;0),L336/M336,"")</f>
        <v/>
      </c>
      <c r="O336" s="5" t="n">
        <v>0.599</v>
      </c>
      <c r="P336" s="5" t="n">
        <v>79.3</v>
      </c>
      <c r="Q336" s="5" t="n">
        <v>0</v>
      </c>
      <c r="R336" s="5" t="n">
        <v>1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1</v>
      </c>
      <c r="X336" s="5" t="n">
        <v>2</v>
      </c>
      <c r="Y336" s="5" t="n"/>
      <c r="Z336" s="5" t="inlineStr"/>
      <c r="AA336" s="5" t="n">
        <v>4483.5</v>
      </c>
      <c r="AB336" s="5" t="n">
        <v>3295.7</v>
      </c>
      <c r="AC336" s="5" t="n">
        <v>4503.1</v>
      </c>
      <c r="AD336" s="5" t="n">
        <v>3355.4</v>
      </c>
      <c r="AE336" s="5" t="inlineStr">
        <is>
          <t>shear_wall</t>
        </is>
      </c>
      <c r="AF336" s="5">
        <f>IF(AE336="","",IF(OR(AE336=F336,AND(AE336="crane_footing",F336="isolated_footing")),"yes","no"))</f>
        <v/>
      </c>
    </row>
    <row r="337">
      <c r="A337" s="5" t="n">
        <v>336</v>
      </c>
      <c r="B337" s="5" t="inlineStr">
        <is>
          <t>123</t>
        </is>
      </c>
      <c r="C337" s="5" t="inlineStr">
        <is>
          <t>own label</t>
        </is>
      </c>
      <c r="D337" s="5" t="inlineStr">
        <is>
          <t>solid</t>
        </is>
      </c>
      <c r="E337" s="5" t="n">
        <v>33</v>
      </c>
      <c r="F337" s="5" t="inlineStr">
        <is>
          <t>shear_wall</t>
        </is>
      </c>
      <c r="G337" s="5" t="inlineStr">
        <is>
          <t>Shear wall V5/123 1.50 × 0.30 m</t>
        </is>
      </c>
      <c r="H337" s="5" t="inlineStr">
        <is>
          <t>label vote</t>
        </is>
      </c>
      <c r="I337" s="5" t="inlineStr">
        <is>
          <t>V5/123</t>
        </is>
      </c>
      <c r="J337" s="5" t="inlineStr">
        <is>
          <t>printed label</t>
        </is>
      </c>
      <c r="K337" s="5" t="inlineStr">
        <is>
          <t>V5/123/123</t>
        </is>
      </c>
      <c r="L337" s="5" t="n">
        <v>150</v>
      </c>
      <c r="M337" s="5" t="n">
        <v>30</v>
      </c>
      <c r="N337" s="10">
        <f>IF(AND(ISNUMBER(L337),M337&gt;0),L337/M337,"")</f>
        <v/>
      </c>
      <c r="O337" s="5" t="n">
        <v>0.45</v>
      </c>
      <c r="P337" s="5" t="n">
        <v>169.4</v>
      </c>
      <c r="Q337" s="5" t="n">
        <v>1</v>
      </c>
      <c r="R337" s="5" t="n">
        <v>1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1</v>
      </c>
      <c r="X337" s="5" t="n">
        <v>1</v>
      </c>
      <c r="Y337" s="5" t="n"/>
      <c r="Z337" s="5" t="inlineStr"/>
      <c r="AA337" s="5" t="n">
        <v>4975.9</v>
      </c>
      <c r="AB337" s="5" t="n">
        <v>3317.4</v>
      </c>
      <c r="AC337" s="5" t="n">
        <v>5021.1</v>
      </c>
      <c r="AD337" s="5" t="n">
        <v>3334.2</v>
      </c>
      <c r="AE337" s="5" t="inlineStr"/>
      <c r="AF337" s="5">
        <f>IF(AE337="","",IF(OR(AE337=F337,AND(AE337="crane_footing",F337="isolated_footing")),"yes","no"))</f>
        <v/>
      </c>
    </row>
    <row r="338">
      <c r="A338" s="5" t="n">
        <v>337</v>
      </c>
      <c r="B338" s="5" t="inlineStr">
        <is>
          <t>123</t>
        </is>
      </c>
      <c r="C338" s="5" t="inlineStr">
        <is>
          <t>own label</t>
        </is>
      </c>
      <c r="D338" s="5" t="inlineStr">
        <is>
          <t>solid</t>
        </is>
      </c>
      <c r="E338" s="5" t="n">
        <v>33</v>
      </c>
      <c r="F338" s="5" t="inlineStr">
        <is>
          <t>shear_wall</t>
        </is>
      </c>
      <c r="G338" s="5" t="inlineStr">
        <is>
          <t>Shear wall V6/123 1.25 × 0.30 m</t>
        </is>
      </c>
      <c r="H338" s="5" t="inlineStr">
        <is>
          <t>label vote</t>
        </is>
      </c>
      <c r="I338" s="5" t="inlineStr">
        <is>
          <t>V6/123</t>
        </is>
      </c>
      <c r="J338" s="5" t="inlineStr">
        <is>
          <t>printed label</t>
        </is>
      </c>
      <c r="K338" s="5" t="inlineStr">
        <is>
          <t>V6/123/123</t>
        </is>
      </c>
      <c r="L338" s="5" t="n">
        <v>125</v>
      </c>
      <c r="M338" s="5" t="n">
        <v>30</v>
      </c>
      <c r="N338" s="10">
        <f>IF(AND(ISNUMBER(L338),M338&gt;0),L338/M338,"")</f>
        <v/>
      </c>
      <c r="O338" s="5" t="n">
        <v>0.375</v>
      </c>
      <c r="P338" s="5" t="n">
        <v>169.3</v>
      </c>
      <c r="Q338" s="5" t="n">
        <v>1</v>
      </c>
      <c r="R338" s="5" t="n">
        <v>1</v>
      </c>
      <c r="S338" s="5" t="n">
        <v>0</v>
      </c>
      <c r="T338" s="5" t="n">
        <v>0</v>
      </c>
      <c r="U338" s="5" t="n">
        <v>0</v>
      </c>
      <c r="V338" s="5" t="n">
        <v>0</v>
      </c>
      <c r="W338" s="5" t="n">
        <v>1</v>
      </c>
      <c r="X338" s="5" t="n">
        <v>1</v>
      </c>
      <c r="Y338" s="5" t="n"/>
      <c r="Z338" s="5" t="inlineStr"/>
      <c r="AA338" s="5" t="n">
        <v>4978.1</v>
      </c>
      <c r="AB338" s="5" t="n">
        <v>2947.2</v>
      </c>
      <c r="AC338" s="5" t="n">
        <v>5015.9</v>
      </c>
      <c r="AD338" s="5" t="n">
        <v>2962.7</v>
      </c>
      <c r="AE338" s="5" t="inlineStr"/>
      <c r="AF338" s="5">
        <f>IF(AE338="","",IF(OR(AE338=F338,AND(AE338="crane_footing",F338="isolated_footing")),"yes","no"))</f>
        <v/>
      </c>
    </row>
    <row r="339">
      <c r="A339" s="5" t="n">
        <v>338</v>
      </c>
      <c r="B339" s="5" t="inlineStr">
        <is>
          <t>123</t>
        </is>
      </c>
      <c r="C339" s="5" t="inlineStr">
        <is>
          <t>own label</t>
        </is>
      </c>
      <c r="D339" s="5" t="inlineStr">
        <is>
          <t>solid</t>
        </is>
      </c>
      <c r="E339" s="5" t="n">
        <v>33</v>
      </c>
      <c r="F339" s="5" t="inlineStr">
        <is>
          <t>shear_wall</t>
        </is>
      </c>
      <c r="G339" s="5" t="inlineStr">
        <is>
          <t>Shear wall V7/123 2.00 × 0.30 m</t>
        </is>
      </c>
      <c r="H339" s="5" t="inlineStr">
        <is>
          <t>label vote</t>
        </is>
      </c>
      <c r="I339" s="5" t="inlineStr">
        <is>
          <t>V7/123</t>
        </is>
      </c>
      <c r="J339" s="5" t="inlineStr">
        <is>
          <t>printed label</t>
        </is>
      </c>
      <c r="K339" s="5" t="inlineStr">
        <is>
          <t>V7/123/123</t>
        </is>
      </c>
      <c r="L339" s="5" t="n">
        <v>200</v>
      </c>
      <c r="M339" s="5" t="n">
        <v>30</v>
      </c>
      <c r="N339" s="10">
        <f>IF(AND(ISNUMBER(L339),M339&gt;0),L339/M339,"")</f>
        <v/>
      </c>
      <c r="O339" s="5" t="n">
        <v>0.601</v>
      </c>
      <c r="P339" s="5" t="n">
        <v>169.3</v>
      </c>
      <c r="Q339" s="5" t="n">
        <v>1</v>
      </c>
      <c r="R339" s="5" t="n">
        <v>1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v>1</v>
      </c>
      <c r="X339" s="5" t="n">
        <v>1</v>
      </c>
      <c r="Y339" s="5" t="n"/>
      <c r="Z339" s="5" t="inlineStr"/>
      <c r="AA339" s="5" t="n">
        <v>4963.2</v>
      </c>
      <c r="AB339" s="5" t="n">
        <v>3141.2</v>
      </c>
      <c r="AC339" s="5" t="n">
        <v>5022.9</v>
      </c>
      <c r="AD339" s="5" t="n">
        <v>3160.9</v>
      </c>
      <c r="AE339" s="5" t="inlineStr"/>
      <c r="AF339" s="5">
        <f>IF(AE339="","",IF(OR(AE339=F339,AND(AE339="crane_footing",F339="isolated_footing")),"yes","no"))</f>
        <v/>
      </c>
    </row>
    <row r="340">
      <c r="A340" s="5" t="n">
        <v>339</v>
      </c>
      <c r="B340" s="5" t="inlineStr">
        <is>
          <t>123</t>
        </is>
      </c>
      <c r="C340" s="5" t="inlineStr">
        <is>
          <t>nearest labels in its region</t>
        </is>
      </c>
      <c r="D340" s="5" t="inlineStr">
        <is>
          <t>solid</t>
        </is>
      </c>
      <c r="E340" s="5" t="n">
        <v>33</v>
      </c>
      <c r="F340" s="5" t="inlineStr">
        <is>
          <t>core_wall</t>
        </is>
      </c>
      <c r="G340" s="5" t="inlineStr">
        <is>
          <t>Core wall 4.04 × 0.25 m</t>
        </is>
      </c>
      <c r="H340" s="5" t="inlineStr">
        <is>
          <t>rule: unlabelled interior wall, no V type of its size</t>
        </is>
      </c>
      <c r="I340" s="5" t="inlineStr">
        <is>
          <t>(none)</t>
        </is>
      </c>
      <c r="J340" s="5" t="inlineStr"/>
      <c r="K340" s="5" t="inlineStr"/>
      <c r="L340" s="5" t="n">
        <v>404</v>
      </c>
      <c r="M340" s="5" t="n">
        <v>25</v>
      </c>
      <c r="N340" s="10">
        <f>IF(AND(ISNUMBER(L340),M340&gt;0),L340/M340,"")</f>
        <v/>
      </c>
      <c r="O340" s="5" t="n">
        <v>0.986</v>
      </c>
      <c r="P340" s="5" t="n">
        <v>79.40000000000001</v>
      </c>
      <c r="Q340" s="5" t="n">
        <v>1</v>
      </c>
      <c r="R340" s="5" t="n">
        <v>0</v>
      </c>
      <c r="S340" s="5" t="n">
        <v>0</v>
      </c>
      <c r="T340" s="5" t="n">
        <v>1</v>
      </c>
      <c r="U340" s="5" t="n">
        <v>0</v>
      </c>
      <c r="V340" s="5" t="n">
        <v>0</v>
      </c>
      <c r="W340" s="5" t="n">
        <v>6</v>
      </c>
      <c r="X340" s="5" t="n">
        <v>1</v>
      </c>
      <c r="Y340" s="5" t="n"/>
      <c r="Z340" s="5" t="inlineStr"/>
      <c r="AA340" s="5" t="n">
        <v>4589.6</v>
      </c>
      <c r="AB340" s="5" t="n">
        <v>3029</v>
      </c>
      <c r="AC340" s="5" t="n">
        <v>4618.7</v>
      </c>
      <c r="AD340" s="5" t="n">
        <v>3146.3</v>
      </c>
      <c r="AE340" s="5" t="inlineStr"/>
      <c r="AF340" s="5">
        <f>IF(AE340="","",IF(OR(AE340=F340,AND(AE340="crane_footing",F340="isolated_footing")),"yes","no"))</f>
        <v/>
      </c>
    </row>
    <row r="341">
      <c r="A341" s="5" t="n">
        <v>340</v>
      </c>
      <c r="B341" s="5" t="inlineStr">
        <is>
          <t>123</t>
        </is>
      </c>
      <c r="C341" s="5" t="inlineStr">
        <is>
          <t>nearest labels in its region</t>
        </is>
      </c>
      <c r="D341" s="5" t="inlineStr">
        <is>
          <t>solid</t>
        </is>
      </c>
      <c r="E341" s="5" t="n">
        <v>28</v>
      </c>
      <c r="F341" s="5" t="inlineStr">
        <is>
          <t>core_wall</t>
        </is>
      </c>
      <c r="G341" s="5" t="inlineStr">
        <is>
          <t>Core wall 2.00 × 0.20 m</t>
        </is>
      </c>
      <c r="H341" s="5" t="inlineStr">
        <is>
          <t>rule: unlabelled interior wall, no V type of its size</t>
        </is>
      </c>
      <c r="I341" s="5" t="inlineStr">
        <is>
          <t>(none)</t>
        </is>
      </c>
      <c r="J341" s="5" t="inlineStr">
        <is>
          <t>no shear_wall type in its building has this size</t>
        </is>
      </c>
      <c r="K341" s="5" t="inlineStr"/>
      <c r="L341" s="5" t="n">
        <v>200</v>
      </c>
      <c r="M341" s="5" t="n">
        <v>20</v>
      </c>
      <c r="N341" s="10">
        <f>IF(AND(ISNUMBER(L341),M341&gt;0),L341/M341,"")</f>
        <v/>
      </c>
      <c r="O341" s="5" t="n">
        <v>0.402</v>
      </c>
      <c r="P341" s="5" t="n">
        <v>179.8</v>
      </c>
      <c r="Q341" s="5" t="n">
        <v>3</v>
      </c>
      <c r="R341" s="5" t="n">
        <v>1</v>
      </c>
      <c r="S341" s="5" t="n">
        <v>0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0</v>
      </c>
      <c r="Y341" s="5" t="n"/>
      <c r="Z341" s="5" t="inlineStr"/>
      <c r="AA341" s="5" t="n">
        <v>4956.4</v>
      </c>
      <c r="AB341" s="5" t="n">
        <v>3211.1</v>
      </c>
      <c r="AC341" s="5" t="n">
        <v>5015.5</v>
      </c>
      <c r="AD341" s="5" t="n">
        <v>3217.1</v>
      </c>
      <c r="AE341" s="5" t="inlineStr"/>
      <c r="AF341" s="5">
        <f>IF(AE341="","",IF(OR(AE341=F341,AND(AE341="crane_footing",F341="isolated_footing")),"yes","no"))</f>
        <v/>
      </c>
    </row>
    <row r="342">
      <c r="A342" s="5" t="n">
        <v>341</v>
      </c>
      <c r="B342" s="5" t="inlineStr">
        <is>
          <t>123</t>
        </is>
      </c>
      <c r="C342" s="5" t="inlineStr">
        <is>
          <t>nearest labels in its region</t>
        </is>
      </c>
      <c r="D342" s="5" t="inlineStr">
        <is>
          <t>solid</t>
        </is>
      </c>
      <c r="E342" s="5" t="n">
        <v>26</v>
      </c>
      <c r="F342" s="5" t="inlineStr">
        <is>
          <t>core_wall</t>
        </is>
      </c>
      <c r="G342" s="5" t="inlineStr">
        <is>
          <t>Core wall 1.80 × 0.20 m</t>
        </is>
      </c>
      <c r="H342" s="5" t="inlineStr">
        <is>
          <t>rule: unlabelled interior wall, no V type of its size</t>
        </is>
      </c>
      <c r="I342" s="5" t="inlineStr">
        <is>
          <t>(none)</t>
        </is>
      </c>
      <c r="J342" s="5" t="inlineStr"/>
      <c r="K342" s="5" t="inlineStr"/>
      <c r="L342" s="5" t="n">
        <v>180</v>
      </c>
      <c r="M342" s="5" t="n">
        <v>20</v>
      </c>
      <c r="N342" s="10">
        <f>IF(AND(ISNUMBER(L342),M342&gt;0),L342/M342,"")</f>
        <v/>
      </c>
      <c r="O342" s="5" t="n">
        <v>0.36</v>
      </c>
      <c r="P342" s="5" t="n">
        <v>179.9</v>
      </c>
      <c r="Q342" s="5" t="n">
        <v>1</v>
      </c>
      <c r="R342" s="5" t="n">
        <v>1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0</v>
      </c>
      <c r="Y342" s="5" t="n"/>
      <c r="Z342" s="5" t="inlineStr"/>
      <c r="AA342" s="5" t="n">
        <v>4956.5</v>
      </c>
      <c r="AB342" s="5" t="n">
        <v>3261.3</v>
      </c>
      <c r="AC342" s="5" t="n">
        <v>5009.8</v>
      </c>
      <c r="AD342" s="5" t="n">
        <v>3267.3</v>
      </c>
      <c r="AE342" s="5" t="inlineStr"/>
      <c r="AF342" s="5">
        <f>IF(AE342="","",IF(OR(AE342=F342,AND(AE342="crane_footing",F342="isolated_footing")),"yes","no"))</f>
        <v/>
      </c>
    </row>
    <row r="343">
      <c r="A343" s="5" t="n">
        <v>342</v>
      </c>
      <c r="B343" s="5" t="inlineStr">
        <is>
          <t>123</t>
        </is>
      </c>
      <c r="C343" s="5" t="inlineStr">
        <is>
          <t>nearest labels in its region</t>
        </is>
      </c>
      <c r="D343" s="5" t="inlineStr">
        <is>
          <t>solid</t>
        </is>
      </c>
      <c r="E343" s="5" t="n">
        <v>28</v>
      </c>
      <c r="F343" s="5" t="inlineStr">
        <is>
          <t>core_wall</t>
        </is>
      </c>
      <c r="G343" s="5" t="inlineStr">
        <is>
          <t>Core wall 1.50 × 0.20 m</t>
        </is>
      </c>
      <c r="H343" s="5" t="inlineStr">
        <is>
          <t>rule: unlabelled interior wall, no V type of its size</t>
        </is>
      </c>
      <c r="I343" s="5" t="inlineStr">
        <is>
          <t>(none)</t>
        </is>
      </c>
      <c r="J343" s="5" t="inlineStr">
        <is>
          <t>no shear_wall type in its building has this size</t>
        </is>
      </c>
      <c r="K343" s="5" t="inlineStr"/>
      <c r="L343" s="5" t="n">
        <v>150</v>
      </c>
      <c r="M343" s="5" t="n">
        <v>20</v>
      </c>
      <c r="N343" s="10">
        <f>IF(AND(ISNUMBER(L343),M343&gt;0),L343/M343,"")</f>
        <v/>
      </c>
      <c r="O343" s="5" t="n">
        <v>0.3</v>
      </c>
      <c r="P343" s="5" t="n">
        <v>89.90000000000001</v>
      </c>
      <c r="Q343" s="5" t="n">
        <v>2</v>
      </c>
      <c r="R343" s="5" t="n">
        <v>1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5" t="n">
        <v>0</v>
      </c>
      <c r="Y343" s="5" t="n"/>
      <c r="Z343" s="5" t="inlineStr"/>
      <c r="AA343" s="5" t="n">
        <v>4950.5</v>
      </c>
      <c r="AB343" s="5" t="n">
        <v>3217.1</v>
      </c>
      <c r="AC343" s="5" t="n">
        <v>4956.5</v>
      </c>
      <c r="AD343" s="5" t="n">
        <v>3261.4</v>
      </c>
      <c r="AE343" s="5" t="inlineStr"/>
      <c r="AF343" s="5">
        <f>IF(AE343="","",IF(OR(AE343=F343,AND(AE343="crane_footing",F343="isolated_footing")),"yes","no"))</f>
        <v/>
      </c>
    </row>
    <row r="344">
      <c r="A344" s="5" t="n">
        <v>343</v>
      </c>
      <c r="B344" s="5" t="inlineStr">
        <is>
          <t>123</t>
        </is>
      </c>
      <c r="C344" s="5" t="inlineStr">
        <is>
          <t>nearest labels in its region</t>
        </is>
      </c>
      <c r="D344" s="5" t="inlineStr">
        <is>
          <t>solid</t>
        </is>
      </c>
      <c r="E344" s="5" t="n">
        <v>33</v>
      </c>
      <c r="F344" s="5" t="inlineStr">
        <is>
          <t>core_wall</t>
        </is>
      </c>
      <c r="G344" s="5" t="inlineStr">
        <is>
          <t>Core wall 2.33 × 0.25 m</t>
        </is>
      </c>
      <c r="H344" s="5" t="inlineStr">
        <is>
          <t>rule: unlabelled interior wall, no V type of its size</t>
        </is>
      </c>
      <c r="I344" s="5" t="inlineStr">
        <is>
          <t>(none)</t>
        </is>
      </c>
      <c r="J344" s="5" t="inlineStr"/>
      <c r="K344" s="5" t="inlineStr"/>
      <c r="L344" s="5" t="n">
        <v>233</v>
      </c>
      <c r="M344" s="5" t="n">
        <v>25</v>
      </c>
      <c r="N344" s="10">
        <f>IF(AND(ISNUMBER(L344),M344&gt;0),L344/M344,"")</f>
        <v/>
      </c>
      <c r="O344" s="5" t="n">
        <v>0.588</v>
      </c>
      <c r="P344" s="5" t="n">
        <v>79.2</v>
      </c>
      <c r="Q344" s="5" t="n">
        <v>1</v>
      </c>
      <c r="R344" s="5" t="n">
        <v>0</v>
      </c>
      <c r="S344" s="5" t="n">
        <v>0</v>
      </c>
      <c r="T344" s="5" t="n">
        <v>1</v>
      </c>
      <c r="U344" s="5" t="n">
        <v>0</v>
      </c>
      <c r="V344" s="5" t="n">
        <v>0</v>
      </c>
      <c r="W344" s="5" t="n">
        <v>2</v>
      </c>
      <c r="X344" s="5" t="n">
        <v>1</v>
      </c>
      <c r="Y344" s="5" t="n"/>
      <c r="Z344" s="5" t="inlineStr"/>
      <c r="AA344" s="5" t="n">
        <v>4773.3</v>
      </c>
      <c r="AB344" s="5" t="n">
        <v>2998.8</v>
      </c>
      <c r="AC344" s="5" t="n">
        <v>4793.5</v>
      </c>
      <c r="AD344" s="5" t="n">
        <v>3067.7</v>
      </c>
      <c r="AE344" s="5" t="inlineStr"/>
      <c r="AF344" s="5">
        <f>IF(AE344="","",IF(OR(AE344=F344,AND(AE344="crane_footing",F344="isolated_footing")),"yes","no"))</f>
        <v/>
      </c>
    </row>
    <row r="345">
      <c r="A345" s="5" t="n">
        <v>344</v>
      </c>
      <c r="B345" s="5" t="inlineStr">
        <is>
          <t>123</t>
        </is>
      </c>
      <c r="C345" s="5" t="inlineStr">
        <is>
          <t>nearest labels in its region</t>
        </is>
      </c>
      <c r="D345" s="5" t="inlineStr">
        <is>
          <t>solid</t>
        </is>
      </c>
      <c r="E345" s="5" t="n">
        <v>26</v>
      </c>
      <c r="F345" s="5" t="inlineStr">
        <is>
          <t>core_wall</t>
        </is>
      </c>
      <c r="G345" s="5" t="inlineStr">
        <is>
          <t>Core wall 2.92 × 0.25 m</t>
        </is>
      </c>
      <c r="H345" s="5" t="inlineStr">
        <is>
          <t>rule: unlabelled interior wall, no V type of its size</t>
        </is>
      </c>
      <c r="I345" s="5" t="inlineStr">
        <is>
          <t>(none)</t>
        </is>
      </c>
      <c r="J345" s="5" t="inlineStr"/>
      <c r="K345" s="5" t="inlineStr"/>
      <c r="L345" s="5" t="n">
        <v>292</v>
      </c>
      <c r="M345" s="5" t="n">
        <v>25</v>
      </c>
      <c r="N345" s="10">
        <f>IF(AND(ISNUMBER(L345),M345&gt;0),L345/M345,"")</f>
        <v/>
      </c>
      <c r="O345" s="5" t="n">
        <v>0.727</v>
      </c>
      <c r="P345" s="5" t="n">
        <v>169.3</v>
      </c>
      <c r="Q345" s="5" t="n">
        <v>1</v>
      </c>
      <c r="R345" s="5" t="n">
        <v>0</v>
      </c>
      <c r="S345" s="5" t="n">
        <v>0</v>
      </c>
      <c r="T345" s="5" t="n">
        <v>1</v>
      </c>
      <c r="U345" s="5" t="n">
        <v>0</v>
      </c>
      <c r="V345" s="5" t="n">
        <v>0</v>
      </c>
      <c r="W345" s="5" t="n">
        <v>4</v>
      </c>
      <c r="X345" s="5" t="n">
        <v>0</v>
      </c>
      <c r="Y345" s="5" t="n"/>
      <c r="Z345" s="5" t="inlineStr"/>
      <c r="AA345" s="5" t="n">
        <v>4596.4</v>
      </c>
      <c r="AB345" s="5" t="n">
        <v>3010</v>
      </c>
      <c r="AC345" s="5" t="n">
        <v>4682.4</v>
      </c>
      <c r="AD345" s="5" t="n">
        <v>3033.2</v>
      </c>
      <c r="AE345" s="5" t="inlineStr"/>
      <c r="AF345" s="5">
        <f>IF(AE345="","",IF(OR(AE345=F345,AND(AE345="crane_footing",F345="isolated_footing")),"yes","no"))</f>
        <v/>
      </c>
    </row>
    <row r="346">
      <c r="A346" s="5" t="n">
        <v>345</v>
      </c>
      <c r="B346" s="5" t="inlineStr">
        <is>
          <t>123</t>
        </is>
      </c>
      <c r="C346" s="5" t="inlineStr">
        <is>
          <t>nearest labels in its region</t>
        </is>
      </c>
      <c r="D346" s="5" t="inlineStr">
        <is>
          <t>solid</t>
        </is>
      </c>
      <c r="E346" s="5" t="n">
        <v>28</v>
      </c>
      <c r="F346" s="5" t="inlineStr">
        <is>
          <t>core_wall</t>
        </is>
      </c>
      <c r="G346" s="5" t="inlineStr">
        <is>
          <t>Core wall 2.99 × 0.25 m</t>
        </is>
      </c>
      <c r="H346" s="5" t="inlineStr">
        <is>
          <t>rule: unlabelled interior wall, no V type of its size</t>
        </is>
      </c>
      <c r="I346" s="5" t="inlineStr">
        <is>
          <t>(none)</t>
        </is>
      </c>
      <c r="J346" s="5" t="inlineStr">
        <is>
          <t>no shear_wall type in its building has this size</t>
        </is>
      </c>
      <c r="K346" s="5" t="inlineStr"/>
      <c r="L346" s="5" t="n">
        <v>299</v>
      </c>
      <c r="M346" s="5" t="n">
        <v>25</v>
      </c>
      <c r="N346" s="10">
        <f>IF(AND(ISNUMBER(L346),M346&gt;0),L346/M346,"")</f>
        <v/>
      </c>
      <c r="O346" s="5" t="n">
        <v>0.752</v>
      </c>
      <c r="P346" s="5" t="n">
        <v>79.3</v>
      </c>
      <c r="Q346" s="5" t="n">
        <v>2</v>
      </c>
      <c r="R346" s="5" t="n">
        <v>0</v>
      </c>
      <c r="S346" s="5" t="n">
        <v>0</v>
      </c>
      <c r="T346" s="5" t="n">
        <v>1</v>
      </c>
      <c r="U346" s="5" t="n">
        <v>0</v>
      </c>
      <c r="V346" s="5" t="n">
        <v>0</v>
      </c>
      <c r="W346" s="5" t="n">
        <v>0</v>
      </c>
      <c r="X346" s="5" t="n">
        <v>0</v>
      </c>
      <c r="Y346" s="5" t="n"/>
      <c r="Z346" s="5" t="inlineStr"/>
      <c r="AA346" s="5" t="n">
        <v>4706.4</v>
      </c>
      <c r="AB346" s="5" t="n">
        <v>3026.4</v>
      </c>
      <c r="AC346" s="5" t="n">
        <v>4730.1</v>
      </c>
      <c r="AD346" s="5" t="n">
        <v>3114.5</v>
      </c>
      <c r="AE346" s="5" t="inlineStr"/>
      <c r="AF346" s="5">
        <f>IF(AE346="","",IF(OR(AE346=F346,AND(AE346="crane_footing",F346="isolated_footing")),"yes","no"))</f>
        <v/>
      </c>
    </row>
    <row r="347">
      <c r="A347" s="5" t="n">
        <v>346</v>
      </c>
      <c r="B347" s="5" t="inlineStr">
        <is>
          <t>123</t>
        </is>
      </c>
      <c r="C347" s="5" t="inlineStr">
        <is>
          <t>nearest labels in its region</t>
        </is>
      </c>
      <c r="D347" s="5" t="inlineStr">
        <is>
          <t>solid</t>
        </is>
      </c>
      <c r="E347" s="5" t="n">
        <v>33</v>
      </c>
      <c r="F347" s="5" t="inlineStr">
        <is>
          <t>core_wall</t>
        </is>
      </c>
      <c r="G347" s="5" t="inlineStr">
        <is>
          <t>Core wall 2.34 × 0.25 m</t>
        </is>
      </c>
      <c r="H347" s="5" t="inlineStr">
        <is>
          <t>rule: unlabelled interior wall, no V type of its size</t>
        </is>
      </c>
      <c r="I347" s="5" t="inlineStr">
        <is>
          <t>(none)</t>
        </is>
      </c>
      <c r="J347" s="5" t="inlineStr"/>
      <c r="K347" s="5" t="inlineStr"/>
      <c r="L347" s="5" t="n">
        <v>234</v>
      </c>
      <c r="M347" s="5" t="n">
        <v>25</v>
      </c>
      <c r="N347" s="10">
        <f>IF(AND(ISNUMBER(L347),M347&gt;0),L347/M347,"")</f>
        <v/>
      </c>
      <c r="O347" s="5" t="n">
        <v>0.589</v>
      </c>
      <c r="P347" s="5" t="n">
        <v>169.3</v>
      </c>
      <c r="Q347" s="5" t="n">
        <v>1</v>
      </c>
      <c r="R347" s="5" t="n">
        <v>0</v>
      </c>
      <c r="S347" s="5" t="n">
        <v>0</v>
      </c>
      <c r="T347" s="5" t="n">
        <v>1</v>
      </c>
      <c r="U347" s="5" t="n">
        <v>0</v>
      </c>
      <c r="V347" s="5" t="n">
        <v>0</v>
      </c>
      <c r="W347" s="5" t="n">
        <v>2</v>
      </c>
      <c r="X347" s="5" t="n">
        <v>0</v>
      </c>
      <c r="Y347" s="5" t="n"/>
      <c r="Z347" s="5" t="inlineStr"/>
      <c r="AA347" s="5" t="n">
        <v>4654.9</v>
      </c>
      <c r="AB347" s="5" t="n">
        <v>3114.7</v>
      </c>
      <c r="AC347" s="5" t="n">
        <v>4724.2</v>
      </c>
      <c r="AD347" s="5" t="n">
        <v>3134.8</v>
      </c>
      <c r="AE347" s="5" t="inlineStr"/>
      <c r="AF347" s="5">
        <f>IF(AE347="","",IF(OR(AE347=F347,AND(AE347="crane_footing",F347="isolated_footing")),"yes","no"))</f>
        <v/>
      </c>
    </row>
    <row r="348">
      <c r="A348" s="5" t="n">
        <v>347</v>
      </c>
      <c r="B348" s="5" t="inlineStr">
        <is>
          <t>123</t>
        </is>
      </c>
      <c r="C348" s="5" t="inlineStr">
        <is>
          <t>nearest labels in its region</t>
        </is>
      </c>
      <c r="D348" s="5" t="inlineStr">
        <is>
          <t>solid</t>
        </is>
      </c>
      <c r="E348" s="5" t="n">
        <v>26</v>
      </c>
      <c r="F348" s="5" t="inlineStr">
        <is>
          <t>core_wall</t>
        </is>
      </c>
      <c r="G348" s="5" t="inlineStr">
        <is>
          <t>Core wall 1.75 × 0.25 m</t>
        </is>
      </c>
      <c r="H348" s="5" t="inlineStr">
        <is>
          <t>rule: unlabelled interior wall, no V type of its size</t>
        </is>
      </c>
      <c r="I348" s="5" t="inlineStr">
        <is>
          <t>(none)</t>
        </is>
      </c>
      <c r="J348" s="5" t="inlineStr"/>
      <c r="K348" s="5" t="inlineStr"/>
      <c r="L348" s="5" t="n">
        <v>175</v>
      </c>
      <c r="M348" s="5" t="n">
        <v>25</v>
      </c>
      <c r="N348" s="10">
        <f>IF(AND(ISNUMBER(L348),M348&gt;0),L348/M348,"")</f>
        <v/>
      </c>
      <c r="O348" s="5" t="n">
        <v>0.441</v>
      </c>
      <c r="P348" s="5" t="n">
        <v>79.2</v>
      </c>
      <c r="Q348" s="5" t="n">
        <v>0</v>
      </c>
      <c r="R348" s="5" t="n">
        <v>0</v>
      </c>
      <c r="S348" s="5" t="n">
        <v>0</v>
      </c>
      <c r="T348" s="5" t="n">
        <v>1</v>
      </c>
      <c r="U348" s="5" t="n">
        <v>0</v>
      </c>
      <c r="V348" s="5" t="n">
        <v>0</v>
      </c>
      <c r="W348" s="5" t="n">
        <v>1</v>
      </c>
      <c r="X348" s="5" t="n">
        <v>0</v>
      </c>
      <c r="Y348" s="5" t="n"/>
      <c r="Z348" s="5" t="inlineStr"/>
      <c r="AA348" s="5" t="n">
        <v>4754.5</v>
      </c>
      <c r="AB348" s="5" t="n">
        <v>3114.9</v>
      </c>
      <c r="AC348" s="5" t="n">
        <v>4771.6</v>
      </c>
      <c r="AD348" s="5" t="n">
        <v>3167</v>
      </c>
      <c r="AE348" s="5" t="inlineStr"/>
      <c r="AF348" s="5">
        <f>IF(AE348="","",IF(OR(AE348=F348,AND(AE348="crane_footing",F348="isolated_footing")),"yes","no"))</f>
        <v/>
      </c>
    </row>
    <row r="349">
      <c r="A349" s="5" t="n">
        <v>348</v>
      </c>
      <c r="B349" s="5" t="inlineStr">
        <is>
          <t>123</t>
        </is>
      </c>
      <c r="C349" s="5" t="inlineStr">
        <is>
          <t>nearest labels in its region</t>
        </is>
      </c>
      <c r="D349" s="5" t="inlineStr">
        <is>
          <t>solid</t>
        </is>
      </c>
      <c r="E349" s="5" t="n">
        <v>25</v>
      </c>
      <c r="F349" s="5" t="inlineStr">
        <is>
          <t>core_wall</t>
        </is>
      </c>
      <c r="G349" s="5" t="inlineStr">
        <is>
          <t>Core wall 0.77 × 0.25 m</t>
        </is>
      </c>
      <c r="H349" s="5" t="inlineStr">
        <is>
          <t>rule: column-shaped piece drawn like a wall (outline pen or continuity)</t>
        </is>
      </c>
      <c r="I349" s="5" t="inlineStr">
        <is>
          <t>(none)</t>
        </is>
      </c>
      <c r="J349" s="5" t="inlineStr"/>
      <c r="K349" s="5" t="inlineStr"/>
      <c r="L349" s="5" t="n">
        <v>77</v>
      </c>
      <c r="M349" s="5" t="n">
        <v>25</v>
      </c>
      <c r="N349" s="10">
        <f>IF(AND(ISNUMBER(L349),M349&gt;0),L349/M349,"")</f>
        <v/>
      </c>
      <c r="O349" s="5" t="n">
        <v>0.196</v>
      </c>
      <c r="P349" s="5" t="n">
        <v>169.3</v>
      </c>
      <c r="Q349" s="5" t="n">
        <v>1</v>
      </c>
      <c r="R349" s="5" t="n">
        <v>0</v>
      </c>
      <c r="S349" s="5" t="n">
        <v>0</v>
      </c>
      <c r="T349" s="5" t="n">
        <v>1</v>
      </c>
      <c r="U349" s="5" t="n">
        <v>0</v>
      </c>
      <c r="V349" s="5" t="n">
        <v>0</v>
      </c>
      <c r="W349" s="5" t="n">
        <v>1</v>
      </c>
      <c r="X349" s="5" t="n">
        <v>0</v>
      </c>
      <c r="Y349" s="5" t="n"/>
      <c r="Z349" s="5" t="inlineStr"/>
      <c r="AA349" s="5" t="n">
        <v>4730.1</v>
      </c>
      <c r="AB349" s="5" t="n">
        <v>3109</v>
      </c>
      <c r="AC349" s="5" t="n">
        <v>4753.9</v>
      </c>
      <c r="AD349" s="5" t="n">
        <v>3120.6</v>
      </c>
      <c r="AE349" s="5" t="inlineStr"/>
      <c r="AF349" s="5">
        <f>IF(AE349="","",IF(OR(AE349=F349,AND(AE349="crane_footing",F349="isolated_footing")),"yes","no"))</f>
        <v/>
      </c>
    </row>
    <row r="350">
      <c r="A350" s="5" t="n">
        <v>349</v>
      </c>
      <c r="B350" s="5" t="inlineStr">
        <is>
          <t>123</t>
        </is>
      </c>
      <c r="C350" s="5" t="inlineStr">
        <is>
          <t>nearest labels in its region</t>
        </is>
      </c>
      <c r="D350" s="5" t="inlineStr">
        <is>
          <t>cross_hatch</t>
        </is>
      </c>
      <c r="E350" s="5" t="n">
        <v>10</v>
      </c>
      <c r="F350" s="5" t="inlineStr">
        <is>
          <t>core_wall</t>
        </is>
      </c>
      <c r="G350" s="5" t="inlineStr">
        <is>
          <t>Core wall 4.28 × 0.20 m</t>
        </is>
      </c>
      <c r="H350" s="5" t="inlineStr">
        <is>
          <t>rule: unlabelled interior wall, no V type of its size</t>
        </is>
      </c>
      <c r="I350" s="5" t="inlineStr">
        <is>
          <t>(none)</t>
        </is>
      </c>
      <c r="J350" s="5" t="inlineStr"/>
      <c r="K350" s="5" t="inlineStr"/>
      <c r="L350" s="5" t="n">
        <v>428</v>
      </c>
      <c r="M350" s="5" t="n">
        <v>20</v>
      </c>
      <c r="N350" s="10">
        <f>IF(AND(ISNUMBER(L350),M350&gt;0),L350/M350,"")</f>
        <v/>
      </c>
      <c r="O350" s="5" t="n">
        <v>0.855</v>
      </c>
      <c r="P350" s="5" t="n">
        <v>79.40000000000001</v>
      </c>
      <c r="Q350" s="5" t="n">
        <v>2</v>
      </c>
      <c r="R350" s="5" t="n">
        <v>0</v>
      </c>
      <c r="S350" s="5" t="n">
        <v>0</v>
      </c>
      <c r="T350" s="5" t="n">
        <v>1</v>
      </c>
      <c r="U350" s="5" t="n">
        <v>0</v>
      </c>
      <c r="V350" s="5" t="n">
        <v>0</v>
      </c>
      <c r="W350" s="5" t="n">
        <v>7</v>
      </c>
      <c r="X350" s="5" t="n">
        <v>0</v>
      </c>
      <c r="Y350" s="5" t="n"/>
      <c r="Z350" s="5" t="inlineStr"/>
      <c r="AA350" s="5" t="n">
        <v>4611.5</v>
      </c>
      <c r="AB350" s="5" t="n">
        <v>3143.5</v>
      </c>
      <c r="AC350" s="5" t="n">
        <v>4640.5</v>
      </c>
      <c r="AD350" s="5" t="n">
        <v>3268.8</v>
      </c>
      <c r="AE350" s="5" t="inlineStr"/>
      <c r="AF350" s="5">
        <f>IF(AE350="","",IF(OR(AE350=F350,AND(AE350="crane_footing",F350="isolated_footing")),"yes","no"))</f>
        <v/>
      </c>
    </row>
    <row r="351">
      <c r="A351" s="5" t="n">
        <v>350</v>
      </c>
      <c r="B351" s="5" t="inlineStr">
        <is>
          <t>123</t>
        </is>
      </c>
      <c r="C351" s="5" t="inlineStr">
        <is>
          <t>nearest labels in its region</t>
        </is>
      </c>
      <c r="D351" s="5" t="inlineStr">
        <is>
          <t>cross_hatch</t>
        </is>
      </c>
      <c r="E351" s="5" t="n">
        <v>10</v>
      </c>
      <c r="F351" s="5" t="inlineStr">
        <is>
          <t>core_wall</t>
        </is>
      </c>
      <c r="G351" s="5" t="inlineStr">
        <is>
          <t>Core wall 3.40 × 0.20 m</t>
        </is>
      </c>
      <c r="H351" s="5" t="inlineStr">
        <is>
          <t>rule: unlabelled interior wall, no V type of its size</t>
        </is>
      </c>
      <c r="I351" s="5" t="inlineStr">
        <is>
          <t>(none)</t>
        </is>
      </c>
      <c r="J351" s="5" t="inlineStr"/>
      <c r="K351" s="5" t="inlineStr"/>
      <c r="L351" s="5" t="n">
        <v>340</v>
      </c>
      <c r="M351" s="5" t="n">
        <v>20</v>
      </c>
      <c r="N351" s="10">
        <f>IF(AND(ISNUMBER(L351),M351&gt;0),L351/M351,"")</f>
        <v/>
      </c>
      <c r="O351" s="5" t="n">
        <v>0.68</v>
      </c>
      <c r="P351" s="5" t="n">
        <v>169.3</v>
      </c>
      <c r="Q351" s="5" t="n">
        <v>1</v>
      </c>
      <c r="R351" s="5" t="n">
        <v>0</v>
      </c>
      <c r="S351" s="5" t="n">
        <v>0</v>
      </c>
      <c r="T351" s="5" t="n">
        <v>1</v>
      </c>
      <c r="U351" s="5" t="n">
        <v>0</v>
      </c>
      <c r="V351" s="5" t="n">
        <v>0</v>
      </c>
      <c r="W351" s="5" t="n">
        <v>3</v>
      </c>
      <c r="X351" s="5" t="n">
        <v>0</v>
      </c>
      <c r="Y351" s="5" t="n"/>
      <c r="Z351" s="5" t="inlineStr"/>
      <c r="AA351" s="5" t="n">
        <v>4664.6</v>
      </c>
      <c r="AB351" s="5" t="n">
        <v>3161.2</v>
      </c>
      <c r="AC351" s="5" t="n">
        <v>4764.3</v>
      </c>
      <c r="AD351" s="5" t="n">
        <v>3185.6</v>
      </c>
      <c r="AE351" s="5" t="inlineStr"/>
      <c r="AF351" s="5">
        <f>IF(AE351="","",IF(OR(AE351=F351,AND(AE351="crane_footing",F351="isolated_footing")),"yes","no"))</f>
        <v/>
      </c>
    </row>
    <row r="352">
      <c r="A352" s="5" t="n">
        <v>351</v>
      </c>
      <c r="B352" s="5" t="inlineStr">
        <is>
          <t>123</t>
        </is>
      </c>
      <c r="C352" s="5" t="inlineStr">
        <is>
          <t>nearest labels in its region</t>
        </is>
      </c>
      <c r="D352" s="5" t="inlineStr">
        <is>
          <t>cross_hatch</t>
        </is>
      </c>
      <c r="E352" s="5" t="n">
        <v>10</v>
      </c>
      <c r="F352" s="5" t="inlineStr">
        <is>
          <t>core_wall</t>
        </is>
      </c>
      <c r="G352" s="5" t="inlineStr">
        <is>
          <t>Core wall 2.57 × 0.20 m</t>
        </is>
      </c>
      <c r="H352" s="5" t="inlineStr">
        <is>
          <t>rule: unlabelled interior wall, no V type of its size</t>
        </is>
      </c>
      <c r="I352" s="5" t="inlineStr">
        <is>
          <t>(none)</t>
        </is>
      </c>
      <c r="J352" s="5" t="inlineStr"/>
      <c r="K352" s="5" t="inlineStr"/>
      <c r="L352" s="5" t="n">
        <v>257</v>
      </c>
      <c r="M352" s="5" t="n">
        <v>20</v>
      </c>
      <c r="N352" s="10">
        <f>IF(AND(ISNUMBER(L352),M352&gt;0),L352/M352,"")</f>
        <v/>
      </c>
      <c r="O352" s="5" t="n">
        <v>0.515</v>
      </c>
      <c r="P352" s="5" t="n">
        <v>79.40000000000001</v>
      </c>
      <c r="Q352" s="5" t="n">
        <v>1</v>
      </c>
      <c r="R352" s="5" t="n">
        <v>0</v>
      </c>
      <c r="S352" s="5" t="n">
        <v>0</v>
      </c>
      <c r="T352" s="5" t="n">
        <v>1</v>
      </c>
      <c r="U352" s="5" t="n">
        <v>0</v>
      </c>
      <c r="V352" s="5" t="n">
        <v>0</v>
      </c>
      <c r="W352" s="5" t="n">
        <v>3</v>
      </c>
      <c r="X352" s="5" t="n">
        <v>0</v>
      </c>
      <c r="Y352" s="5" t="n"/>
      <c r="Z352" s="5" t="inlineStr"/>
      <c r="AA352" s="5" t="n">
        <v>4658.4</v>
      </c>
      <c r="AB352" s="5" t="n">
        <v>3185.9</v>
      </c>
      <c r="AC352" s="5" t="n">
        <v>4678.1</v>
      </c>
      <c r="AD352" s="5" t="n">
        <v>3261.7</v>
      </c>
      <c r="AE352" s="5" t="inlineStr"/>
      <c r="AF352" s="5">
        <f>IF(AE352="","",IF(OR(AE352=F352,AND(AE352="crane_footing",F352="isolated_footing")),"yes","no"))</f>
        <v/>
      </c>
    </row>
    <row r="353">
      <c r="A353" s="5" t="n">
        <v>352</v>
      </c>
      <c r="B353" s="5" t="inlineStr">
        <is>
          <t>123</t>
        </is>
      </c>
      <c r="C353" s="5" t="inlineStr">
        <is>
          <t>nearest labels in its region</t>
        </is>
      </c>
      <c r="D353" s="5" t="inlineStr">
        <is>
          <t>cross_hatch</t>
        </is>
      </c>
      <c r="E353" s="5" t="n">
        <v>10</v>
      </c>
      <c r="F353" s="5" t="inlineStr">
        <is>
          <t>core_wall</t>
        </is>
      </c>
      <c r="G353" s="5" t="inlineStr">
        <is>
          <t>Core wall 1.42 × 0.20 m</t>
        </is>
      </c>
      <c r="H353" s="5" t="inlineStr">
        <is>
          <t>rule: unlabelled interior wall, no V type of its size</t>
        </is>
      </c>
      <c r="I353" s="5" t="inlineStr">
        <is>
          <t>(none)</t>
        </is>
      </c>
      <c r="J353" s="5" t="inlineStr"/>
      <c r="K353" s="5" t="inlineStr"/>
      <c r="L353" s="5" t="n">
        <v>142</v>
      </c>
      <c r="M353" s="5" t="n">
        <v>20</v>
      </c>
      <c r="N353" s="10">
        <f>IF(AND(ISNUMBER(L353),M353&gt;0),L353/M353,"")</f>
        <v/>
      </c>
      <c r="O353" s="5" t="n">
        <v>0.284</v>
      </c>
      <c r="P353" s="5" t="n">
        <v>79.40000000000001</v>
      </c>
      <c r="Q353" s="5" t="n">
        <v>1</v>
      </c>
      <c r="R353" s="5" t="n">
        <v>0</v>
      </c>
      <c r="S353" s="5" t="n">
        <v>0</v>
      </c>
      <c r="T353" s="5" t="n">
        <v>1</v>
      </c>
      <c r="U353" s="5" t="n">
        <v>0</v>
      </c>
      <c r="V353" s="5" t="n">
        <v>0</v>
      </c>
      <c r="W353" s="5" t="n">
        <v>3</v>
      </c>
      <c r="X353" s="5" t="n">
        <v>0</v>
      </c>
      <c r="Y353" s="5" t="n"/>
      <c r="Z353" s="5" t="inlineStr"/>
      <c r="AA353" s="5" t="n">
        <v>4786.1</v>
      </c>
      <c r="AB353" s="5" t="n">
        <v>3066.6</v>
      </c>
      <c r="AC353" s="5" t="n">
        <v>4799.6</v>
      </c>
      <c r="AD353" s="5" t="n">
        <v>3108.9</v>
      </c>
      <c r="AE353" s="5" t="inlineStr"/>
      <c r="AF353" s="5">
        <f>IF(AE353="","",IF(OR(AE353=F353,AND(AE353="crane_footing",F353="isolated_footing")),"yes","no"))</f>
        <v/>
      </c>
    </row>
    <row r="354">
      <c r="A354" s="5" t="n">
        <v>353</v>
      </c>
      <c r="B354" s="5" t="inlineStr">
        <is>
          <t>123</t>
        </is>
      </c>
      <c r="C354" s="5" t="inlineStr">
        <is>
          <t>nearest labels in its region</t>
        </is>
      </c>
      <c r="D354" s="5" t="inlineStr">
        <is>
          <t>cross_hatch</t>
        </is>
      </c>
      <c r="E354" s="5" t="n">
        <v>10</v>
      </c>
      <c r="F354" s="5" t="inlineStr">
        <is>
          <t>core_wall</t>
        </is>
      </c>
      <c r="G354" s="5" t="inlineStr">
        <is>
          <t>Core wall 1.10 × 0.20 m</t>
        </is>
      </c>
      <c r="H354" s="5" t="inlineStr">
        <is>
          <t>rule: unlabelled interior wall, no V type of its size</t>
        </is>
      </c>
      <c r="I354" s="5" t="inlineStr">
        <is>
          <t>(none)</t>
        </is>
      </c>
      <c r="J354" s="5" t="inlineStr"/>
      <c r="K354" s="5" t="inlineStr"/>
      <c r="L354" s="5" t="n">
        <v>110</v>
      </c>
      <c r="M354" s="5" t="n">
        <v>20</v>
      </c>
      <c r="N354" s="10">
        <f>IF(AND(ISNUMBER(L354),M354&gt;0),L354/M354,"")</f>
        <v/>
      </c>
      <c r="O354" s="5" t="n">
        <v>0.22</v>
      </c>
      <c r="P354" s="5" t="n">
        <v>169.4</v>
      </c>
      <c r="Q354" s="5" t="n">
        <v>1</v>
      </c>
      <c r="R354" s="5" t="n">
        <v>0</v>
      </c>
      <c r="S354" s="5" t="n">
        <v>0</v>
      </c>
      <c r="T354" s="5" t="n">
        <v>1</v>
      </c>
      <c r="U354" s="5" t="n">
        <v>0</v>
      </c>
      <c r="V354" s="5" t="n">
        <v>0</v>
      </c>
      <c r="W354" s="5" t="n">
        <v>3</v>
      </c>
      <c r="X354" s="5" t="n">
        <v>0</v>
      </c>
      <c r="Y354" s="5" t="n"/>
      <c r="Z354" s="5" t="inlineStr"/>
      <c r="AA354" s="5" t="n">
        <v>4760.9</v>
      </c>
      <c r="AB354" s="5" t="n">
        <v>3103.1</v>
      </c>
      <c r="AC354" s="5" t="n">
        <v>4793.8</v>
      </c>
      <c r="AD354" s="5" t="n">
        <v>3114.8</v>
      </c>
      <c r="AE354" s="5" t="inlineStr"/>
      <c r="AF354" s="5">
        <f>IF(AE354="","",IF(OR(AE354=F354,AND(AE354="crane_footing",F354="isolated_footing")),"yes","no"))</f>
        <v/>
      </c>
    </row>
    <row r="355">
      <c r="A355" s="5" t="n">
        <v>354</v>
      </c>
      <c r="B355" s="5" t="inlineStr">
        <is>
          <t>123</t>
        </is>
      </c>
      <c r="C355" s="5" t="inlineStr">
        <is>
          <t>nearest labels in its region</t>
        </is>
      </c>
      <c r="D355" s="5" t="inlineStr">
        <is>
          <t>solid</t>
        </is>
      </c>
      <c r="E355" s="5" t="n">
        <v>27</v>
      </c>
      <c r="F355" s="5" t="inlineStr">
        <is>
          <t>retaining_wall</t>
        </is>
      </c>
      <c r="G355" s="5" t="inlineStr">
        <is>
          <t>Retaining wall ~VP20 1.50 × 0.20 m</t>
        </is>
      </c>
      <c r="H355" s="5" t="inlineStr">
        <is>
          <t>rule: unlabelled wall along the building edge or on a strip footing</t>
        </is>
      </c>
      <c r="I355" s="5" t="inlineStr">
        <is>
          <t>VP20</t>
        </is>
      </c>
      <c r="J355" s="5" t="inlineStr">
        <is>
          <t>inferred: the thickness of this retaining-wall type</t>
        </is>
      </c>
      <c r="K355" s="5" t="inlineStr"/>
      <c r="L355" s="5" t="n">
        <v>150</v>
      </c>
      <c r="M355" s="5" t="n">
        <v>20</v>
      </c>
      <c r="N355" s="10">
        <f>IF(AND(ISNUMBER(L355),M355&gt;0),L355/M355,"")</f>
        <v/>
      </c>
      <c r="O355" s="5" t="n">
        <v>0.3</v>
      </c>
      <c r="P355" s="5" t="n">
        <v>89.90000000000001</v>
      </c>
      <c r="Q355" s="5" t="n">
        <v>2</v>
      </c>
      <c r="R355" s="5" t="n">
        <v>1</v>
      </c>
      <c r="S355" s="5" t="n">
        <v>0</v>
      </c>
      <c r="T355" s="5" t="n">
        <v>0</v>
      </c>
      <c r="U355" s="5" t="n">
        <v>1</v>
      </c>
      <c r="V355" s="5" t="n">
        <v>0</v>
      </c>
      <c r="W355" s="5" t="n">
        <v>0</v>
      </c>
      <c r="X355" s="5" t="n">
        <v>0</v>
      </c>
      <c r="Y355" s="5" t="n"/>
      <c r="Z355" s="5" t="inlineStr"/>
      <c r="AA355" s="5" t="n">
        <v>5015.5</v>
      </c>
      <c r="AB355" s="5" t="n">
        <v>3217</v>
      </c>
      <c r="AC355" s="5" t="n">
        <v>5021.5</v>
      </c>
      <c r="AD355" s="5" t="n">
        <v>3261.3</v>
      </c>
      <c r="AE355" s="5" t="inlineStr"/>
      <c r="AF355" s="5">
        <f>IF(AE355="","",IF(OR(AE355=F355,AND(AE355="crane_footing",F355="isolated_footing")),"yes","no"))</f>
        <v/>
      </c>
    </row>
    <row r="356">
      <c r="A356" s="5" t="n">
        <v>355</v>
      </c>
      <c r="B356" s="5" t="inlineStr">
        <is>
          <t>123</t>
        </is>
      </c>
      <c r="C356" s="5" t="inlineStr">
        <is>
          <t>nearest labels in its region</t>
        </is>
      </c>
      <c r="D356" s="5" t="inlineStr">
        <is>
          <t>solid</t>
        </is>
      </c>
      <c r="E356" s="5" t="n">
        <v>27</v>
      </c>
      <c r="F356" s="5" t="inlineStr">
        <is>
          <t>retaining_wall</t>
        </is>
      </c>
      <c r="G356" s="5" t="inlineStr">
        <is>
          <t>Retaining wall ~VP25 11.45 × 0.25 m</t>
        </is>
      </c>
      <c r="H356" s="5" t="inlineStr">
        <is>
          <t>rule: unlabelled wall along the building edge or on a strip footing</t>
        </is>
      </c>
      <c r="I356" s="5" t="inlineStr">
        <is>
          <t>VP25</t>
        </is>
      </c>
      <c r="J356" s="5" t="inlineStr">
        <is>
          <t>inferred: the thickness of this retaining-wall type</t>
        </is>
      </c>
      <c r="K356" s="5" t="inlineStr"/>
      <c r="L356" s="5" t="n">
        <v>1145</v>
      </c>
      <c r="M356" s="5" t="n">
        <v>25</v>
      </c>
      <c r="N356" s="10">
        <f>IF(AND(ISNUMBER(L356),M356&gt;0),L356/M356,"")</f>
        <v/>
      </c>
      <c r="O356" s="5" t="n">
        <v>2.784</v>
      </c>
      <c r="P356" s="5" t="n">
        <v>169.3</v>
      </c>
      <c r="Q356" s="5" t="n">
        <v>2</v>
      </c>
      <c r="R356" s="5" t="n">
        <v>0</v>
      </c>
      <c r="S356" s="5" t="n">
        <v>0</v>
      </c>
      <c r="T356" s="5" t="n">
        <v>0</v>
      </c>
      <c r="U356" s="5" t="n">
        <v>1</v>
      </c>
      <c r="V356" s="5" t="n">
        <v>0</v>
      </c>
      <c r="W356" s="5" t="n">
        <v>8</v>
      </c>
      <c r="X356" s="5" t="n">
        <v>3</v>
      </c>
      <c r="Y356" s="5" t="n"/>
      <c r="Z356" s="5" t="inlineStr"/>
      <c r="AA356" s="5" t="n">
        <v>4687.5</v>
      </c>
      <c r="AB356" s="5" t="n">
        <v>3449.7</v>
      </c>
      <c r="AC356" s="5" t="n">
        <v>5021.2</v>
      </c>
      <c r="AD356" s="5" t="n">
        <v>3516</v>
      </c>
      <c r="AE356" s="5" t="inlineStr"/>
      <c r="AF356" s="5">
        <f>IF(AE356="","",IF(OR(AE356=F356,AND(AE356="crane_footing",F356="isolated_footing")),"yes","no"))</f>
        <v/>
      </c>
    </row>
    <row r="357">
      <c r="A357" s="5" t="n">
        <v>356</v>
      </c>
      <c r="B357" s="5" t="inlineStr">
        <is>
          <t>123</t>
        </is>
      </c>
      <c r="C357" s="5" t="inlineStr">
        <is>
          <t>nearest labels in its region</t>
        </is>
      </c>
      <c r="D357" s="5" t="inlineStr">
        <is>
          <t>solid</t>
        </is>
      </c>
      <c r="E357" s="5" t="n">
        <v>27</v>
      </c>
      <c r="F357" s="5" t="inlineStr">
        <is>
          <t>retaining_wall</t>
        </is>
      </c>
      <c r="G357" s="5" t="inlineStr">
        <is>
          <t>Retaining wall ~VP25 2.14 × 0.25 m</t>
        </is>
      </c>
      <c r="H357" s="5" t="inlineStr">
        <is>
          <t>rule: unlabelled wall along the building edge or on a strip footing</t>
        </is>
      </c>
      <c r="I357" s="5" t="inlineStr">
        <is>
          <t>VP25</t>
        </is>
      </c>
      <c r="J357" s="5" t="inlineStr">
        <is>
          <t>inferred: the thickness of this retaining-wall type</t>
        </is>
      </c>
      <c r="K357" s="5" t="inlineStr"/>
      <c r="L357" s="5" t="n">
        <v>214</v>
      </c>
      <c r="M357" s="5" t="n">
        <v>25</v>
      </c>
      <c r="N357" s="10">
        <f>IF(AND(ISNUMBER(L357),M357&gt;0),L357/M357,"")</f>
        <v/>
      </c>
      <c r="O357" s="5" t="n">
        <v>0.536</v>
      </c>
      <c r="P357" s="5" t="n">
        <v>169.4</v>
      </c>
      <c r="Q357" s="5" t="n">
        <v>1</v>
      </c>
      <c r="R357" s="5" t="n">
        <v>0</v>
      </c>
      <c r="S357" s="5" t="n">
        <v>0</v>
      </c>
      <c r="T357" s="5" t="n">
        <v>1</v>
      </c>
      <c r="U357" s="5" t="n">
        <v>1</v>
      </c>
      <c r="V357" s="5" t="n">
        <v>0</v>
      </c>
      <c r="W357" s="5" t="n">
        <v>2</v>
      </c>
      <c r="X357" s="5" t="n">
        <v>0</v>
      </c>
      <c r="Y357" s="5" t="n"/>
      <c r="Z357" s="5" t="inlineStr"/>
      <c r="AA357" s="5" t="n">
        <v>4709.9</v>
      </c>
      <c r="AB357" s="5" t="n">
        <v>2992.9</v>
      </c>
      <c r="AC357" s="5" t="n">
        <v>4773.3</v>
      </c>
      <c r="AD357" s="5" t="n">
        <v>3011.8</v>
      </c>
      <c r="AE357" s="5" t="inlineStr"/>
      <c r="AF357" s="5">
        <f>IF(AE357="","",IF(OR(AE357=F357,AND(AE357="crane_footing",F357="isolated_footing")),"yes","no"))</f>
        <v/>
      </c>
    </row>
    <row r="358">
      <c r="A358" s="5" t="n">
        <v>357</v>
      </c>
      <c r="B358" s="5" t="inlineStr">
        <is>
          <t>123</t>
        </is>
      </c>
      <c r="C358" s="5" t="inlineStr">
        <is>
          <t>nearest labels in its region</t>
        </is>
      </c>
      <c r="D358" s="5" t="inlineStr">
        <is>
          <t>solid</t>
        </is>
      </c>
      <c r="E358" s="5" t="n">
        <v>30</v>
      </c>
      <c r="F358" s="5" t="inlineStr">
        <is>
          <t>retaining_wall</t>
        </is>
      </c>
      <c r="G358" s="5" t="inlineStr">
        <is>
          <t>Retaining wall ~VP25 17.00 × 0.25 m</t>
        </is>
      </c>
      <c r="H358" s="5" t="inlineStr">
        <is>
          <t>rule: unlabelled wall along the building edge or on a strip footing</t>
        </is>
      </c>
      <c r="I358" s="5" t="inlineStr">
        <is>
          <t>VP25</t>
        </is>
      </c>
      <c r="J358" s="5" t="inlineStr">
        <is>
          <t>inferred: the thickness of this retaining-wall type</t>
        </is>
      </c>
      <c r="K358" s="5" t="inlineStr"/>
      <c r="L358" s="5" t="n">
        <v>1700</v>
      </c>
      <c r="M358" s="5" t="n">
        <v>25</v>
      </c>
      <c r="N358" s="10">
        <f>IF(AND(ISNUMBER(L358),M358&gt;0),L358/M358,"")</f>
        <v/>
      </c>
      <c r="O358" s="5" t="n">
        <v>4.246</v>
      </c>
      <c r="P358" s="5" t="n">
        <v>90</v>
      </c>
      <c r="Q358" s="5" t="n">
        <v>5</v>
      </c>
      <c r="R358" s="5" t="n">
        <v>0</v>
      </c>
      <c r="S358" s="5" t="n">
        <v>0</v>
      </c>
      <c r="T358" s="5" t="n">
        <v>0</v>
      </c>
      <c r="U358" s="5" t="n">
        <v>1</v>
      </c>
      <c r="V358" s="5" t="n">
        <v>1</v>
      </c>
      <c r="W358" s="5" t="n">
        <v>4</v>
      </c>
      <c r="X358" s="5" t="n">
        <v>3</v>
      </c>
      <c r="Y358" s="5" t="n"/>
      <c r="Z358" s="5" t="inlineStr"/>
      <c r="AA358" s="5" t="n">
        <v>5013.8</v>
      </c>
      <c r="AB358" s="5" t="n">
        <v>2947.2</v>
      </c>
      <c r="AC358" s="5" t="n">
        <v>5021.6</v>
      </c>
      <c r="AD358" s="5" t="n">
        <v>3449</v>
      </c>
      <c r="AE358" s="5" t="inlineStr"/>
      <c r="AF358" s="5">
        <f>IF(AE358="","",IF(OR(AE358=F358,AND(AE358="crane_footing",F358="isolated_footing")),"yes","no"))</f>
        <v/>
      </c>
    </row>
    <row r="359">
      <c r="A359" s="5" t="n">
        <v>358</v>
      </c>
      <c r="B359" s="5" t="inlineStr">
        <is>
          <t>123</t>
        </is>
      </c>
      <c r="C359" s="5" t="inlineStr">
        <is>
          <t>nearest labels in its region</t>
        </is>
      </c>
      <c r="D359" s="5" t="inlineStr">
        <is>
          <t>solid</t>
        </is>
      </c>
      <c r="E359" s="5" t="n">
        <v>27</v>
      </c>
      <c r="F359" s="5" t="inlineStr">
        <is>
          <t>retaining_wall</t>
        </is>
      </c>
      <c r="G359" s="5" t="inlineStr">
        <is>
          <t>Retaining wall ~VP25 11.70 × 0.25 m</t>
        </is>
      </c>
      <c r="H359" s="5" t="inlineStr">
        <is>
          <t>rule: unlabelled wall along the building edge or on a strip footing</t>
        </is>
      </c>
      <c r="I359" s="5" t="inlineStr">
        <is>
          <t>VP25</t>
        </is>
      </c>
      <c r="J359" s="5" t="inlineStr">
        <is>
          <t>inferred: the thickness of this retaining-wall type</t>
        </is>
      </c>
      <c r="K359" s="5" t="inlineStr"/>
      <c r="L359" s="5" t="n">
        <v>1170</v>
      </c>
      <c r="M359" s="5" t="n">
        <v>25</v>
      </c>
      <c r="N359" s="10">
        <f>IF(AND(ISNUMBER(L359),M359&gt;0),L359/M359,"")</f>
        <v/>
      </c>
      <c r="O359" s="5" t="n">
        <v>2.935</v>
      </c>
      <c r="P359" s="5" t="n">
        <v>169.3</v>
      </c>
      <c r="Q359" s="5" t="n">
        <v>4</v>
      </c>
      <c r="R359" s="5" t="n">
        <v>0</v>
      </c>
      <c r="S359" s="5" t="n">
        <v>1</v>
      </c>
      <c r="T359" s="5" t="n">
        <v>0</v>
      </c>
      <c r="U359" s="5" t="n">
        <v>1</v>
      </c>
      <c r="V359" s="5" t="n">
        <v>0</v>
      </c>
      <c r="W359" s="5" t="n">
        <v>6</v>
      </c>
      <c r="X359" s="5" t="n">
        <v>1</v>
      </c>
      <c r="Y359" s="5" t="n"/>
      <c r="Z359" s="5" t="inlineStr"/>
      <c r="AA359" s="5" t="n">
        <v>4348</v>
      </c>
      <c r="AB359" s="5" t="n">
        <v>3510.5</v>
      </c>
      <c r="AC359" s="5" t="n">
        <v>4688.9</v>
      </c>
      <c r="AD359" s="5" t="n">
        <v>3581.7</v>
      </c>
      <c r="AE359" s="5" t="inlineStr"/>
      <c r="AF359" s="5">
        <f>IF(AE359="","",IF(OR(AE359=F359,AND(AE359="crane_footing",F359="isolated_footing")),"yes","no"))</f>
        <v/>
      </c>
    </row>
    <row r="360">
      <c r="A360" s="5" t="n">
        <v>359</v>
      </c>
      <c r="B360" s="5" t="inlineStr">
        <is>
          <t>123</t>
        </is>
      </c>
      <c r="C360" s="5" t="inlineStr">
        <is>
          <t>own label</t>
        </is>
      </c>
      <c r="D360" s="5" t="inlineStr">
        <is>
          <t>outline</t>
        </is>
      </c>
      <c r="E360" s="5" t="n">
        <v>13</v>
      </c>
      <c r="F360" s="5" t="inlineStr">
        <is>
          <t>isolated_footing</t>
        </is>
      </c>
      <c r="G360" s="5" t="inlineStr">
        <is>
          <t>Isolated footing S5 4.50 × 4.00 m</t>
        </is>
      </c>
      <c r="H360" s="5" t="inlineStr">
        <is>
          <t>label vote</t>
        </is>
      </c>
      <c r="I360" s="5" t="inlineStr">
        <is>
          <t>S5</t>
        </is>
      </c>
      <c r="J360" s="5" t="inlineStr">
        <is>
          <t>printed label</t>
        </is>
      </c>
      <c r="K360" s="5" t="inlineStr">
        <is>
          <t>S5-123123</t>
        </is>
      </c>
      <c r="L360" s="5" t="n">
        <v>450</v>
      </c>
      <c r="M360" s="5" t="n">
        <v>400</v>
      </c>
      <c r="N360" s="10">
        <f>IF(AND(ISNUMBER(L360),M360&gt;0),L360/M360,"")</f>
        <v/>
      </c>
      <c r="O360" s="5" t="n">
        <v>18.002</v>
      </c>
      <c r="P360" s="5" t="n">
        <v>79.3</v>
      </c>
      <c r="Q360" s="5" t="n">
        <v>1</v>
      </c>
      <c r="R360" s="5" t="n">
        <v>0</v>
      </c>
      <c r="S360" s="5" t="n">
        <v>0</v>
      </c>
      <c r="T360" s="5" t="n">
        <v>0</v>
      </c>
      <c r="U360" s="5" t="n">
        <v>0</v>
      </c>
      <c r="V360" s="5" t="n">
        <v>1</v>
      </c>
      <c r="W360" s="5" t="n">
        <v>25</v>
      </c>
      <c r="X360" s="5" t="n">
        <v>3</v>
      </c>
      <c r="Y360" s="5" t="n"/>
      <c r="Z360" s="5" t="inlineStr"/>
      <c r="AA360" s="5" t="n">
        <v>4422.9</v>
      </c>
      <c r="AB360" s="5" t="n">
        <v>3249.3</v>
      </c>
      <c r="AC360" s="5" t="n">
        <v>4563.6</v>
      </c>
      <c r="AD360" s="5" t="n">
        <v>3401.8</v>
      </c>
      <c r="AE360" s="5" t="inlineStr">
        <is>
          <t>isolated_footing</t>
        </is>
      </c>
      <c r="AF360" s="5">
        <f>IF(AE360="","",IF(OR(AE360=F360,AND(AE360="crane_footing",F360="isolated_footing")),"yes","no"))</f>
        <v/>
      </c>
    </row>
    <row r="361">
      <c r="A361" s="5" t="n">
        <v>360</v>
      </c>
      <c r="B361" s="5" t="inlineStr">
        <is>
          <t>123</t>
        </is>
      </c>
      <c r="C361" s="5" t="inlineStr">
        <is>
          <t>own label</t>
        </is>
      </c>
      <c r="D361" s="5" t="inlineStr">
        <is>
          <t>outline</t>
        </is>
      </c>
      <c r="E361" s="5" t="n">
        <v>13</v>
      </c>
      <c r="F361" s="5" t="inlineStr">
        <is>
          <t>isolated_footing</t>
        </is>
      </c>
      <c r="G361" s="5" t="inlineStr">
        <is>
          <t>Isolated footing S7 4.50 × 3.50 m</t>
        </is>
      </c>
      <c r="H361" s="5" t="inlineStr">
        <is>
          <t>label vote</t>
        </is>
      </c>
      <c r="I361" s="5" t="inlineStr">
        <is>
          <t>S7</t>
        </is>
      </c>
      <c r="J361" s="5" t="inlineStr">
        <is>
          <t>printed label</t>
        </is>
      </c>
      <c r="K361" s="5" t="inlineStr">
        <is>
          <t>S7-123123</t>
        </is>
      </c>
      <c r="L361" s="5" t="n">
        <v>450</v>
      </c>
      <c r="M361" s="5" t="n">
        <v>350</v>
      </c>
      <c r="N361" s="10">
        <f>IF(AND(ISNUMBER(L361),M361&gt;0),L361/M361,"")</f>
        <v/>
      </c>
      <c r="O361" s="5" t="n">
        <v>15.755</v>
      </c>
      <c r="P361" s="5" t="n">
        <v>169.3</v>
      </c>
      <c r="Q361" s="5" t="n">
        <v>2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1</v>
      </c>
      <c r="W361" s="5" t="n">
        <v>58</v>
      </c>
      <c r="X361" s="5" t="n">
        <v>1</v>
      </c>
      <c r="Y361" s="5" t="n"/>
      <c r="Z361" s="5" t="inlineStr"/>
      <c r="AA361" s="5" t="n">
        <v>4918.1</v>
      </c>
      <c r="AB361" s="5" t="n">
        <v>3087.2</v>
      </c>
      <c r="AC361" s="5" t="n">
        <v>5067.8</v>
      </c>
      <c r="AD361" s="5" t="n">
        <v>3213.4</v>
      </c>
      <c r="AE361" s="5" t="inlineStr">
        <is>
          <t>isolated_footing</t>
        </is>
      </c>
      <c r="AF361" s="5">
        <f>IF(AE361="","",IF(OR(AE361=F361,AND(AE361="crane_footing",F361="isolated_footing")),"yes","no"))</f>
        <v/>
      </c>
    </row>
    <row r="362">
      <c r="A362" s="5" t="n">
        <v>361</v>
      </c>
      <c r="B362" s="5" t="inlineStr">
        <is>
          <t>123</t>
        </is>
      </c>
      <c r="C362" s="5" t="inlineStr">
        <is>
          <t>own label</t>
        </is>
      </c>
      <c r="D362" s="5" t="inlineStr">
        <is>
          <t>outline</t>
        </is>
      </c>
      <c r="E362" s="5" t="n">
        <v>13</v>
      </c>
      <c r="F362" s="5" t="inlineStr">
        <is>
          <t>isolated_footing</t>
        </is>
      </c>
      <c r="G362" s="5" t="inlineStr">
        <is>
          <t>Isolated footing S7 4.50 × 3.50 m</t>
        </is>
      </c>
      <c r="H362" s="5" t="inlineStr">
        <is>
          <t>label vote</t>
        </is>
      </c>
      <c r="I362" s="5" t="inlineStr">
        <is>
          <t>S7</t>
        </is>
      </c>
      <c r="J362" s="5" t="inlineStr">
        <is>
          <t>printed label</t>
        </is>
      </c>
      <c r="K362" s="5" t="inlineStr">
        <is>
          <t>S7-123123</t>
        </is>
      </c>
      <c r="L362" s="5" t="n">
        <v>450</v>
      </c>
      <c r="M362" s="5" t="n">
        <v>350</v>
      </c>
      <c r="N362" s="10">
        <f>IF(AND(ISNUMBER(L362),M362&gt;0),L362/M362,"")</f>
        <v/>
      </c>
      <c r="O362" s="5" t="n">
        <v>15.751</v>
      </c>
      <c r="P362" s="5" t="n">
        <v>79.3</v>
      </c>
      <c r="Q362" s="5" t="n">
        <v>2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1</v>
      </c>
      <c r="W362" s="5" t="n">
        <v>10</v>
      </c>
      <c r="X362" s="5" t="n">
        <v>1</v>
      </c>
      <c r="Y362" s="5" t="n"/>
      <c r="Z362" s="5" t="inlineStr"/>
      <c r="AA362" s="5" t="n">
        <v>4838.2</v>
      </c>
      <c r="AB362" s="5" t="n">
        <v>3372.9</v>
      </c>
      <c r="AC362" s="5" t="n">
        <v>4964.4</v>
      </c>
      <c r="AD362" s="5" t="n">
        <v>3522.5</v>
      </c>
      <c r="AE362" s="5" t="inlineStr">
        <is>
          <t>isolated_footing</t>
        </is>
      </c>
      <c r="AF362" s="5">
        <f>IF(AE362="","",IF(OR(AE362=F362,AND(AE362="crane_footing",F362="isolated_footing")),"yes","no"))</f>
        <v/>
      </c>
    </row>
    <row r="363">
      <c r="A363" s="5" t="n">
        <v>362</v>
      </c>
      <c r="B363" s="5" t="inlineStr">
        <is>
          <t>123</t>
        </is>
      </c>
      <c r="C363" s="5" t="inlineStr">
        <is>
          <t>own label</t>
        </is>
      </c>
      <c r="D363" s="5" t="inlineStr">
        <is>
          <t>outline</t>
        </is>
      </c>
      <c r="E363" s="5" t="n">
        <v>13</v>
      </c>
      <c r="F363" s="5" t="inlineStr">
        <is>
          <t>isolated_footing</t>
        </is>
      </c>
      <c r="G363" s="5" t="inlineStr">
        <is>
          <t>Isolated footing S7 4.50 × 3.50 m</t>
        </is>
      </c>
      <c r="H363" s="5" t="inlineStr">
        <is>
          <t>label vote</t>
        </is>
      </c>
      <c r="I363" s="5" t="inlineStr">
        <is>
          <t>S7</t>
        </is>
      </c>
      <c r="J363" s="5" t="inlineStr">
        <is>
          <t>printed label</t>
        </is>
      </c>
      <c r="K363" s="5" t="inlineStr">
        <is>
          <t>S7-123123</t>
        </is>
      </c>
      <c r="L363" s="5" t="n">
        <v>450</v>
      </c>
      <c r="M363" s="5" t="n">
        <v>350</v>
      </c>
      <c r="N363" s="10">
        <f>IF(AND(ISNUMBER(L363),M363&gt;0),L363/M363,"")</f>
        <v/>
      </c>
      <c r="O363" s="5" t="n">
        <v>15.751</v>
      </c>
      <c r="P363" s="5" t="n">
        <v>79.3</v>
      </c>
      <c r="Q363" s="5" t="n">
        <v>3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1</v>
      </c>
      <c r="W363" s="5" t="n">
        <v>59</v>
      </c>
      <c r="X363" s="5" t="n">
        <v>2</v>
      </c>
      <c r="Y363" s="5" t="n"/>
      <c r="Z363" s="5" t="inlineStr"/>
      <c r="AA363" s="5" t="n">
        <v>4648</v>
      </c>
      <c r="AB363" s="5" t="n">
        <v>3386.2</v>
      </c>
      <c r="AC363" s="5" t="n">
        <v>4774.2</v>
      </c>
      <c r="AD363" s="5" t="n">
        <v>3535.9</v>
      </c>
      <c r="AE363" s="5" t="inlineStr">
        <is>
          <t>isolated_footing</t>
        </is>
      </c>
      <c r="AF363" s="5">
        <f>IF(AE363="","",IF(OR(AE363=F363,AND(AE363="crane_footing",F363="isolated_footing")),"yes","no"))</f>
        <v/>
      </c>
    </row>
    <row r="364">
      <c r="A364" s="5" t="n">
        <v>363</v>
      </c>
      <c r="B364" s="5" t="inlineStr">
        <is>
          <t>123</t>
        </is>
      </c>
      <c r="C364" s="5" t="inlineStr">
        <is>
          <t>own label</t>
        </is>
      </c>
      <c r="D364" s="5" t="inlineStr">
        <is>
          <t>outline</t>
        </is>
      </c>
      <c r="E364" s="5" t="n">
        <v>13</v>
      </c>
      <c r="F364" s="5" t="inlineStr">
        <is>
          <t>isolated_footing</t>
        </is>
      </c>
      <c r="G364" s="5" t="inlineStr">
        <is>
          <t>Isolated footing S7 4.50 × 3.50 m</t>
        </is>
      </c>
      <c r="H364" s="5" t="inlineStr">
        <is>
          <t>label vote</t>
        </is>
      </c>
      <c r="I364" s="5" t="inlineStr">
        <is>
          <t>S7</t>
        </is>
      </c>
      <c r="J364" s="5" t="inlineStr">
        <is>
          <t>printed label</t>
        </is>
      </c>
      <c r="K364" s="5" t="inlineStr">
        <is>
          <t>S7-123123</t>
        </is>
      </c>
      <c r="L364" s="5" t="n">
        <v>450</v>
      </c>
      <c r="M364" s="5" t="n">
        <v>350</v>
      </c>
      <c r="N364" s="10">
        <f>IF(AND(ISNUMBER(L364),M364&gt;0),L364/M364,"")</f>
        <v/>
      </c>
      <c r="O364" s="5" t="n">
        <v>15.749</v>
      </c>
      <c r="P364" s="5" t="n">
        <v>169.3</v>
      </c>
      <c r="Q364" s="5" t="n">
        <v>2</v>
      </c>
      <c r="R364" s="5" t="n">
        <v>0</v>
      </c>
      <c r="S364" s="5" t="n">
        <v>0</v>
      </c>
      <c r="T364" s="5" t="n">
        <v>0</v>
      </c>
      <c r="U364" s="5" t="n">
        <v>0</v>
      </c>
      <c r="V364" s="5" t="n">
        <v>1</v>
      </c>
      <c r="W364" s="5" t="n">
        <v>24</v>
      </c>
      <c r="X364" s="5" t="n">
        <v>1</v>
      </c>
      <c r="Y364" s="5" t="n"/>
      <c r="Z364" s="5" t="inlineStr"/>
      <c r="AA364" s="5" t="n">
        <v>4923.7</v>
      </c>
      <c r="AB364" s="5" t="n">
        <v>3262.7</v>
      </c>
      <c r="AC364" s="5" t="n">
        <v>5073.4</v>
      </c>
      <c r="AD364" s="5" t="n">
        <v>3388.8</v>
      </c>
      <c r="AE364" s="5" t="inlineStr">
        <is>
          <t>isolated_footing</t>
        </is>
      </c>
      <c r="AF364" s="5">
        <f>IF(AE364="","",IF(OR(AE364=F364,AND(AE364="crane_footing",F364="isolated_footing")),"yes","no"))</f>
        <v/>
      </c>
    </row>
    <row r="365">
      <c r="A365" s="5" t="n">
        <v>364</v>
      </c>
      <c r="B365" s="5" t="inlineStr">
        <is>
          <t>123</t>
        </is>
      </c>
      <c r="C365" s="5" t="inlineStr">
        <is>
          <t>own label</t>
        </is>
      </c>
      <c r="D365" s="5" t="inlineStr">
        <is>
          <t>outline</t>
        </is>
      </c>
      <c r="E365" s="5" t="n">
        <v>13</v>
      </c>
      <c r="F365" s="5" t="inlineStr">
        <is>
          <t>isolated_footing</t>
        </is>
      </c>
      <c r="G365" s="5" t="inlineStr">
        <is>
          <t>Isolated footing S7 4.50 × 3.50 m</t>
        </is>
      </c>
      <c r="H365" s="5" t="inlineStr">
        <is>
          <t>label vote</t>
        </is>
      </c>
      <c r="I365" s="5" t="inlineStr">
        <is>
          <t>S7</t>
        </is>
      </c>
      <c r="J365" s="5" t="inlineStr">
        <is>
          <t>printed label</t>
        </is>
      </c>
      <c r="K365" s="5" t="inlineStr">
        <is>
          <t>S7-123123</t>
        </is>
      </c>
      <c r="L365" s="5" t="n">
        <v>450</v>
      </c>
      <c r="M365" s="5" t="n">
        <v>350</v>
      </c>
      <c r="N365" s="10">
        <f>IF(AND(ISNUMBER(L365),M365&gt;0),L365/M365,"")</f>
        <v/>
      </c>
      <c r="O365" s="5" t="n">
        <v>15.749</v>
      </c>
      <c r="P365" s="5" t="n">
        <v>79.3</v>
      </c>
      <c r="Q365" s="5" t="n">
        <v>2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1</v>
      </c>
      <c r="W365" s="5" t="n">
        <v>43</v>
      </c>
      <c r="X365" s="5" t="n">
        <v>2</v>
      </c>
      <c r="Y365" s="5" t="n"/>
      <c r="Z365" s="5" t="inlineStr"/>
      <c r="AA365" s="5" t="n">
        <v>4464.4</v>
      </c>
      <c r="AB365" s="5" t="n">
        <v>3444.9</v>
      </c>
      <c r="AC365" s="5" t="n">
        <v>4590.5</v>
      </c>
      <c r="AD365" s="5" t="n">
        <v>3594.6</v>
      </c>
      <c r="AE365" s="5" t="inlineStr">
        <is>
          <t>isolated_footing</t>
        </is>
      </c>
      <c r="AF365" s="5">
        <f>IF(AE365="","",IF(OR(AE365=F365,AND(AE365="crane_footing",F365="isolated_footing")),"yes","no"))</f>
        <v/>
      </c>
    </row>
    <row r="366">
      <c r="A366" s="5" t="n">
        <v>365</v>
      </c>
      <c r="B366" s="5" t="inlineStr">
        <is>
          <t>123</t>
        </is>
      </c>
      <c r="C366" s="5" t="inlineStr">
        <is>
          <t>nearest labels in its region</t>
        </is>
      </c>
      <c r="D366" s="5" t="inlineStr">
        <is>
          <t>outline</t>
        </is>
      </c>
      <c r="E366" s="5" t="n">
        <v>14</v>
      </c>
      <c r="F366" s="5" t="inlineStr">
        <is>
          <t>combined_footing</t>
        </is>
      </c>
      <c r="G366" s="5" t="inlineStr">
        <is>
          <t>Combined footing SC1 5.00 × 3.50 m</t>
        </is>
      </c>
      <c r="H366" s="5" t="inlineStr">
        <is>
          <t>label vote</t>
        </is>
      </c>
      <c r="I366" s="5" t="inlineStr">
        <is>
          <t>SC1</t>
        </is>
      </c>
      <c r="J366" s="5" t="inlineStr">
        <is>
          <t>printed label</t>
        </is>
      </c>
      <c r="K366" s="5" t="inlineStr">
        <is>
          <t>SC1-</t>
        </is>
      </c>
      <c r="L366" s="5" t="n">
        <v>500</v>
      </c>
      <c r="M366" s="5" t="n">
        <v>350</v>
      </c>
      <c r="N366" s="10">
        <f>IF(AND(ISNUMBER(L366),M366&gt;0),L366/M366,"")</f>
        <v/>
      </c>
      <c r="O366" s="5" t="n">
        <v>17.505</v>
      </c>
      <c r="P366" s="5" t="n">
        <v>79.3</v>
      </c>
      <c r="Q366" s="5" t="n">
        <v>4</v>
      </c>
      <c r="R366" s="5" t="n">
        <v>0</v>
      </c>
      <c r="S366" s="5" t="n">
        <v>0</v>
      </c>
      <c r="T366" s="5" t="n">
        <v>0</v>
      </c>
      <c r="U366" s="5" t="n">
        <v>0</v>
      </c>
      <c r="V366" s="5" t="n">
        <v>2</v>
      </c>
      <c r="W366" s="5" t="n">
        <v>90</v>
      </c>
      <c r="X366" s="5" t="n">
        <v>1</v>
      </c>
      <c r="Y366" s="5" t="n"/>
      <c r="Z366" s="5" t="inlineStr"/>
      <c r="AA366" s="5" t="n">
        <v>4271.1</v>
      </c>
      <c r="AB366" s="5" t="n">
        <v>3483</v>
      </c>
      <c r="AC366" s="5" t="n">
        <v>4400.1</v>
      </c>
      <c r="AD366" s="5" t="n">
        <v>3647.2</v>
      </c>
      <c r="AE366" s="5" t="inlineStr">
        <is>
          <t>combined_footing</t>
        </is>
      </c>
      <c r="AF366" s="5">
        <f>IF(AE366="","",IF(OR(AE366=F366,AND(AE366="crane_footing",F366="isolated_footing")),"yes","no"))</f>
        <v/>
      </c>
    </row>
    <row r="367">
      <c r="A367" s="5" t="n">
        <v>366</v>
      </c>
      <c r="B367" s="5" t="inlineStr">
        <is>
          <t>123</t>
        </is>
      </c>
      <c r="C367" s="5" t="inlineStr">
        <is>
          <t>nearest labels</t>
        </is>
      </c>
      <c r="D367" s="5" t="inlineStr">
        <is>
          <t>outline</t>
        </is>
      </c>
      <c r="E367" s="5" t="n">
        <v>14</v>
      </c>
      <c r="F367" s="5" t="inlineStr">
        <is>
          <t>combined_footing</t>
        </is>
      </c>
      <c r="G367" s="5" t="inlineStr">
        <is>
          <t>Combined footing SC1 5.00 × 3.50 m</t>
        </is>
      </c>
      <c r="H367" s="5" t="inlineStr">
        <is>
          <t>label vote</t>
        </is>
      </c>
      <c r="I367" s="5" t="inlineStr">
        <is>
          <t>SC1</t>
        </is>
      </c>
      <c r="J367" s="5" t="inlineStr">
        <is>
          <t>printed label</t>
        </is>
      </c>
      <c r="K367" s="5" t="inlineStr">
        <is>
          <t>SC1-</t>
        </is>
      </c>
      <c r="L367" s="5" t="n">
        <v>500</v>
      </c>
      <c r="M367" s="5" t="n">
        <v>350</v>
      </c>
      <c r="N367" s="10">
        <f>IF(AND(ISNUMBER(L367),M367&gt;0),L367/M367,"")</f>
        <v/>
      </c>
      <c r="O367" s="5" t="n">
        <v>17.492</v>
      </c>
      <c r="P367" s="5" t="n">
        <v>169.8</v>
      </c>
      <c r="Q367" s="5" t="n">
        <v>4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2</v>
      </c>
      <c r="W367" s="5" t="n">
        <v>60</v>
      </c>
      <c r="X367" s="5" t="n">
        <v>1</v>
      </c>
      <c r="Y367" s="5" t="n"/>
      <c r="Z367" s="5" t="inlineStr"/>
      <c r="AA367" s="5" t="n">
        <v>4915.8</v>
      </c>
      <c r="AB367" s="5" t="n">
        <v>2883.4</v>
      </c>
      <c r="AC367" s="5" t="n">
        <v>5079.3</v>
      </c>
      <c r="AD367" s="5" t="n">
        <v>3011.3</v>
      </c>
      <c r="AE367" s="5" t="inlineStr">
        <is>
          <t>combined_footing</t>
        </is>
      </c>
      <c r="AF367" s="5">
        <f>IF(AE367="","",IF(OR(AE367=F367,AND(AE367="crane_footing",F367="isolated_footing")),"yes","no"))</f>
        <v/>
      </c>
    </row>
    <row r="368">
      <c r="A368" s="5" t="n">
        <v>367</v>
      </c>
      <c r="B368" s="5" t="inlineStr">
        <is>
          <t>123</t>
        </is>
      </c>
      <c r="C368" s="5" t="inlineStr">
        <is>
          <t>nearest labels in its region</t>
        </is>
      </c>
      <c r="D368" s="5" t="inlineStr">
        <is>
          <t>outline</t>
        </is>
      </c>
      <c r="E368" s="5" t="n">
        <v>14</v>
      </c>
      <c r="F368" s="5" t="inlineStr">
        <is>
          <t>combined_footing</t>
        </is>
      </c>
      <c r="G368" s="5" t="inlineStr">
        <is>
          <t>Combined footing SC4 4.50 × 4.50 m</t>
        </is>
      </c>
      <c r="H368" s="5" t="inlineStr">
        <is>
          <t>label vote</t>
        </is>
      </c>
      <c r="I368" s="5" t="inlineStr">
        <is>
          <t>SC4</t>
        </is>
      </c>
      <c r="J368" s="5" t="inlineStr">
        <is>
          <t>printed label</t>
        </is>
      </c>
      <c r="K368" s="5" t="inlineStr">
        <is>
          <t>SC4-</t>
        </is>
      </c>
      <c r="L368" s="5" t="n">
        <v>450</v>
      </c>
      <c r="M368" s="5" t="n">
        <v>450</v>
      </c>
      <c r="N368" s="10">
        <f>IF(AND(ISNUMBER(L368),M368&gt;0),L368/M368,"")</f>
        <v/>
      </c>
      <c r="O368" s="5" t="n">
        <v>20.254</v>
      </c>
      <c r="P368" s="5" t="n">
        <v>169.4</v>
      </c>
      <c r="Q368" s="5" t="n">
        <v>2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2</v>
      </c>
      <c r="W368" s="5" t="n">
        <v>58</v>
      </c>
      <c r="X368" s="5" t="n">
        <v>4</v>
      </c>
      <c r="Y368" s="5" t="n"/>
      <c r="Z368" s="5" t="inlineStr"/>
      <c r="AA368" s="5" t="n">
        <v>4343.3</v>
      </c>
      <c r="AB368" s="5" t="n">
        <v>3006.4</v>
      </c>
      <c r="AC368" s="5" t="n">
        <v>4498.3</v>
      </c>
      <c r="AD368" s="5" t="n">
        <v>3161.4</v>
      </c>
      <c r="AE368" s="5" t="inlineStr">
        <is>
          <t>combined_footing</t>
        </is>
      </c>
      <c r="AF368" s="5">
        <f>IF(AE368="","",IF(OR(AE368=F368,AND(AE368="crane_footing",F368="isolated_footing")),"yes","no"))</f>
        <v/>
      </c>
    </row>
    <row r="369">
      <c r="A369" s="5" t="n">
        <v>368</v>
      </c>
      <c r="B369" s="5" t="inlineStr">
        <is>
          <t>123</t>
        </is>
      </c>
      <c r="C369" s="5" t="inlineStr">
        <is>
          <t>nearest labels in its region</t>
        </is>
      </c>
      <c r="D369" s="5" t="inlineStr">
        <is>
          <t>band</t>
        </is>
      </c>
      <c r="E369" s="5" t="n">
        <v>5</v>
      </c>
      <c r="F369" s="5" t="inlineStr">
        <is>
          <t>strip_footing</t>
        </is>
      </c>
      <c r="G369" s="5" t="inlineStr">
        <is>
          <t>Strip footing SF1 3.17 × 0.80 m</t>
        </is>
      </c>
      <c r="H369" s="5" t="inlineStr">
        <is>
          <t>label vote</t>
        </is>
      </c>
      <c r="I369" s="5" t="inlineStr">
        <is>
          <t>SF1</t>
        </is>
      </c>
      <c r="J369" s="5" t="inlineStr">
        <is>
          <t>printed label</t>
        </is>
      </c>
      <c r="K369" s="5" t="inlineStr">
        <is>
          <t>VP25/SF1 80x25</t>
        </is>
      </c>
      <c r="L369" s="5" t="n">
        <v>317</v>
      </c>
      <c r="M369" s="5" t="n">
        <v>80</v>
      </c>
      <c r="N369" s="10">
        <f>IF(AND(ISNUMBER(L369),M369&gt;0),L369/M369,"")</f>
        <v/>
      </c>
      <c r="O369" s="5" t="n">
        <v>2.534</v>
      </c>
      <c r="P369" s="5" t="n">
        <v>169.3</v>
      </c>
      <c r="Q369" s="5" t="n">
        <v>1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2</v>
      </c>
      <c r="X369" s="5" t="n">
        <v>1</v>
      </c>
      <c r="Y369" s="5" t="n">
        <v>3.17</v>
      </c>
      <c r="Z369" s="5" t="inlineStr"/>
      <c r="AA369" s="5" t="n">
        <v>4387.1</v>
      </c>
      <c r="AB369" s="5" t="n">
        <v>3542.2</v>
      </c>
      <c r="AC369" s="5" t="n">
        <v>4483.4</v>
      </c>
      <c r="AD369" s="5" t="n">
        <v>3582.8</v>
      </c>
      <c r="AE369" s="5" t="inlineStr"/>
      <c r="AF369" s="5">
        <f>IF(AE369="","",IF(OR(AE369=F369,AND(AE369="crane_footing",F369="isolated_footing")),"yes","no"))</f>
        <v/>
      </c>
    </row>
    <row r="370">
      <c r="A370" s="5" t="n">
        <v>369</v>
      </c>
      <c r="B370" s="5" t="inlineStr">
        <is>
          <t>123</t>
        </is>
      </c>
      <c r="C370" s="5" t="inlineStr">
        <is>
          <t>nearest labels in its region</t>
        </is>
      </c>
      <c r="D370" s="5" t="inlineStr">
        <is>
          <t>band</t>
        </is>
      </c>
      <c r="E370" s="5" t="n">
        <v>5</v>
      </c>
      <c r="F370" s="5" t="inlineStr">
        <is>
          <t>strip_footing</t>
        </is>
      </c>
      <c r="G370" s="5" t="inlineStr">
        <is>
          <t>Strip footing SF1 3.13 × 0.80 m</t>
        </is>
      </c>
      <c r="H370" s="5" t="inlineStr">
        <is>
          <t>label vote</t>
        </is>
      </c>
      <c r="I370" s="5" t="inlineStr">
        <is>
          <t>SF1</t>
        </is>
      </c>
      <c r="J370" s="5" t="inlineStr">
        <is>
          <t>printed label</t>
        </is>
      </c>
      <c r="K370" s="5" t="inlineStr">
        <is>
          <t>VP25/SF1 80x25</t>
        </is>
      </c>
      <c r="L370" s="5" t="n">
        <v>313</v>
      </c>
      <c r="M370" s="5" t="n">
        <v>80</v>
      </c>
      <c r="N370" s="10">
        <f>IF(AND(ISNUMBER(L370),M370&gt;0),L370/M370,"")</f>
        <v/>
      </c>
      <c r="O370" s="5" t="n">
        <v>2.506</v>
      </c>
      <c r="P370" s="5" t="n">
        <v>90</v>
      </c>
      <c r="Q370" s="5" t="n">
        <v>1</v>
      </c>
      <c r="R370" s="5" t="n">
        <v>0</v>
      </c>
      <c r="S370" s="5" t="n">
        <v>0</v>
      </c>
      <c r="T370" s="5" t="n">
        <v>0</v>
      </c>
      <c r="U370" s="5" t="n">
        <v>0</v>
      </c>
      <c r="V370" s="5" t="n">
        <v>0</v>
      </c>
      <c r="W370" s="5" t="n">
        <v>4</v>
      </c>
      <c r="X370" s="5" t="n">
        <v>1</v>
      </c>
      <c r="Y370" s="5" t="n">
        <v>3.13</v>
      </c>
      <c r="Z370" s="5" t="inlineStr"/>
      <c r="AA370" s="5" t="n">
        <v>5006.7</v>
      </c>
      <c r="AB370" s="5" t="n">
        <v>2998.2</v>
      </c>
      <c r="AC370" s="5" t="n">
        <v>5030.4</v>
      </c>
      <c r="AD370" s="5" t="n">
        <v>3090.7</v>
      </c>
      <c r="AE370" s="5" t="inlineStr"/>
      <c r="AF370" s="5">
        <f>IF(AE370="","",IF(OR(AE370=F370,AND(AE370="crane_footing",F370="isolated_footing")),"yes","no"))</f>
        <v/>
      </c>
    </row>
    <row r="371">
      <c r="A371" s="5" t="n">
        <v>370</v>
      </c>
      <c r="B371" s="5" t="inlineStr">
        <is>
          <t>123</t>
        </is>
      </c>
      <c r="C371" s="5" t="inlineStr">
        <is>
          <t>nearest labels in its region</t>
        </is>
      </c>
      <c r="D371" s="5" t="inlineStr">
        <is>
          <t>band</t>
        </is>
      </c>
      <c r="E371" s="5" t="n">
        <v>5</v>
      </c>
      <c r="F371" s="5" t="inlineStr">
        <is>
          <t>strip_footing</t>
        </is>
      </c>
      <c r="G371" s="5" t="inlineStr">
        <is>
          <t>Strip footing SF1 2.95 × 0.80 m</t>
        </is>
      </c>
      <c r="H371" s="5" t="inlineStr">
        <is>
          <t>label vote</t>
        </is>
      </c>
      <c r="I371" s="5" t="inlineStr">
        <is>
          <t>SF1</t>
        </is>
      </c>
      <c r="J371" s="5" t="inlineStr">
        <is>
          <t>printed label</t>
        </is>
      </c>
      <c r="K371" s="5" t="inlineStr">
        <is>
          <t>VP25/SF1 80x25</t>
        </is>
      </c>
      <c r="L371" s="5" t="n">
        <v>295</v>
      </c>
      <c r="M371" s="5" t="n">
        <v>80</v>
      </c>
      <c r="N371" s="10">
        <f>IF(AND(ISNUMBER(L371),M371&gt;0),L371/M371,"")</f>
        <v/>
      </c>
      <c r="O371" s="5" t="n">
        <v>2.363</v>
      </c>
      <c r="P371" s="5" t="n">
        <v>169.3</v>
      </c>
      <c r="Q371" s="5" t="n">
        <v>1</v>
      </c>
      <c r="R371" s="5" t="n">
        <v>0</v>
      </c>
      <c r="S371" s="5" t="n">
        <v>0</v>
      </c>
      <c r="T371" s="5" t="n">
        <v>0</v>
      </c>
      <c r="U371" s="5" t="n">
        <v>0</v>
      </c>
      <c r="V371" s="5" t="n">
        <v>0</v>
      </c>
      <c r="W371" s="5" t="n">
        <v>2</v>
      </c>
      <c r="X371" s="5" t="n">
        <v>0</v>
      </c>
      <c r="Y371" s="5" t="n">
        <v>2.95</v>
      </c>
      <c r="Z371" s="5" t="inlineStr"/>
      <c r="AA371" s="5" t="n">
        <v>4580.6</v>
      </c>
      <c r="AB371" s="5" t="n">
        <v>3506.8</v>
      </c>
      <c r="AC371" s="5" t="n">
        <v>4670.7</v>
      </c>
      <c r="AD371" s="5" t="n">
        <v>3546.2</v>
      </c>
      <c r="AE371" s="5" t="inlineStr"/>
      <c r="AF371" s="5">
        <f>IF(AE371="","",IF(OR(AE371=F371,AND(AE371="crane_footing",F371="isolated_footing")),"yes","no"))</f>
        <v/>
      </c>
    </row>
    <row r="372">
      <c r="A372" s="5" t="n">
        <v>371</v>
      </c>
      <c r="B372" s="5" t="inlineStr">
        <is>
          <t>123</t>
        </is>
      </c>
      <c r="C372" s="5" t="inlineStr">
        <is>
          <t>nearest labels in its region</t>
        </is>
      </c>
      <c r="D372" s="5" t="inlineStr">
        <is>
          <t>band</t>
        </is>
      </c>
      <c r="E372" s="5" t="n">
        <v>5</v>
      </c>
      <c r="F372" s="5" t="inlineStr">
        <is>
          <t>strip_footing</t>
        </is>
      </c>
      <c r="G372" s="5" t="inlineStr">
        <is>
          <t>Strip footing SF1 2.91 × 0.80 m</t>
        </is>
      </c>
      <c r="H372" s="5" t="inlineStr">
        <is>
          <t>label vote</t>
        </is>
      </c>
      <c r="I372" s="5" t="inlineStr">
        <is>
          <t>SF1</t>
        </is>
      </c>
      <c r="J372" s="5" t="inlineStr">
        <is>
          <t>printed label</t>
        </is>
      </c>
      <c r="K372" s="5" t="inlineStr">
        <is>
          <t>VP25/SF1 80x25</t>
        </is>
      </c>
      <c r="L372" s="5" t="n">
        <v>291</v>
      </c>
      <c r="M372" s="5" t="n">
        <v>80</v>
      </c>
      <c r="N372" s="10">
        <f>IF(AND(ISNUMBER(L372),M372&gt;0),L372/M372,"")</f>
        <v/>
      </c>
      <c r="O372" s="5" t="n">
        <v>2.329</v>
      </c>
      <c r="P372" s="5" t="n">
        <v>169.4</v>
      </c>
      <c r="Q372" s="5" t="n">
        <v>1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3</v>
      </c>
      <c r="X372" s="5" t="n">
        <v>0</v>
      </c>
      <c r="Y372" s="5" t="n">
        <v>2.91</v>
      </c>
      <c r="Z372" s="5" t="inlineStr"/>
      <c r="AA372" s="5" t="n">
        <v>4768.7</v>
      </c>
      <c r="AB372" s="5" t="n">
        <v>3471.7</v>
      </c>
      <c r="AC372" s="5" t="n">
        <v>4857.5</v>
      </c>
      <c r="AD372" s="5" t="n">
        <v>3510.7</v>
      </c>
      <c r="AE372" s="5" t="inlineStr"/>
      <c r="AF372" s="5">
        <f>IF(AE372="","",IF(OR(AE372=F372,AND(AE372="crane_footing",F372="isolated_footing")),"yes","no"))</f>
        <v/>
      </c>
    </row>
    <row r="373">
      <c r="A373" s="5" t="n">
        <v>372</v>
      </c>
      <c r="B373" s="5" t="inlineStr">
        <is>
          <t>123</t>
        </is>
      </c>
      <c r="C373" s="5" t="inlineStr">
        <is>
          <t>nearest labels in its region</t>
        </is>
      </c>
      <c r="D373" s="5" t="inlineStr">
        <is>
          <t>band</t>
        </is>
      </c>
      <c r="E373" s="5" t="n">
        <v>5</v>
      </c>
      <c r="F373" s="5" t="inlineStr">
        <is>
          <t>strip_footing</t>
        </is>
      </c>
      <c r="G373" s="5" t="inlineStr">
        <is>
          <t>Strip footing SF1 2.24 × 0.80 m</t>
        </is>
      </c>
      <c r="H373" s="5" t="inlineStr">
        <is>
          <t>label vote</t>
        </is>
      </c>
      <c r="I373" s="5" t="inlineStr">
        <is>
          <t>SF1</t>
        </is>
      </c>
      <c r="J373" s="5" t="inlineStr">
        <is>
          <t>printed label</t>
        </is>
      </c>
      <c r="K373" s="5" t="inlineStr">
        <is>
          <t>VP25/SF1 80x25</t>
        </is>
      </c>
      <c r="L373" s="5" t="n">
        <v>224</v>
      </c>
      <c r="M373" s="5" t="n">
        <v>80</v>
      </c>
      <c r="N373" s="10">
        <f>IF(AND(ISNUMBER(L373),M373&gt;0),L373/M373,"")</f>
        <v/>
      </c>
      <c r="O373" s="5" t="n">
        <v>1.792</v>
      </c>
      <c r="P373" s="5" t="n">
        <v>90.09999999999999</v>
      </c>
      <c r="Q373" s="5" t="n">
        <v>1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3</v>
      </c>
      <c r="X373" s="5" t="n">
        <v>0</v>
      </c>
      <c r="Y373" s="5" t="n">
        <v>2.24</v>
      </c>
      <c r="Z373" s="5" t="inlineStr"/>
      <c r="AA373" s="5" t="n">
        <v>5006.4</v>
      </c>
      <c r="AB373" s="5" t="n">
        <v>3376.8</v>
      </c>
      <c r="AC373" s="5" t="n">
        <v>5030.1</v>
      </c>
      <c r="AD373" s="5" t="n">
        <v>3442.9</v>
      </c>
      <c r="AE373" s="5" t="inlineStr"/>
      <c r="AF373" s="5">
        <f>IF(AE373="","",IF(OR(AE373=F373,AND(AE373="crane_footing",F373="isolated_footing")),"yes","no"))</f>
        <v/>
      </c>
    </row>
    <row r="374">
      <c r="A374" s="5" t="n">
        <v>373</v>
      </c>
      <c r="B374" s="5" t="inlineStr">
        <is>
          <t>123</t>
        </is>
      </c>
      <c r="C374" s="5" t="inlineStr">
        <is>
          <t>nearest labels in its region</t>
        </is>
      </c>
      <c r="D374" s="5" t="inlineStr">
        <is>
          <t>band</t>
        </is>
      </c>
      <c r="E374" s="5" t="n">
        <v>3</v>
      </c>
      <c r="F374" s="5" t="inlineStr">
        <is>
          <t>grade_beam</t>
        </is>
      </c>
      <c r="G374" s="5" t="inlineStr">
        <is>
          <t>Grade beam LG40x15 11.71 × 0.40 m</t>
        </is>
      </c>
      <c r="H374" s="5" t="inlineStr">
        <is>
          <t>label vote</t>
        </is>
      </c>
      <c r="I374" s="5" t="inlineStr">
        <is>
          <t>LG40x15</t>
        </is>
      </c>
      <c r="J374" s="5" t="inlineStr">
        <is>
          <t>printed label</t>
        </is>
      </c>
      <c r="K374" s="5" t="inlineStr">
        <is>
          <t>LG-40x15</t>
        </is>
      </c>
      <c r="L374" s="5" t="n">
        <v>1171</v>
      </c>
      <c r="M374" s="5" t="n">
        <v>40</v>
      </c>
      <c r="N374" s="10">
        <f>IF(AND(ISNUMBER(L374),M374&gt;0),L374/M374,"")</f>
        <v/>
      </c>
      <c r="O374" s="5" t="n">
        <v>4.685</v>
      </c>
      <c r="P374" s="5" t="n">
        <v>169.3</v>
      </c>
      <c r="Q374" s="5" t="n">
        <v>3</v>
      </c>
      <c r="R374" s="5" t="n">
        <v>0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45</v>
      </c>
      <c r="X374" s="5" t="n">
        <v>4</v>
      </c>
      <c r="Y374" s="5" t="n">
        <v>5.03</v>
      </c>
      <c r="Z374" s="5" t="inlineStr"/>
      <c r="AA374" s="5" t="n">
        <v>4249.3</v>
      </c>
      <c r="AB374" s="5" t="n">
        <v>3027.3</v>
      </c>
      <c r="AC374" s="5" t="n">
        <v>4591.4</v>
      </c>
      <c r="AD374" s="5" t="n">
        <v>3102.9</v>
      </c>
      <c r="AE374" s="5" t="inlineStr"/>
      <c r="AF374" s="5">
        <f>IF(AE374="","",IF(OR(AE374=F374,AND(AE374="crane_footing",F374="isolated_footing")),"yes","no"))</f>
        <v/>
      </c>
    </row>
    <row r="375">
      <c r="A375" s="5" t="n">
        <v>374</v>
      </c>
      <c r="B375" s="5" t="inlineStr">
        <is>
          <t>123</t>
        </is>
      </c>
      <c r="C375" s="5" t="inlineStr">
        <is>
          <t>nearest labels in its region</t>
        </is>
      </c>
      <c r="D375" s="5" t="inlineStr">
        <is>
          <t>band</t>
        </is>
      </c>
      <c r="E375" s="5" t="n">
        <v>3</v>
      </c>
      <c r="F375" s="5" t="inlineStr">
        <is>
          <t>grade_beam</t>
        </is>
      </c>
      <c r="G375" s="5" t="inlineStr">
        <is>
          <t>Grade beam LG40x15 10.15 × 0.40 m</t>
        </is>
      </c>
      <c r="H375" s="5" t="inlineStr">
        <is>
          <t>label vote</t>
        </is>
      </c>
      <c r="I375" s="5" t="inlineStr">
        <is>
          <t>LG40x15</t>
        </is>
      </c>
      <c r="J375" s="5" t="inlineStr">
        <is>
          <t>printed label</t>
        </is>
      </c>
      <c r="K375" s="5" t="inlineStr">
        <is>
          <t>LG-40x15</t>
        </is>
      </c>
      <c r="L375" s="5" t="n">
        <v>1015</v>
      </c>
      <c r="M375" s="5" t="n">
        <v>40</v>
      </c>
      <c r="N375" s="10">
        <f>IF(AND(ISNUMBER(L375),M375&gt;0),L375/M375,"")</f>
        <v/>
      </c>
      <c r="O375" s="5" t="n">
        <v>4.059</v>
      </c>
      <c r="P375" s="5" t="n">
        <v>169.4</v>
      </c>
      <c r="Q375" s="5" t="n">
        <v>3</v>
      </c>
      <c r="R375" s="5" t="n">
        <v>0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19</v>
      </c>
      <c r="X375" s="5" t="n">
        <v>2</v>
      </c>
      <c r="Y375" s="5" t="n">
        <v>5.46</v>
      </c>
      <c r="Z375" s="5" t="inlineStr"/>
      <c r="AA375" s="5" t="n">
        <v>4302.2</v>
      </c>
      <c r="AB375" s="5" t="n">
        <v>3277</v>
      </c>
      <c r="AC375" s="5" t="n">
        <v>4598.9</v>
      </c>
      <c r="AD375" s="5" t="n">
        <v>3343.6</v>
      </c>
      <c r="AE375" s="5" t="inlineStr"/>
      <c r="AF375" s="5">
        <f>IF(AE375="","",IF(OR(AE375=F375,AND(AE375="crane_footing",F375="isolated_footing")),"yes","no"))</f>
        <v/>
      </c>
    </row>
    <row r="376">
      <c r="A376" s="5" t="n">
        <v>375</v>
      </c>
      <c r="B376" s="5" t="inlineStr">
        <is>
          <t>123</t>
        </is>
      </c>
      <c r="C376" s="5" t="inlineStr">
        <is>
          <t>nearest labels in its region</t>
        </is>
      </c>
      <c r="D376" s="5" t="inlineStr">
        <is>
          <t>band</t>
        </is>
      </c>
      <c r="E376" s="5" t="n">
        <v>3</v>
      </c>
      <c r="F376" s="5" t="inlineStr">
        <is>
          <t>grade_beam</t>
        </is>
      </c>
      <c r="G376" s="5" t="inlineStr">
        <is>
          <t>Grade beam LG40x15 8.07 × 0.40 m</t>
        </is>
      </c>
      <c r="H376" s="5" t="inlineStr">
        <is>
          <t>label vote</t>
        </is>
      </c>
      <c r="I376" s="5" t="inlineStr">
        <is>
          <t>LG40x15</t>
        </is>
      </c>
      <c r="J376" s="5" t="inlineStr">
        <is>
          <t>printed label</t>
        </is>
      </c>
      <c r="K376" s="5" t="inlineStr">
        <is>
          <t>LG-40x15</t>
        </is>
      </c>
      <c r="L376" s="5" t="n">
        <v>807</v>
      </c>
      <c r="M376" s="5" t="n">
        <v>40</v>
      </c>
      <c r="N376" s="10">
        <f>IF(AND(ISNUMBER(L376),M376&gt;0),L376/M376,"")</f>
        <v/>
      </c>
      <c r="O376" s="5" t="n">
        <v>3.229</v>
      </c>
      <c r="P376" s="5" t="n">
        <v>169.3</v>
      </c>
      <c r="Q376" s="5" t="n">
        <v>3</v>
      </c>
      <c r="R376" s="5" t="n">
        <v>0</v>
      </c>
      <c r="S376" s="5" t="n">
        <v>0</v>
      </c>
      <c r="T376" s="5" t="n">
        <v>0</v>
      </c>
      <c r="U376" s="5" t="n">
        <v>0</v>
      </c>
      <c r="V376" s="5" t="n">
        <v>1</v>
      </c>
      <c r="W376" s="5" t="n">
        <v>23</v>
      </c>
      <c r="X376" s="5" t="n">
        <v>1</v>
      </c>
      <c r="Y376" s="5" t="n">
        <v>5.04</v>
      </c>
      <c r="Z376" s="5" t="inlineStr"/>
      <c r="AA376" s="5" t="n">
        <v>4779.2</v>
      </c>
      <c r="AB376" s="5" t="n">
        <v>2947.4</v>
      </c>
      <c r="AC376" s="5" t="n">
        <v>5015.7</v>
      </c>
      <c r="AD376" s="5" t="n">
        <v>3003.1</v>
      </c>
      <c r="AE376" s="5" t="inlineStr"/>
      <c r="AF376" s="5">
        <f>IF(AE376="","",IF(OR(AE376=F376,AND(AE376="crane_footing",F376="isolated_footing")),"yes","no"))</f>
        <v/>
      </c>
    </row>
    <row r="377">
      <c r="A377" s="5" t="n">
        <v>376</v>
      </c>
      <c r="B377" s="5" t="inlineStr">
        <is>
          <t>123</t>
        </is>
      </c>
      <c r="C377" s="5" t="inlineStr">
        <is>
          <t>nearest labels in its region</t>
        </is>
      </c>
      <c r="D377" s="5" t="inlineStr">
        <is>
          <t>band</t>
        </is>
      </c>
      <c r="E377" s="5" t="n">
        <v>3</v>
      </c>
      <c r="F377" s="5" t="inlineStr">
        <is>
          <t>grade_beam</t>
        </is>
      </c>
      <c r="G377" s="5" t="inlineStr">
        <is>
          <t>Grade beam LG40x15 8.00 × 0.40 m</t>
        </is>
      </c>
      <c r="H377" s="5" t="inlineStr">
        <is>
          <t>label vote</t>
        </is>
      </c>
      <c r="I377" s="5" t="inlineStr">
        <is>
          <t>LG40x15</t>
        </is>
      </c>
      <c r="J377" s="5" t="inlineStr">
        <is>
          <t>printed label</t>
        </is>
      </c>
      <c r="K377" s="5" t="inlineStr">
        <is>
          <t>LG-40x15</t>
        </is>
      </c>
      <c r="L377" s="5" t="n">
        <v>800</v>
      </c>
      <c r="M377" s="5" t="n">
        <v>40</v>
      </c>
      <c r="N377" s="10">
        <f>IF(AND(ISNUMBER(L377),M377&gt;0),L377/M377,"")</f>
        <v/>
      </c>
      <c r="O377" s="5" t="n">
        <v>3.199</v>
      </c>
      <c r="P377" s="5" t="n">
        <v>79.40000000000001</v>
      </c>
      <c r="Q377" s="5" t="n">
        <v>3</v>
      </c>
      <c r="R377" s="5" t="n">
        <v>0</v>
      </c>
      <c r="S377" s="5" t="n">
        <v>0</v>
      </c>
      <c r="T377" s="5" t="n">
        <v>0</v>
      </c>
      <c r="U377" s="5" t="n">
        <v>0</v>
      </c>
      <c r="V377" s="5" t="n">
        <v>2</v>
      </c>
      <c r="W377" s="5" t="n">
        <v>22</v>
      </c>
      <c r="X377" s="5" t="n">
        <v>2</v>
      </c>
      <c r="Y377" s="5" t="n">
        <v>2.18</v>
      </c>
      <c r="Z377" s="5" t="inlineStr"/>
      <c r="AA377" s="5" t="n">
        <v>4484.4</v>
      </c>
      <c r="AB377" s="5" t="n">
        <v>3307.8</v>
      </c>
      <c r="AC377" s="5" t="n">
        <v>4539.4</v>
      </c>
      <c r="AD377" s="5" t="n">
        <v>3542.1</v>
      </c>
      <c r="AE377" s="5" t="inlineStr"/>
      <c r="AF377" s="5">
        <f>IF(AE377="","",IF(OR(AE377=F377,AND(AE377="crane_footing",F377="isolated_footing")),"yes","no"))</f>
        <v/>
      </c>
    </row>
    <row r="378">
      <c r="A378" s="5" t="n">
        <v>377</v>
      </c>
      <c r="B378" s="5" t="inlineStr">
        <is>
          <t>123</t>
        </is>
      </c>
      <c r="C378" s="5" t="inlineStr">
        <is>
          <t>nearest labels in its region</t>
        </is>
      </c>
      <c r="D378" s="5" t="inlineStr">
        <is>
          <t>band</t>
        </is>
      </c>
      <c r="E378" s="5" t="n">
        <v>3</v>
      </c>
      <c r="F378" s="5" t="inlineStr">
        <is>
          <t>grade_beam</t>
        </is>
      </c>
      <c r="G378" s="5" t="inlineStr">
        <is>
          <t>Grade beam LG40x15 7.95 × 0.40 m</t>
        </is>
      </c>
      <c r="H378" s="5" t="inlineStr">
        <is>
          <t>label vote</t>
        </is>
      </c>
      <c r="I378" s="5" t="inlineStr">
        <is>
          <t>LG40x15</t>
        </is>
      </c>
      <c r="J378" s="5" t="inlineStr">
        <is>
          <t>printed label</t>
        </is>
      </c>
      <c r="K378" s="5" t="inlineStr">
        <is>
          <t>LG-40x15</t>
        </is>
      </c>
      <c r="L378" s="5" t="n">
        <v>795</v>
      </c>
      <c r="M378" s="5" t="n">
        <v>40</v>
      </c>
      <c r="N378" s="10">
        <f>IF(AND(ISNUMBER(L378),M378&gt;0),L378/M378,"")</f>
        <v/>
      </c>
      <c r="O378" s="5" t="n">
        <v>3.18</v>
      </c>
      <c r="P378" s="5" t="n">
        <v>79.40000000000001</v>
      </c>
      <c r="Q378" s="5" t="n">
        <v>1</v>
      </c>
      <c r="R378" s="5" t="n">
        <v>0</v>
      </c>
      <c r="S378" s="5" t="n">
        <v>0</v>
      </c>
      <c r="T378" s="5" t="n">
        <v>0</v>
      </c>
      <c r="U378" s="5" t="n">
        <v>0</v>
      </c>
      <c r="V378" s="5" t="n">
        <v>1</v>
      </c>
      <c r="W378" s="5" t="n">
        <v>5</v>
      </c>
      <c r="X378" s="5" t="n">
        <v>3</v>
      </c>
      <c r="Y378" s="5" t="n">
        <v>4</v>
      </c>
      <c r="Z378" s="5" t="inlineStr"/>
      <c r="AA378" s="5" t="n">
        <v>4412.7</v>
      </c>
      <c r="AB378" s="5" t="n">
        <v>3070.4</v>
      </c>
      <c r="AC378" s="5" t="n">
        <v>4467.4</v>
      </c>
      <c r="AD378" s="5" t="n">
        <v>3303.3</v>
      </c>
      <c r="AE378" s="5" t="inlineStr"/>
      <c r="AF378" s="5">
        <f>IF(AE378="","",IF(OR(AE378=F378,AND(AE378="crane_footing",F378="isolated_footing")),"yes","no"))</f>
        <v/>
      </c>
    </row>
    <row r="379">
      <c r="A379" s="5" t="n">
        <v>378</v>
      </c>
      <c r="B379" s="5" t="inlineStr">
        <is>
          <t>123</t>
        </is>
      </c>
      <c r="C379" s="5" t="inlineStr">
        <is>
          <t>nearest labels in its region</t>
        </is>
      </c>
      <c r="D379" s="5" t="inlineStr">
        <is>
          <t>band</t>
        </is>
      </c>
      <c r="E379" s="5" t="n">
        <v>3</v>
      </c>
      <c r="F379" s="5" t="inlineStr">
        <is>
          <t>grade_beam</t>
        </is>
      </c>
      <c r="G379" s="5" t="inlineStr">
        <is>
          <t>Grade beam LG40x15 6.62 × 0.40 m</t>
        </is>
      </c>
      <c r="H379" s="5" t="inlineStr">
        <is>
          <t>label vote</t>
        </is>
      </c>
      <c r="I379" s="5" t="inlineStr">
        <is>
          <t>LG40x15</t>
        </is>
      </c>
      <c r="J379" s="5" t="inlineStr">
        <is>
          <t>printed label</t>
        </is>
      </c>
      <c r="K379" s="5" t="inlineStr">
        <is>
          <t>LG-40x15</t>
        </is>
      </c>
      <c r="L379" s="5" t="n">
        <v>662</v>
      </c>
      <c r="M379" s="5" t="n">
        <v>40</v>
      </c>
      <c r="N379" s="10">
        <f>IF(AND(ISNUMBER(L379),M379&gt;0),L379/M379,"")</f>
        <v/>
      </c>
      <c r="O379" s="5" t="n">
        <v>2.648</v>
      </c>
      <c r="P379" s="5" t="n">
        <v>79.40000000000001</v>
      </c>
      <c r="Q379" s="5" t="n">
        <v>2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1</v>
      </c>
      <c r="W379" s="5" t="n">
        <v>31</v>
      </c>
      <c r="X379" s="5" t="n">
        <v>1</v>
      </c>
      <c r="Y379" s="5" t="n">
        <v>2.98</v>
      </c>
      <c r="Z379" s="5" t="inlineStr"/>
      <c r="AA379" s="5" t="n">
        <v>4863.2</v>
      </c>
      <c r="AB379" s="5" t="n">
        <v>3277.6</v>
      </c>
      <c r="AC379" s="5" t="n">
        <v>4910.7</v>
      </c>
      <c r="AD379" s="5" t="n">
        <v>3471.9</v>
      </c>
      <c r="AE379" s="5" t="inlineStr"/>
      <c r="AF379" s="5">
        <f>IF(AE379="","",IF(OR(AE379=F379,AND(AE379="crane_footing",F379="isolated_footing")),"yes","no"))</f>
        <v/>
      </c>
    </row>
    <row r="380">
      <c r="A380" s="5" t="n">
        <v>379</v>
      </c>
      <c r="B380" s="5" t="inlineStr">
        <is>
          <t>123</t>
        </is>
      </c>
      <c r="C380" s="5" t="inlineStr">
        <is>
          <t>nearest labels in its region</t>
        </is>
      </c>
      <c r="D380" s="5" t="inlineStr">
        <is>
          <t>band</t>
        </is>
      </c>
      <c r="E380" s="5" t="n">
        <v>3</v>
      </c>
      <c r="F380" s="5" t="inlineStr">
        <is>
          <t>grade_beam</t>
        </is>
      </c>
      <c r="G380" s="5" t="inlineStr">
        <is>
          <t>Grade beam LG40x15 6.62 × 0.40 m</t>
        </is>
      </c>
      <c r="H380" s="5" t="inlineStr">
        <is>
          <t>label vote</t>
        </is>
      </c>
      <c r="I380" s="5" t="inlineStr">
        <is>
          <t>LG40x15</t>
        </is>
      </c>
      <c r="J380" s="5" t="inlineStr">
        <is>
          <t>printed label</t>
        </is>
      </c>
      <c r="K380" s="5" t="inlineStr">
        <is>
          <t>LG-40x15</t>
        </is>
      </c>
      <c r="L380" s="5" t="n">
        <v>662</v>
      </c>
      <c r="M380" s="5" t="n">
        <v>40</v>
      </c>
      <c r="N380" s="10">
        <f>IF(AND(ISNUMBER(L380),M380&gt;0),L380/M380,"")</f>
        <v/>
      </c>
      <c r="O380" s="5" t="n">
        <v>2.648</v>
      </c>
      <c r="P380" s="5" t="n">
        <v>79.3</v>
      </c>
      <c r="Q380" s="5" t="n">
        <v>2</v>
      </c>
      <c r="R380" s="5" t="n">
        <v>1</v>
      </c>
      <c r="S380" s="5" t="n">
        <v>0</v>
      </c>
      <c r="T380" s="5" t="n">
        <v>0</v>
      </c>
      <c r="U380" s="5" t="n">
        <v>0</v>
      </c>
      <c r="V380" s="5" t="n">
        <v>1</v>
      </c>
      <c r="W380" s="5" t="n">
        <v>21</v>
      </c>
      <c r="X380" s="5" t="n">
        <v>1</v>
      </c>
      <c r="Y380" s="5" t="n">
        <v>2.84</v>
      </c>
      <c r="Z380" s="5" t="inlineStr"/>
      <c r="AA380" s="5" t="n">
        <v>4678.7</v>
      </c>
      <c r="AB380" s="5" t="n">
        <v>3312</v>
      </c>
      <c r="AC380" s="5" t="n">
        <v>4726.5</v>
      </c>
      <c r="AD380" s="5" t="n">
        <v>3506.2</v>
      </c>
      <c r="AE380" s="5" t="inlineStr"/>
      <c r="AF380" s="5">
        <f>IF(AE380="","",IF(OR(AE380=F380,AND(AE380="crane_footing",F380="isolated_footing")),"yes","no"))</f>
        <v/>
      </c>
    </row>
    <row r="381">
      <c r="A381" s="5" t="n">
        <v>380</v>
      </c>
      <c r="B381" s="5" t="inlineStr">
        <is>
          <t>123</t>
        </is>
      </c>
      <c r="C381" s="5" t="inlineStr">
        <is>
          <t>nearest labels in its region</t>
        </is>
      </c>
      <c r="D381" s="5" t="inlineStr">
        <is>
          <t>band</t>
        </is>
      </c>
      <c r="E381" s="5" t="n">
        <v>3</v>
      </c>
      <c r="F381" s="5" t="inlineStr">
        <is>
          <t>grade_beam</t>
        </is>
      </c>
      <c r="G381" s="5" t="inlineStr">
        <is>
          <t>Grade beam LG40x15 6.10 × 0.40 m</t>
        </is>
      </c>
      <c r="H381" s="5" t="inlineStr">
        <is>
          <t>label vote</t>
        </is>
      </c>
      <c r="I381" s="5" t="inlineStr">
        <is>
          <t>LG40x15</t>
        </is>
      </c>
      <c r="J381" s="5" t="inlineStr">
        <is>
          <t>printed label</t>
        </is>
      </c>
      <c r="K381" s="5" t="inlineStr">
        <is>
          <t>LG-40x15</t>
        </is>
      </c>
      <c r="L381" s="5" t="n">
        <v>610</v>
      </c>
      <c r="M381" s="5" t="n">
        <v>40</v>
      </c>
      <c r="N381" s="10">
        <f>IF(AND(ISNUMBER(L381),M381&gt;0),L381/M381,"")</f>
        <v/>
      </c>
      <c r="O381" s="5" t="n">
        <v>2.44</v>
      </c>
      <c r="P381" s="5" t="n">
        <v>169.4</v>
      </c>
      <c r="Q381" s="5" t="n">
        <v>1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  <c r="W381" s="5" t="n">
        <v>4</v>
      </c>
      <c r="X381" s="5" t="n">
        <v>2</v>
      </c>
      <c r="Y381" s="5" t="n">
        <v>2.98</v>
      </c>
      <c r="Z381" s="5" t="inlineStr"/>
      <c r="AA381" s="5" t="n">
        <v>4528.4</v>
      </c>
      <c r="AB381" s="5" t="n">
        <v>3454.9</v>
      </c>
      <c r="AC381" s="5" t="n">
        <v>4707.6</v>
      </c>
      <c r="AD381" s="5" t="n">
        <v>3499.5</v>
      </c>
      <c r="AE381" s="5" t="inlineStr"/>
      <c r="AF381" s="5">
        <f>IF(AE381="","",IF(OR(AE381=F381,AND(AE381="crane_footing",F381="isolated_footing")),"yes","no"))</f>
        <v/>
      </c>
    </row>
    <row r="382">
      <c r="A382" s="5" t="n">
        <v>381</v>
      </c>
      <c r="B382" s="5" t="inlineStr">
        <is>
          <t>123</t>
        </is>
      </c>
      <c r="C382" s="5" t="inlineStr">
        <is>
          <t>nearest labels in its region</t>
        </is>
      </c>
      <c r="D382" s="5" t="inlineStr">
        <is>
          <t>band</t>
        </is>
      </c>
      <c r="E382" s="5" t="n">
        <v>3</v>
      </c>
      <c r="F382" s="5" t="inlineStr">
        <is>
          <t>grade_beam</t>
        </is>
      </c>
      <c r="G382" s="5" t="inlineStr">
        <is>
          <t>Grade beam LG40x15 4.50 × 0.40 m</t>
        </is>
      </c>
      <c r="H382" s="5" t="inlineStr">
        <is>
          <t>label vote</t>
        </is>
      </c>
      <c r="I382" s="5" t="inlineStr">
        <is>
          <t>LG40x15</t>
        </is>
      </c>
      <c r="J382" s="5" t="inlineStr">
        <is>
          <t>printed label</t>
        </is>
      </c>
      <c r="K382" s="5" t="inlineStr">
        <is>
          <t>LG-40x15</t>
        </is>
      </c>
      <c r="L382" s="5" t="n">
        <v>450</v>
      </c>
      <c r="M382" s="5" t="n">
        <v>40</v>
      </c>
      <c r="N382" s="10">
        <f>IF(AND(ISNUMBER(L382),M382&gt;0),L382/M382,"")</f>
        <v/>
      </c>
      <c r="O382" s="5" t="n">
        <v>1.8</v>
      </c>
      <c r="P382" s="5" t="n">
        <v>169.4</v>
      </c>
      <c r="Q382" s="5" t="n">
        <v>2</v>
      </c>
      <c r="R382" s="5" t="n">
        <v>1</v>
      </c>
      <c r="S382" s="5" t="n">
        <v>0</v>
      </c>
      <c r="T382" s="5" t="n">
        <v>0</v>
      </c>
      <c r="U382" s="5" t="n">
        <v>0</v>
      </c>
      <c r="V382" s="5" t="n">
        <v>1</v>
      </c>
      <c r="W382" s="5" t="n">
        <v>18</v>
      </c>
      <c r="X382" s="5" t="n">
        <v>0</v>
      </c>
      <c r="Y382" s="5" t="n">
        <v>1.52</v>
      </c>
      <c r="Z382" s="5" t="inlineStr"/>
      <c r="AA382" s="5" t="n">
        <v>4882.8</v>
      </c>
      <c r="AB382" s="5" t="n">
        <v>3142.8</v>
      </c>
      <c r="AC382" s="5" t="n">
        <v>5015.6</v>
      </c>
      <c r="AD382" s="5" t="n">
        <v>3178.9</v>
      </c>
      <c r="AE382" s="5" t="inlineStr"/>
      <c r="AF382" s="5">
        <f>IF(AE382="","",IF(OR(AE382=F382,AND(AE382="crane_footing",F382="isolated_footing")),"yes","no"))</f>
        <v/>
      </c>
    </row>
    <row r="383">
      <c r="A383" s="5" t="n">
        <v>382</v>
      </c>
      <c r="B383" s="5" t="inlineStr">
        <is>
          <t>123</t>
        </is>
      </c>
      <c r="C383" s="5" t="inlineStr">
        <is>
          <t>nearest labels in its region</t>
        </is>
      </c>
      <c r="D383" s="5" t="inlineStr">
        <is>
          <t>band</t>
        </is>
      </c>
      <c r="E383" s="5" t="n">
        <v>3</v>
      </c>
      <c r="F383" s="5" t="inlineStr">
        <is>
          <t>grade_beam</t>
        </is>
      </c>
      <c r="G383" s="5" t="inlineStr">
        <is>
          <t>Grade beam LG40x15 4.40 × 0.40 m</t>
        </is>
      </c>
      <c r="H383" s="5" t="inlineStr">
        <is>
          <t>label vote</t>
        </is>
      </c>
      <c r="I383" s="5" t="inlineStr">
        <is>
          <t>LG40x15</t>
        </is>
      </c>
      <c r="J383" s="5" t="inlineStr">
        <is>
          <t>printed label</t>
        </is>
      </c>
      <c r="K383" s="5" t="inlineStr">
        <is>
          <t>LG-40x15</t>
        </is>
      </c>
      <c r="L383" s="5" t="n">
        <v>440</v>
      </c>
      <c r="M383" s="5" t="n">
        <v>40</v>
      </c>
      <c r="N383" s="10">
        <f>IF(AND(ISNUMBER(L383),M383&gt;0),L383/M383,"")</f>
        <v/>
      </c>
      <c r="O383" s="5" t="n">
        <v>1.76</v>
      </c>
      <c r="P383" s="5" t="n">
        <v>169.4</v>
      </c>
      <c r="Q383" s="5" t="n">
        <v>2</v>
      </c>
      <c r="R383" s="5" t="n">
        <v>1</v>
      </c>
      <c r="S383" s="5" t="n">
        <v>0</v>
      </c>
      <c r="T383" s="5" t="n">
        <v>0</v>
      </c>
      <c r="U383" s="5" t="n">
        <v>0</v>
      </c>
      <c r="V383" s="5" t="n">
        <v>1</v>
      </c>
      <c r="W383" s="5" t="n">
        <v>14</v>
      </c>
      <c r="X383" s="5" t="n">
        <v>1</v>
      </c>
      <c r="Y383" s="5" t="n">
        <v>1.48</v>
      </c>
      <c r="Z383" s="5" t="inlineStr"/>
      <c r="AA383" s="5" t="n">
        <v>4886</v>
      </c>
      <c r="AB383" s="5" t="n">
        <v>3318.4</v>
      </c>
      <c r="AC383" s="5" t="n">
        <v>5015.9</v>
      </c>
      <c r="AD383" s="5" t="n">
        <v>3353.9</v>
      </c>
      <c r="AE383" s="5" t="inlineStr"/>
      <c r="AF383" s="5">
        <f>IF(AE383="","",IF(OR(AE383=F383,AND(AE383="crane_footing",F383="isolated_footing")),"yes","no"))</f>
        <v/>
      </c>
    </row>
    <row r="384">
      <c r="A384" s="5" t="n">
        <v>383</v>
      </c>
      <c r="B384" s="5" t="inlineStr">
        <is>
          <t>123</t>
        </is>
      </c>
      <c r="C384" s="5" t="inlineStr">
        <is>
          <t>nearest labels in its region</t>
        </is>
      </c>
      <c r="D384" s="5" t="inlineStr">
        <is>
          <t>band</t>
        </is>
      </c>
      <c r="E384" s="5" t="n">
        <v>3</v>
      </c>
      <c r="F384" s="5" t="inlineStr">
        <is>
          <t>grade_beam</t>
        </is>
      </c>
      <c r="G384" s="5" t="inlineStr">
        <is>
          <t>Grade beam 1.53 × 0.40 m</t>
        </is>
      </c>
      <c r="H384" s="5" t="inlineStr">
        <is>
          <t>label vote</t>
        </is>
      </c>
      <c r="I384" s="5" t="inlineStr">
        <is>
          <t>(none)</t>
        </is>
      </c>
      <c r="J384" s="5" t="inlineStr"/>
      <c r="K384" s="5" t="inlineStr"/>
      <c r="L384" s="5" t="n">
        <v>153</v>
      </c>
      <c r="M384" s="5" t="n">
        <v>40</v>
      </c>
      <c r="N384" s="10">
        <f>IF(AND(ISNUMBER(L384),M384&gt;0),L384/M384,"")</f>
        <v/>
      </c>
      <c r="O384" s="5" t="n">
        <v>0.612</v>
      </c>
      <c r="P384" s="5" t="n">
        <v>79.40000000000001</v>
      </c>
      <c r="Q384" s="5" t="n">
        <v>0</v>
      </c>
      <c r="R384" s="5" t="n">
        <v>1</v>
      </c>
      <c r="S384" s="5" t="n">
        <v>0</v>
      </c>
      <c r="T384" s="5" t="n">
        <v>0</v>
      </c>
      <c r="U384" s="5" t="n">
        <v>0</v>
      </c>
      <c r="V384" s="5" t="n">
        <v>0</v>
      </c>
      <c r="W384" s="5" t="n">
        <v>1</v>
      </c>
      <c r="X384" s="5" t="n">
        <v>2</v>
      </c>
      <c r="Y384" s="5" t="n">
        <v>0</v>
      </c>
      <c r="Z384" s="5" t="inlineStr"/>
      <c r="AA384" s="5" t="n">
        <v>4401</v>
      </c>
      <c r="AB384" s="5" t="n">
        <v>3072.6</v>
      </c>
      <c r="AC384" s="5" t="n">
        <v>4420.9</v>
      </c>
      <c r="AD384" s="5" t="n">
        <v>3119.1</v>
      </c>
      <c r="AE384" s="5" t="inlineStr"/>
      <c r="AF384" s="5">
        <f>IF(AE384="","",IF(OR(AE384=F384,AND(AE384="crane_footing",F384="isolated_footing")),"yes","no"))</f>
        <v/>
      </c>
    </row>
    <row r="385">
      <c r="A385" s="5" t="n">
        <v>384</v>
      </c>
      <c r="B385" s="5" t="inlineStr">
        <is>
          <t>123</t>
        </is>
      </c>
      <c r="C385" s="5" t="inlineStr">
        <is>
          <t>nearest labels in its region</t>
        </is>
      </c>
      <c r="D385" s="5" t="inlineStr">
        <is>
          <t>stamped_region</t>
        </is>
      </c>
      <c r="E385" s="5" t="n">
        <v>39</v>
      </c>
      <c r="F385" s="5" t="inlineStr">
        <is>
          <t>raft</t>
        </is>
      </c>
      <c r="G385" s="5" t="inlineStr">
        <is>
          <t>Raft Radier 90 11.98 × 10.22 m, 115.5 m²</t>
        </is>
      </c>
      <c r="H385" s="5" t="inlineStr">
        <is>
          <t>label vote</t>
        </is>
      </c>
      <c r="I385" s="5" t="inlineStr">
        <is>
          <t>Radier 90</t>
        </is>
      </c>
      <c r="J385" s="5" t="inlineStr">
        <is>
          <t>printed label</t>
        </is>
      </c>
      <c r="K385" s="5" t="inlineStr">
        <is>
          <t>Radier</t>
        </is>
      </c>
      <c r="L385" s="5" t="n">
        <v>1198</v>
      </c>
      <c r="M385" s="5" t="n">
        <v>1022</v>
      </c>
      <c r="N385" s="10">
        <f>IF(AND(ISNUMBER(L385),M385&gt;0),L385/M385,"")</f>
        <v/>
      </c>
      <c r="O385" s="5" t="n">
        <v>115.482</v>
      </c>
      <c r="P385" s="5" t="n">
        <v>79.40000000000001</v>
      </c>
      <c r="Q385" s="5" t="n">
        <v>12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12</v>
      </c>
      <c r="W385" s="5" t="n">
        <v>279</v>
      </c>
      <c r="X385" s="5" t="n">
        <v>9</v>
      </c>
      <c r="Y385" s="5" t="n"/>
      <c r="Z385" s="5" t="inlineStr">
        <is>
          <t>traced outline</t>
        </is>
      </c>
      <c r="AA385" s="5" t="n">
        <v>4541.1</v>
      </c>
      <c r="AB385" s="5" t="n">
        <v>2929.7</v>
      </c>
      <c r="AC385" s="5" t="n">
        <v>4902.8</v>
      </c>
      <c r="AD385" s="5" t="n">
        <v>3327.6</v>
      </c>
      <c r="AE385" s="5" t="inlineStr"/>
      <c r="AF385" s="5">
        <f>IF(AE385="","",IF(OR(AE385=F385,AND(AE385="crane_footing",F385="isolated_footing")),"yes","no"))</f>
        <v/>
      </c>
    </row>
    <row r="386">
      <c r="A386" s="5" t="n">
        <v>385</v>
      </c>
      <c r="B386" s="5" t="inlineStr">
        <is>
          <t>123</t>
        </is>
      </c>
      <c r="C386" s="5" t="inlineStr">
        <is>
          <t>nearest labels in its region</t>
        </is>
      </c>
      <c r="D386" s="5" t="inlineStr">
        <is>
          <t>outline</t>
        </is>
      </c>
      <c r="E386" s="5" t="n">
        <v>22</v>
      </c>
      <c r="F386" s="5" t="inlineStr">
        <is>
          <t>sump_pit</t>
        </is>
      </c>
      <c r="G386" s="5" t="inlineStr">
        <is>
          <t>Sump pit Fosse 2.90 × 2.40 m</t>
        </is>
      </c>
      <c r="H386" s="5" t="inlineStr">
        <is>
          <t>label vote</t>
        </is>
      </c>
      <c r="I386" s="5" t="inlineStr">
        <is>
          <t>Fosse</t>
        </is>
      </c>
      <c r="J386" s="5" t="inlineStr">
        <is>
          <t>printed label</t>
        </is>
      </c>
      <c r="K386" s="5" t="inlineStr">
        <is>
          <t>FOSSE DE RELEVAGE2.00x1.50x1.50</t>
        </is>
      </c>
      <c r="L386" s="5" t="n">
        <v>290</v>
      </c>
      <c r="M386" s="5" t="n">
        <v>240</v>
      </c>
      <c r="N386" s="10">
        <f>IF(AND(ISNUMBER(L386),M386&gt;0),L386/M386,"")</f>
        <v/>
      </c>
      <c r="O386" s="5" t="n">
        <v>6.961</v>
      </c>
      <c r="P386" s="5" t="n">
        <v>179.9</v>
      </c>
      <c r="Q386" s="5" t="n">
        <v>5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4</v>
      </c>
      <c r="W386" s="5" t="n">
        <v>9</v>
      </c>
      <c r="X386" s="5" t="n">
        <v>0</v>
      </c>
      <c r="Y386" s="5" t="n"/>
      <c r="Z386" s="5" t="inlineStr"/>
      <c r="AA386" s="5" t="n">
        <v>4943.1</v>
      </c>
      <c r="AB386" s="5" t="n">
        <v>3203.7</v>
      </c>
      <c r="AC386" s="5" t="n">
        <v>5028.9</v>
      </c>
      <c r="AD386" s="5" t="n">
        <v>3274.7</v>
      </c>
      <c r="AE386" s="5" t="inlineStr"/>
      <c r="AF386" s="5">
        <f>IF(AE386="","",IF(OR(AE386=F386,AND(AE386="crane_footing",F386="isolated_footing")),"yes","no"))</f>
        <v/>
      </c>
    </row>
    <row r="387">
      <c r="A387" s="5" t="n">
        <v>386</v>
      </c>
      <c r="B387" s="5" t="inlineStr">
        <is>
          <t>123</t>
        </is>
      </c>
      <c r="C387" s="5" t="inlineStr">
        <is>
          <t>nearest labels in its region</t>
        </is>
      </c>
      <c r="D387" s="5" t="inlineStr">
        <is>
          <t>outline</t>
        </is>
      </c>
      <c r="E387" s="5" t="n">
        <v>20</v>
      </c>
      <c r="F387" s="5" t="inlineStr">
        <is>
          <t>unidentified</t>
        </is>
      </c>
      <c r="G387" s="5" t="inlineStr">
        <is>
          <t>C20</t>
        </is>
      </c>
      <c r="H387" s="5" t="inlineStr">
        <is>
          <t>no label votes</t>
        </is>
      </c>
      <c r="I387" s="5" t="inlineStr">
        <is>
          <t>(none)</t>
        </is>
      </c>
      <c r="J387" s="5" t="inlineStr"/>
      <c r="K387" s="5" t="inlineStr"/>
      <c r="L387" s="5" t="n">
        <v>60</v>
      </c>
      <c r="M387" s="5" t="n">
        <v>60</v>
      </c>
      <c r="N387" s="10">
        <f>IF(AND(ISNUMBER(L387),M387&gt;0),L387/M387,"")</f>
        <v/>
      </c>
      <c r="O387" s="5" t="n">
        <v>0.36</v>
      </c>
      <c r="P387" s="5" t="n">
        <v>80.90000000000001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51</v>
      </c>
      <c r="X387" s="5" t="n">
        <v>2</v>
      </c>
      <c r="Y387" s="5" t="n"/>
      <c r="Z387" s="5" t="inlineStr"/>
      <c r="AA387" s="5" t="n">
        <v>4871.7</v>
      </c>
      <c r="AB387" s="5" t="n">
        <v>3338.7</v>
      </c>
      <c r="AC387" s="5" t="n">
        <v>4892</v>
      </c>
      <c r="AD387" s="5" t="n">
        <v>3359</v>
      </c>
      <c r="AE387" s="5" t="inlineStr">
        <is>
          <t>mass_concrete_pad</t>
        </is>
      </c>
      <c r="AF387" s="5">
        <f>IF(AE387="","",IF(OR(AE387=F387,AND(AE387="crane_footing",F387="isolated_footing")),"yes","no"))</f>
        <v/>
      </c>
    </row>
    <row r="388">
      <c r="A388" s="5" t="n">
        <v>387</v>
      </c>
      <c r="B388" s="5" t="inlineStr">
        <is>
          <t>123</t>
        </is>
      </c>
      <c r="C388" s="5" t="inlineStr">
        <is>
          <t>nearest labels</t>
        </is>
      </c>
      <c r="D388" s="5" t="inlineStr">
        <is>
          <t>band</t>
        </is>
      </c>
      <c r="E388" s="5" t="n">
        <v>4</v>
      </c>
      <c r="F388" s="5" t="inlineStr">
        <is>
          <t>unidentified</t>
        </is>
      </c>
      <c r="G388" s="5" t="inlineStr">
        <is>
          <t>C4</t>
        </is>
      </c>
      <c r="H388" s="5" t="inlineStr">
        <is>
          <t>no label votes</t>
        </is>
      </c>
      <c r="I388" s="5" t="inlineStr">
        <is>
          <t>(none)</t>
        </is>
      </c>
      <c r="J388" s="5" t="inlineStr"/>
      <c r="K388" s="5" t="inlineStr"/>
      <c r="L388" s="5" t="n">
        <v>7425</v>
      </c>
      <c r="M388" s="5" t="n">
        <v>48</v>
      </c>
      <c r="N388" s="10">
        <f>IF(AND(ISNUMBER(L388),M388&gt;0),L388/M388,"")</f>
        <v/>
      </c>
      <c r="O388" s="5" t="n">
        <v>36.012</v>
      </c>
      <c r="P388" s="5" t="n">
        <v>90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2</v>
      </c>
      <c r="Y388" s="5" t="n">
        <v>74.25</v>
      </c>
      <c r="Z388" s="5" t="inlineStr"/>
      <c r="AA388" s="5" t="n">
        <v>5187.6</v>
      </c>
      <c r="AB388" s="5" t="n">
        <v>2083.5</v>
      </c>
      <c r="AC388" s="5" t="n">
        <v>5201.9</v>
      </c>
      <c r="AD388" s="5" t="n">
        <v>4275.9</v>
      </c>
      <c r="AE388" s="5" t="inlineStr"/>
      <c r="AF388" s="5">
        <f>IF(AE388="","",IF(OR(AE388=F388,AND(AE388="crane_footing",F388="isolated_footing")),"yes","no"))</f>
        <v/>
      </c>
    </row>
    <row r="389">
      <c r="A389" s="5" t="n">
        <v>388</v>
      </c>
      <c r="B389" s="5" t="inlineStr">
        <is>
          <t>123</t>
        </is>
      </c>
      <c r="C389" s="5" t="inlineStr">
        <is>
          <t>nearest labels</t>
        </is>
      </c>
      <c r="D389" s="5" t="inlineStr">
        <is>
          <t>band</t>
        </is>
      </c>
      <c r="E389" s="5" t="n">
        <v>8</v>
      </c>
      <c r="F389" s="5" t="inlineStr">
        <is>
          <t>unidentified</t>
        </is>
      </c>
      <c r="G389" s="5" t="inlineStr">
        <is>
          <t>C8</t>
        </is>
      </c>
      <c r="H389" s="5" t="inlineStr">
        <is>
          <t>no label votes</t>
        </is>
      </c>
      <c r="I389" s="5" t="inlineStr">
        <is>
          <t>(none)</t>
        </is>
      </c>
      <c r="J389" s="5" t="inlineStr"/>
      <c r="K389" s="5" t="inlineStr"/>
      <c r="L389" s="5" t="n">
        <v>4270</v>
      </c>
      <c r="M389" s="5" t="n">
        <v>100</v>
      </c>
      <c r="N389" s="10">
        <f>IF(AND(ISNUMBER(L389),M389&gt;0),L389/M389,"")</f>
        <v/>
      </c>
      <c r="O389" s="5" t="n">
        <v>42.659</v>
      </c>
      <c r="P389" s="5" t="n">
        <v>90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1</v>
      </c>
      <c r="Y389" s="5" t="n">
        <v>42.7</v>
      </c>
      <c r="Z389" s="5" t="inlineStr"/>
      <c r="AA389" s="5" t="n">
        <v>5202</v>
      </c>
      <c r="AB389" s="5" t="n">
        <v>2606.1</v>
      </c>
      <c r="AC389" s="5" t="n">
        <v>5231.5</v>
      </c>
      <c r="AD389" s="5" t="n">
        <v>3866.9</v>
      </c>
      <c r="AE389" s="5" t="inlineStr"/>
      <c r="AF389" s="5">
        <f>IF(AE389="","",IF(OR(AE389=F389,AND(AE389="crane_footing",F389="isolated_footing")),"yes","no"))</f>
        <v/>
      </c>
    </row>
    <row r="390">
      <c r="A390" s="5" t="n">
        <v>389</v>
      </c>
      <c r="B390" s="5" t="inlineStr">
        <is>
          <t>124</t>
        </is>
      </c>
      <c r="C390" s="5" t="inlineStr">
        <is>
          <t>own label</t>
        </is>
      </c>
      <c r="D390" s="5" t="inlineStr">
        <is>
          <t>solid</t>
        </is>
      </c>
      <c r="E390" s="5" t="n">
        <v>25</v>
      </c>
      <c r="F390" s="5" t="inlineStr">
        <is>
          <t>column</t>
        </is>
      </c>
      <c r="G390" s="5" t="inlineStr">
        <is>
          <t>Column P1/124 1.00 × 0.30 m</t>
        </is>
      </c>
      <c r="H390" s="5" t="inlineStr">
        <is>
          <t>label vote</t>
        </is>
      </c>
      <c r="I390" s="5" t="inlineStr">
        <is>
          <t>P1/124</t>
        </is>
      </c>
      <c r="J390" s="5" t="inlineStr">
        <is>
          <t>printed label</t>
        </is>
      </c>
      <c r="K390" s="5" t="inlineStr">
        <is>
          <t>P1/124/124</t>
        </is>
      </c>
      <c r="L390" s="5" t="n">
        <v>100</v>
      </c>
      <c r="M390" s="5" t="n">
        <v>30</v>
      </c>
      <c r="N390" s="10">
        <f>IF(AND(ISNUMBER(L390),M390&gt;0),L390/M390,"")</f>
        <v/>
      </c>
      <c r="O390" s="5" t="n">
        <v>0.301</v>
      </c>
      <c r="P390" s="5" t="n">
        <v>79.3</v>
      </c>
      <c r="Q390" s="5" t="n">
        <v>0</v>
      </c>
      <c r="R390" s="5" t="n">
        <v>1</v>
      </c>
      <c r="S390" s="5" t="n">
        <v>0</v>
      </c>
      <c r="T390" s="5" t="n">
        <v>0</v>
      </c>
      <c r="U390" s="5" t="n">
        <v>0</v>
      </c>
      <c r="V390" s="5" t="n">
        <v>0</v>
      </c>
      <c r="W390" s="5" t="n">
        <v>0</v>
      </c>
      <c r="X390" s="5" t="n">
        <v>2</v>
      </c>
      <c r="Y390" s="5" t="n"/>
      <c r="Z390" s="5" t="inlineStr"/>
      <c r="AA390" s="5" t="n">
        <v>4070.1</v>
      </c>
      <c r="AB390" s="5" t="n">
        <v>3198.9</v>
      </c>
      <c r="AC390" s="5" t="n">
        <v>4084.3</v>
      </c>
      <c r="AD390" s="5" t="n">
        <v>3229.6</v>
      </c>
      <c r="AE390" s="5" t="inlineStr">
        <is>
          <t>column</t>
        </is>
      </c>
      <c r="AF390" s="5">
        <f>IF(AE390="","",IF(OR(AE390=F390,AND(AE390="crane_footing",F390="isolated_footing")),"yes","no"))</f>
        <v/>
      </c>
    </row>
    <row r="391">
      <c r="A391" s="5" t="n">
        <v>390</v>
      </c>
      <c r="B391" s="5" t="inlineStr">
        <is>
          <t>124</t>
        </is>
      </c>
      <c r="C391" s="5" t="inlineStr">
        <is>
          <t>own label</t>
        </is>
      </c>
      <c r="D391" s="5" t="inlineStr">
        <is>
          <t>solid</t>
        </is>
      </c>
      <c r="E391" s="5" t="n">
        <v>25</v>
      </c>
      <c r="F391" s="5" t="inlineStr">
        <is>
          <t>column</t>
        </is>
      </c>
      <c r="G391" s="5" t="inlineStr">
        <is>
          <t>Column P1/124 1.00 × 0.30 m</t>
        </is>
      </c>
      <c r="H391" s="5" t="inlineStr">
        <is>
          <t>label vote</t>
        </is>
      </c>
      <c r="I391" s="5" t="inlineStr">
        <is>
          <t>P1/124</t>
        </is>
      </c>
      <c r="J391" s="5" t="inlineStr">
        <is>
          <t>printed label</t>
        </is>
      </c>
      <c r="K391" s="5" t="inlineStr">
        <is>
          <t>P1/124/124</t>
        </is>
      </c>
      <c r="L391" s="5" t="n">
        <v>100</v>
      </c>
      <c r="M391" s="5" t="n">
        <v>30</v>
      </c>
      <c r="N391" s="10">
        <f>IF(AND(ISNUMBER(L391),M391&gt;0),L391/M391,"")</f>
        <v/>
      </c>
      <c r="O391" s="5" t="n">
        <v>0.3</v>
      </c>
      <c r="P391" s="5" t="n">
        <v>79.40000000000001</v>
      </c>
      <c r="Q391" s="5" t="n">
        <v>0</v>
      </c>
      <c r="R391" s="5" t="n">
        <v>0</v>
      </c>
      <c r="S391" s="5" t="n">
        <v>0</v>
      </c>
      <c r="T391" s="5" t="n">
        <v>1</v>
      </c>
      <c r="U391" s="5" t="n">
        <v>0</v>
      </c>
      <c r="V391" s="5" t="n">
        <v>0</v>
      </c>
      <c r="W391" s="5" t="n">
        <v>0</v>
      </c>
      <c r="X391" s="5" t="n">
        <v>2</v>
      </c>
      <c r="Y391" s="5" t="n"/>
      <c r="Z391" s="5" t="inlineStr"/>
      <c r="AA391" s="5" t="n">
        <v>4003</v>
      </c>
      <c r="AB391" s="5" t="n">
        <v>3320.2</v>
      </c>
      <c r="AC391" s="5" t="n">
        <v>4017.1</v>
      </c>
      <c r="AD391" s="5" t="n">
        <v>3350.9</v>
      </c>
      <c r="AE391" s="5" t="inlineStr">
        <is>
          <t>column</t>
        </is>
      </c>
      <c r="AF391" s="5">
        <f>IF(AE391="","",IF(OR(AE391=F391,AND(AE391="crane_footing",F391="isolated_footing")),"yes","no"))</f>
        <v/>
      </c>
    </row>
    <row r="392">
      <c r="A392" s="5" t="n">
        <v>391</v>
      </c>
      <c r="B392" s="5" t="inlineStr">
        <is>
          <t>124</t>
        </is>
      </c>
      <c r="C392" s="5" t="inlineStr">
        <is>
          <t>own label</t>
        </is>
      </c>
      <c r="D392" s="5" t="inlineStr">
        <is>
          <t>solid</t>
        </is>
      </c>
      <c r="E392" s="5" t="n">
        <v>25</v>
      </c>
      <c r="F392" s="5" t="inlineStr">
        <is>
          <t>column</t>
        </is>
      </c>
      <c r="G392" s="5" t="inlineStr">
        <is>
          <t>Column P1/124 1.00 × 0.30 m</t>
        </is>
      </c>
      <c r="H392" s="5" t="inlineStr">
        <is>
          <t>label vote</t>
        </is>
      </c>
      <c r="I392" s="5" t="inlineStr">
        <is>
          <t>P1/124</t>
        </is>
      </c>
      <c r="J392" s="5" t="inlineStr">
        <is>
          <t>printed label</t>
        </is>
      </c>
      <c r="K392" s="5" t="inlineStr">
        <is>
          <t>P1/124/124</t>
        </is>
      </c>
      <c r="L392" s="5" t="n">
        <v>100</v>
      </c>
      <c r="M392" s="5" t="n">
        <v>30</v>
      </c>
      <c r="N392" s="10">
        <f>IF(AND(ISNUMBER(L392),M392&gt;0),L392/M392,"")</f>
        <v/>
      </c>
      <c r="O392" s="5" t="n">
        <v>0.3</v>
      </c>
      <c r="P392" s="5" t="n">
        <v>79.40000000000001</v>
      </c>
      <c r="Q392" s="5" t="n">
        <v>0</v>
      </c>
      <c r="R392" s="5" t="n">
        <v>0</v>
      </c>
      <c r="S392" s="5" t="n">
        <v>0</v>
      </c>
      <c r="T392" s="5" t="n">
        <v>1</v>
      </c>
      <c r="U392" s="5" t="n">
        <v>0</v>
      </c>
      <c r="V392" s="5" t="n">
        <v>0</v>
      </c>
      <c r="W392" s="5" t="n">
        <v>0</v>
      </c>
      <c r="X392" s="5" t="n">
        <v>1</v>
      </c>
      <c r="Y392" s="5" t="n"/>
      <c r="Z392" s="5" t="inlineStr"/>
      <c r="AA392" s="5" t="n">
        <v>4089.9</v>
      </c>
      <c r="AB392" s="5" t="n">
        <v>3303.8</v>
      </c>
      <c r="AC392" s="5" t="n">
        <v>4104.1</v>
      </c>
      <c r="AD392" s="5" t="n">
        <v>3334.4</v>
      </c>
      <c r="AE392" s="5" t="inlineStr">
        <is>
          <t>column</t>
        </is>
      </c>
      <c r="AF392" s="5">
        <f>IF(AE392="","",IF(OR(AE392=F392,AND(AE392="crane_footing",F392="isolated_footing")),"yes","no"))</f>
        <v/>
      </c>
    </row>
    <row r="393">
      <c r="A393" s="5" t="n">
        <v>392</v>
      </c>
      <c r="B393" s="5" t="inlineStr">
        <is>
          <t>124</t>
        </is>
      </c>
      <c r="C393" s="5" t="inlineStr">
        <is>
          <t>nearest labels in its region</t>
        </is>
      </c>
      <c r="D393" s="5" t="inlineStr">
        <is>
          <t>solid</t>
        </is>
      </c>
      <c r="E393" s="5" t="n">
        <v>25</v>
      </c>
      <c r="F393" s="5" t="inlineStr">
        <is>
          <t>column</t>
        </is>
      </c>
      <c r="G393" s="5" t="inlineStr">
        <is>
          <t>Column ~P1/124 1.00 × 0.30 m</t>
        </is>
      </c>
      <c r="H393" s="5" t="inlineStr">
        <is>
          <t>label vote</t>
        </is>
      </c>
      <c r="I393" s="5" t="inlineStr">
        <is>
          <t>P1/124</t>
        </is>
      </c>
      <c r="J393" s="5" t="inlineStr">
        <is>
          <t>inferred: the only column type in its building with this size</t>
        </is>
      </c>
      <c r="K393" s="5" t="inlineStr"/>
      <c r="L393" s="5" t="n">
        <v>100</v>
      </c>
      <c r="M393" s="5" t="n">
        <v>30</v>
      </c>
      <c r="N393" s="10">
        <f>IF(AND(ISNUMBER(L393),M393&gt;0),L393/M393,"")</f>
        <v/>
      </c>
      <c r="O393" s="5" t="n">
        <v>0.299</v>
      </c>
      <c r="P393" s="5" t="n">
        <v>79.40000000000001</v>
      </c>
      <c r="Q393" s="5" t="n">
        <v>0</v>
      </c>
      <c r="R393" s="5" t="n">
        <v>1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2</v>
      </c>
      <c r="Y393" s="5" t="n"/>
      <c r="Z393" s="5" t="inlineStr"/>
      <c r="AA393" s="5" t="n">
        <v>3983.3</v>
      </c>
      <c r="AB393" s="5" t="n">
        <v>3215.8</v>
      </c>
      <c r="AC393" s="5" t="n">
        <v>3997.4</v>
      </c>
      <c r="AD393" s="5" t="n">
        <v>3246.4</v>
      </c>
      <c r="AE393" s="5" t="inlineStr">
        <is>
          <t>column</t>
        </is>
      </c>
      <c r="AF393" s="5">
        <f>IF(AE393="","",IF(OR(AE393=F393,AND(AE393="crane_footing",F393="isolated_footing")),"yes","no"))</f>
        <v/>
      </c>
    </row>
    <row r="394">
      <c r="A394" s="5" t="n">
        <v>393</v>
      </c>
      <c r="B394" s="5" t="inlineStr">
        <is>
          <t>124</t>
        </is>
      </c>
      <c r="C394" s="5" t="inlineStr">
        <is>
          <t>own label</t>
        </is>
      </c>
      <c r="D394" s="5" t="inlineStr">
        <is>
          <t>solid</t>
        </is>
      </c>
      <c r="E394" s="5" t="n">
        <v>33</v>
      </c>
      <c r="F394" s="5" t="inlineStr">
        <is>
          <t>shear_wall</t>
        </is>
      </c>
      <c r="G394" s="5" t="inlineStr">
        <is>
          <t>Shear wall V1/124 1.25 × 0.25 m</t>
        </is>
      </c>
      <c r="H394" s="5" t="inlineStr">
        <is>
          <t>label vote</t>
        </is>
      </c>
      <c r="I394" s="5" t="inlineStr">
        <is>
          <t>V1/124</t>
        </is>
      </c>
      <c r="J394" s="5" t="inlineStr">
        <is>
          <t>printed label</t>
        </is>
      </c>
      <c r="K394" s="5" t="inlineStr">
        <is>
          <t>V1/124/124</t>
        </is>
      </c>
      <c r="L394" s="5" t="n">
        <v>125</v>
      </c>
      <c r="M394" s="5" t="n">
        <v>25</v>
      </c>
      <c r="N394" s="10">
        <f>IF(AND(ISNUMBER(L394),M394&gt;0),L394/M394,"")</f>
        <v/>
      </c>
      <c r="O394" s="5" t="n">
        <v>0.313</v>
      </c>
      <c r="P394" s="5" t="n">
        <v>79.40000000000001</v>
      </c>
      <c r="Q394" s="5" t="n">
        <v>1</v>
      </c>
      <c r="R394" s="5" t="n">
        <v>1</v>
      </c>
      <c r="S394" s="5" t="n">
        <v>0</v>
      </c>
      <c r="T394" s="5" t="n">
        <v>0</v>
      </c>
      <c r="U394" s="5" t="n">
        <v>0</v>
      </c>
      <c r="V394" s="5" t="n">
        <v>0</v>
      </c>
      <c r="W394" s="5" t="n">
        <v>2</v>
      </c>
      <c r="X394" s="5" t="n">
        <v>0</v>
      </c>
      <c r="Y394" s="5" t="n"/>
      <c r="Z394" s="5" t="inlineStr"/>
      <c r="AA394" s="5" t="n">
        <v>4284.7</v>
      </c>
      <c r="AB394" s="5" t="n">
        <v>3333.9</v>
      </c>
      <c r="AC394" s="5" t="n">
        <v>4298.9</v>
      </c>
      <c r="AD394" s="5" t="n">
        <v>3371.5</v>
      </c>
      <c r="AE394" s="5" t="inlineStr"/>
      <c r="AF394" s="5">
        <f>IF(AE394="","",IF(OR(AE394=F394,AND(AE394="crane_footing",F394="isolated_footing")),"yes","no"))</f>
        <v/>
      </c>
    </row>
    <row r="395">
      <c r="A395" s="5" t="n">
        <v>394</v>
      </c>
      <c r="B395" s="5" t="inlineStr">
        <is>
          <t>124</t>
        </is>
      </c>
      <c r="C395" s="5" t="inlineStr">
        <is>
          <t>own label</t>
        </is>
      </c>
      <c r="D395" s="5" t="inlineStr">
        <is>
          <t>solid</t>
        </is>
      </c>
      <c r="E395" s="5" t="n">
        <v>29</v>
      </c>
      <c r="F395" s="5" t="inlineStr">
        <is>
          <t>shear_wall</t>
        </is>
      </c>
      <c r="G395" s="5" t="inlineStr">
        <is>
          <t>Shear wall V1/124 1.25 × 0.25 m</t>
        </is>
      </c>
      <c r="H395" s="5" t="inlineStr">
        <is>
          <t>label vote</t>
        </is>
      </c>
      <c r="I395" s="5" t="inlineStr">
        <is>
          <t>V1/124</t>
        </is>
      </c>
      <c r="J395" s="5" t="inlineStr">
        <is>
          <t>printed label</t>
        </is>
      </c>
      <c r="K395" s="5" t="inlineStr">
        <is>
          <t>V1/124/124</t>
        </is>
      </c>
      <c r="L395" s="5" t="n">
        <v>125</v>
      </c>
      <c r="M395" s="5" t="n">
        <v>25</v>
      </c>
      <c r="N395" s="10">
        <f>IF(AND(ISNUMBER(L395),M395&gt;0),L395/M395,"")</f>
        <v/>
      </c>
      <c r="O395" s="5" t="n">
        <v>0.313</v>
      </c>
      <c r="P395" s="5" t="n">
        <v>79.40000000000001</v>
      </c>
      <c r="Q395" s="5" t="n">
        <v>2</v>
      </c>
      <c r="R395" s="5" t="n">
        <v>1</v>
      </c>
      <c r="S395" s="5" t="n">
        <v>0</v>
      </c>
      <c r="T395" s="5" t="n">
        <v>0</v>
      </c>
      <c r="U395" s="5" t="n">
        <v>1</v>
      </c>
      <c r="V395" s="5" t="n">
        <v>0</v>
      </c>
      <c r="W395" s="5" t="n">
        <v>1</v>
      </c>
      <c r="X395" s="5" t="n">
        <v>0</v>
      </c>
      <c r="Y395" s="5" t="n"/>
      <c r="Z395" s="5" t="inlineStr"/>
      <c r="AA395" s="5" t="n">
        <v>3657.3</v>
      </c>
      <c r="AB395" s="5" t="n">
        <v>3670.2</v>
      </c>
      <c r="AC395" s="5" t="n">
        <v>3671.4</v>
      </c>
      <c r="AD395" s="5" t="n">
        <v>3707.8</v>
      </c>
      <c r="AE395" s="5" t="inlineStr"/>
      <c r="AF395" s="5">
        <f>IF(AE395="","",IF(OR(AE395=F395,AND(AE395="crane_footing",F395="isolated_footing")),"yes","no"))</f>
        <v/>
      </c>
    </row>
    <row r="396">
      <c r="A396" s="5" t="n">
        <v>395</v>
      </c>
      <c r="B396" s="5" t="inlineStr">
        <is>
          <t>124</t>
        </is>
      </c>
      <c r="C396" s="5" t="inlineStr">
        <is>
          <t>own label (region says 123)</t>
        </is>
      </c>
      <c r="D396" s="5" t="inlineStr">
        <is>
          <t>solid</t>
        </is>
      </c>
      <c r="E396" s="5" t="n">
        <v>31</v>
      </c>
      <c r="F396" s="5" t="inlineStr">
        <is>
          <t>shear_wall</t>
        </is>
      </c>
      <c r="G396" s="5" t="inlineStr">
        <is>
          <t>Shear wall V1/124 1.25 × 0.25 m</t>
        </is>
      </c>
      <c r="H396" s="5" t="inlineStr">
        <is>
          <t>label vote</t>
        </is>
      </c>
      <c r="I396" s="5" t="inlineStr">
        <is>
          <t>V1/124</t>
        </is>
      </c>
      <c r="J396" s="5" t="inlineStr">
        <is>
          <t>printed label</t>
        </is>
      </c>
      <c r="K396" s="5" t="inlineStr">
        <is>
          <t>V1/124/124</t>
        </is>
      </c>
      <c r="L396" s="5" t="n">
        <v>125</v>
      </c>
      <c r="M396" s="5" t="n">
        <v>25</v>
      </c>
      <c r="N396" s="10">
        <f>IF(AND(ISNUMBER(L396),M396&gt;0),L396/M396,"")</f>
        <v/>
      </c>
      <c r="O396" s="5" t="n">
        <v>0.313</v>
      </c>
      <c r="P396" s="5" t="n">
        <v>79.40000000000001</v>
      </c>
      <c r="Q396" s="5" t="n">
        <v>0</v>
      </c>
      <c r="R396" s="5" t="n">
        <v>1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1</v>
      </c>
      <c r="Y396" s="5" t="n"/>
      <c r="Z396" s="5" t="inlineStr"/>
      <c r="AA396" s="5" t="n">
        <v>4325</v>
      </c>
      <c r="AB396" s="5" t="n">
        <v>3547.5</v>
      </c>
      <c r="AC396" s="5" t="n">
        <v>4339.1</v>
      </c>
      <c r="AD396" s="5" t="n">
        <v>3585.1</v>
      </c>
      <c r="AE396" s="5" t="inlineStr">
        <is>
          <t>shear_wall</t>
        </is>
      </c>
      <c r="AF396" s="5">
        <f>IF(AE396="","",IF(OR(AE396=F396,AND(AE396="crane_footing",F396="isolated_footing")),"yes","no"))</f>
        <v/>
      </c>
    </row>
    <row r="397">
      <c r="A397" s="5" t="n">
        <v>396</v>
      </c>
      <c r="B397" s="5" t="inlineStr">
        <is>
          <t>124</t>
        </is>
      </c>
      <c r="C397" s="5" t="inlineStr">
        <is>
          <t>own label</t>
        </is>
      </c>
      <c r="D397" s="5" t="inlineStr">
        <is>
          <t>solid</t>
        </is>
      </c>
      <c r="E397" s="5" t="n">
        <v>33</v>
      </c>
      <c r="F397" s="5" t="inlineStr">
        <is>
          <t>shear_wall</t>
        </is>
      </c>
      <c r="G397" s="5" t="inlineStr">
        <is>
          <t>Shear wall V2/124 2.00 × 0.25 m</t>
        </is>
      </c>
      <c r="H397" s="5" t="inlineStr">
        <is>
          <t>label vote</t>
        </is>
      </c>
      <c r="I397" s="5" t="inlineStr">
        <is>
          <t>V2/124</t>
        </is>
      </c>
      <c r="J397" s="5" t="inlineStr">
        <is>
          <t>printed label</t>
        </is>
      </c>
      <c r="K397" s="5" t="inlineStr">
        <is>
          <t>V2/124/124</t>
        </is>
      </c>
      <c r="L397" s="5" t="n">
        <v>200</v>
      </c>
      <c r="M397" s="5" t="n">
        <v>25</v>
      </c>
      <c r="N397" s="10">
        <f>IF(AND(ISNUMBER(L397),M397&gt;0),L397/M397,"")</f>
        <v/>
      </c>
      <c r="O397" s="5" t="n">
        <v>0.501</v>
      </c>
      <c r="P397" s="5" t="n">
        <v>169.4</v>
      </c>
      <c r="Q397" s="5" t="n">
        <v>1</v>
      </c>
      <c r="R397" s="5" t="n">
        <v>1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8</v>
      </c>
      <c r="X397" s="5" t="n">
        <v>0</v>
      </c>
      <c r="Y397" s="5" t="n"/>
      <c r="Z397" s="5" t="inlineStr"/>
      <c r="AA397" s="5" t="n">
        <v>4197.5</v>
      </c>
      <c r="AB397" s="5" t="n">
        <v>3339.3</v>
      </c>
      <c r="AC397" s="5" t="n">
        <v>4256.9</v>
      </c>
      <c r="AD397" s="5" t="n">
        <v>3357.4</v>
      </c>
      <c r="AE397" s="5" t="inlineStr"/>
      <c r="AF397" s="5">
        <f>IF(AE397="","",IF(OR(AE397=F397,AND(AE397="crane_footing",F397="isolated_footing")),"yes","no"))</f>
        <v/>
      </c>
    </row>
    <row r="398">
      <c r="A398" s="5" t="n">
        <v>397</v>
      </c>
      <c r="B398" s="5" t="inlineStr">
        <is>
          <t>124</t>
        </is>
      </c>
      <c r="C398" s="5" t="inlineStr">
        <is>
          <t>own label</t>
        </is>
      </c>
      <c r="D398" s="5" t="inlineStr">
        <is>
          <t>solid</t>
        </is>
      </c>
      <c r="E398" s="5" t="n">
        <v>31</v>
      </c>
      <c r="F398" s="5" t="inlineStr">
        <is>
          <t>shear_wall</t>
        </is>
      </c>
      <c r="G398" s="5" t="inlineStr">
        <is>
          <t>Shear wall V3/124 2.00 × 0.25 m</t>
        </is>
      </c>
      <c r="H398" s="5" t="inlineStr">
        <is>
          <t>label vote</t>
        </is>
      </c>
      <c r="I398" s="5" t="inlineStr">
        <is>
          <t>V3/124</t>
        </is>
      </c>
      <c r="J398" s="5" t="inlineStr">
        <is>
          <t>printed label</t>
        </is>
      </c>
      <c r="K398" s="5" t="inlineStr">
        <is>
          <t>V3/124/124</t>
        </is>
      </c>
      <c r="L398" s="5" t="n">
        <v>200</v>
      </c>
      <c r="M398" s="5" t="n">
        <v>25</v>
      </c>
      <c r="N398" s="10">
        <f>IF(AND(ISNUMBER(L398),M398&gt;0),L398/M398,"")</f>
        <v/>
      </c>
      <c r="O398" s="5" t="n">
        <v>0.499</v>
      </c>
      <c r="P398" s="5" t="n">
        <v>79.3</v>
      </c>
      <c r="Q398" s="5" t="n">
        <v>0</v>
      </c>
      <c r="R398" s="5" t="n">
        <v>1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1</v>
      </c>
      <c r="X398" s="5" t="n">
        <v>2</v>
      </c>
      <c r="Y398" s="5" t="n"/>
      <c r="Z398" s="5" t="inlineStr"/>
      <c r="AA398" s="5" t="n">
        <v>4238.9</v>
      </c>
      <c r="AB398" s="5" t="n">
        <v>3090.4</v>
      </c>
      <c r="AC398" s="5" t="n">
        <v>4257.1</v>
      </c>
      <c r="AD398" s="5" t="n">
        <v>3149.9</v>
      </c>
      <c r="AE398" s="5" t="inlineStr">
        <is>
          <t>shear_wall</t>
        </is>
      </c>
      <c r="AF398" s="5">
        <f>IF(AE398="","",IF(OR(AE398=F398,AND(AE398="crane_footing",F398="isolated_footing")),"yes","no"))</f>
        <v/>
      </c>
    </row>
    <row r="399">
      <c r="A399" s="5" t="n">
        <v>398</v>
      </c>
      <c r="B399" s="5" t="inlineStr">
        <is>
          <t>124</t>
        </is>
      </c>
      <c r="C399" s="5" t="inlineStr">
        <is>
          <t>own label</t>
        </is>
      </c>
      <c r="D399" s="5" t="inlineStr">
        <is>
          <t>solid</t>
        </is>
      </c>
      <c r="E399" s="5" t="n">
        <v>38</v>
      </c>
      <c r="F399" s="5" t="inlineStr">
        <is>
          <t>shear_wall</t>
        </is>
      </c>
      <c r="G399" s="5" t="inlineStr">
        <is>
          <t>Shear wall V4/124 2.20 × 0.30 m</t>
        </is>
      </c>
      <c r="H399" s="5" t="inlineStr">
        <is>
          <t>label vote</t>
        </is>
      </c>
      <c r="I399" s="5" t="inlineStr">
        <is>
          <t>V4/124</t>
        </is>
      </c>
      <c r="J399" s="5" t="inlineStr">
        <is>
          <t>printed label</t>
        </is>
      </c>
      <c r="K399" s="5" t="inlineStr">
        <is>
          <t>V4/124/124</t>
        </is>
      </c>
      <c r="L399" s="5" t="n">
        <v>220</v>
      </c>
      <c r="M399" s="5" t="n">
        <v>30</v>
      </c>
      <c r="N399" s="10">
        <f>IF(AND(ISNUMBER(L399),M399&gt;0),L399/M399,"")</f>
        <v/>
      </c>
      <c r="O399" s="5" t="n">
        <v>0.649</v>
      </c>
      <c r="P399" s="5" t="n">
        <v>79.40000000000001</v>
      </c>
      <c r="Q399" s="5" t="n">
        <v>0</v>
      </c>
      <c r="R399" s="5" t="n">
        <v>1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1</v>
      </c>
      <c r="X399" s="5" t="n">
        <v>2</v>
      </c>
      <c r="Y399" s="5" t="n"/>
      <c r="Z399" s="5" t="inlineStr"/>
      <c r="AA399" s="5" t="n">
        <v>3928.7</v>
      </c>
      <c r="AB399" s="5" t="n">
        <v>3149.3</v>
      </c>
      <c r="AC399" s="5" t="n">
        <v>3949.2</v>
      </c>
      <c r="AD399" s="5" t="n">
        <v>3214.7</v>
      </c>
      <c r="AE399" s="5" t="inlineStr">
        <is>
          <t>shear_wall</t>
        </is>
      </c>
      <c r="AF399" s="5">
        <f>IF(AE399="","",IF(OR(AE399=F399,AND(AE399="crane_footing",F399="isolated_footing")),"yes","no"))</f>
        <v/>
      </c>
    </row>
    <row r="400">
      <c r="A400" s="5" t="n">
        <v>399</v>
      </c>
      <c r="B400" s="5" t="inlineStr">
        <is>
          <t>124</t>
        </is>
      </c>
      <c r="C400" s="5" t="inlineStr">
        <is>
          <t>own label</t>
        </is>
      </c>
      <c r="D400" s="5" t="inlineStr">
        <is>
          <t>solid</t>
        </is>
      </c>
      <c r="E400" s="5" t="n">
        <v>38</v>
      </c>
      <c r="F400" s="5" t="inlineStr">
        <is>
          <t>shear_wall</t>
        </is>
      </c>
      <c r="G400" s="5" t="inlineStr">
        <is>
          <t>Shear wall V5/124 3.00 × 0.30 m</t>
        </is>
      </c>
      <c r="H400" s="5" t="inlineStr">
        <is>
          <t>label vote</t>
        </is>
      </c>
      <c r="I400" s="5" t="inlineStr">
        <is>
          <t>V5/124</t>
        </is>
      </c>
      <c r="J400" s="5" t="inlineStr">
        <is>
          <t>printed label</t>
        </is>
      </c>
      <c r="K400" s="5" t="inlineStr">
        <is>
          <t>V5/124/124</t>
        </is>
      </c>
      <c r="L400" s="5" t="n">
        <v>300</v>
      </c>
      <c r="M400" s="5" t="n">
        <v>30</v>
      </c>
      <c r="N400" s="10">
        <f>IF(AND(ISNUMBER(L400),M400&gt;0),L400/M400,"")</f>
        <v/>
      </c>
      <c r="O400" s="5" t="n">
        <v>0.9</v>
      </c>
      <c r="P400" s="5" t="n">
        <v>169.4</v>
      </c>
      <c r="Q400" s="5" t="n">
        <v>0</v>
      </c>
      <c r="R400" s="5" t="n">
        <v>1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2</v>
      </c>
      <c r="X400" s="5" t="n">
        <v>2</v>
      </c>
      <c r="Y400" s="5" t="n"/>
      <c r="Z400" s="5" t="inlineStr"/>
      <c r="AA400" s="5" t="n">
        <v>3737.7</v>
      </c>
      <c r="AB400" s="5" t="n">
        <v>3420.7</v>
      </c>
      <c r="AC400" s="5" t="n">
        <v>3826.4</v>
      </c>
      <c r="AD400" s="5" t="n">
        <v>3445.7</v>
      </c>
      <c r="AE400" s="5" t="inlineStr">
        <is>
          <t>shear_wall</t>
        </is>
      </c>
      <c r="AF400" s="5">
        <f>IF(AE400="","",IF(OR(AE400=F400,AND(AE400="crane_footing",F400="isolated_footing")),"yes","no"))</f>
        <v/>
      </c>
    </row>
    <row r="401">
      <c r="A401" s="5" t="n">
        <v>400</v>
      </c>
      <c r="B401" s="5" t="inlineStr">
        <is>
          <t>124</t>
        </is>
      </c>
      <c r="C401" s="5" t="inlineStr">
        <is>
          <t>own label (region says 122)</t>
        </is>
      </c>
      <c r="D401" s="5" t="inlineStr">
        <is>
          <t>solid</t>
        </is>
      </c>
      <c r="E401" s="5" t="n">
        <v>31</v>
      </c>
      <c r="F401" s="5" t="inlineStr">
        <is>
          <t>shear_wall</t>
        </is>
      </c>
      <c r="G401" s="5" t="inlineStr">
        <is>
          <t>Shear wall V6/124 1.25 × 0.25 m</t>
        </is>
      </c>
      <c r="H401" s="5" t="inlineStr">
        <is>
          <t>label vote</t>
        </is>
      </c>
      <c r="I401" s="5" t="inlineStr">
        <is>
          <t>V6/124</t>
        </is>
      </c>
      <c r="J401" s="5" t="inlineStr">
        <is>
          <t>printed label</t>
        </is>
      </c>
      <c r="K401" s="5" t="inlineStr">
        <is>
          <t>V6/124/124</t>
        </is>
      </c>
      <c r="L401" s="5" t="n">
        <v>125</v>
      </c>
      <c r="M401" s="5" t="n">
        <v>25</v>
      </c>
      <c r="N401" s="10">
        <f>IF(AND(ISNUMBER(L401),M401&gt;0),L401/M401,"")</f>
        <v/>
      </c>
      <c r="O401" s="5" t="n">
        <v>0.312</v>
      </c>
      <c r="P401" s="5" t="n">
        <v>79.40000000000001</v>
      </c>
      <c r="Q401" s="5" t="n">
        <v>0</v>
      </c>
      <c r="R401" s="5" t="n">
        <v>1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2</v>
      </c>
      <c r="Y401" s="5" t="n"/>
      <c r="Z401" s="5" t="inlineStr"/>
      <c r="AA401" s="5" t="n">
        <v>4198</v>
      </c>
      <c r="AB401" s="5" t="n">
        <v>2873.2</v>
      </c>
      <c r="AC401" s="5" t="n">
        <v>4212.1</v>
      </c>
      <c r="AD401" s="5" t="n">
        <v>2910.9</v>
      </c>
      <c r="AE401" s="5" t="inlineStr">
        <is>
          <t>shear_wall</t>
        </is>
      </c>
      <c r="AF401" s="5">
        <f>IF(AE401="","",IF(OR(AE401=F401,AND(AE401="crane_footing",F401="isolated_footing")),"yes","no"))</f>
        <v/>
      </c>
    </row>
    <row r="402">
      <c r="A402" s="5" t="n">
        <v>401</v>
      </c>
      <c r="B402" s="5" t="inlineStr">
        <is>
          <t>124</t>
        </is>
      </c>
      <c r="C402" s="5" t="inlineStr">
        <is>
          <t>own label (region says 122)</t>
        </is>
      </c>
      <c r="D402" s="5" t="inlineStr">
        <is>
          <t>solid</t>
        </is>
      </c>
      <c r="E402" s="5" t="n">
        <v>31</v>
      </c>
      <c r="F402" s="5" t="inlineStr">
        <is>
          <t>shear_wall</t>
        </is>
      </c>
      <c r="G402" s="5" t="inlineStr">
        <is>
          <t>Shear wall V6/124 1.25 × 0.25 m</t>
        </is>
      </c>
      <c r="H402" s="5" t="inlineStr">
        <is>
          <t>label vote</t>
        </is>
      </c>
      <c r="I402" s="5" t="inlineStr">
        <is>
          <t>V6/124</t>
        </is>
      </c>
      <c r="J402" s="5" t="inlineStr">
        <is>
          <t>printed label</t>
        </is>
      </c>
      <c r="K402" s="5" t="inlineStr">
        <is>
          <t>V6/124/124</t>
        </is>
      </c>
      <c r="L402" s="5" t="n">
        <v>125</v>
      </c>
      <c r="M402" s="5" t="n">
        <v>25</v>
      </c>
      <c r="N402" s="10">
        <f>IF(AND(ISNUMBER(L402),M402&gt;0),L402/M402,"")</f>
        <v/>
      </c>
      <c r="O402" s="5" t="n">
        <v>0.312</v>
      </c>
      <c r="P402" s="5" t="n">
        <v>79.40000000000001</v>
      </c>
      <c r="Q402" s="5" t="n">
        <v>0</v>
      </c>
      <c r="R402" s="5" t="n">
        <v>1</v>
      </c>
      <c r="S402" s="5" t="n">
        <v>0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4</v>
      </c>
      <c r="Y402" s="5" t="n"/>
      <c r="Z402" s="5" t="inlineStr"/>
      <c r="AA402" s="5" t="n">
        <v>3526.1</v>
      </c>
      <c r="AB402" s="5" t="n">
        <v>2972.8</v>
      </c>
      <c r="AC402" s="5" t="n">
        <v>3540.1</v>
      </c>
      <c r="AD402" s="5" t="n">
        <v>3010.5</v>
      </c>
      <c r="AE402" s="5" t="inlineStr">
        <is>
          <t>shear_wall</t>
        </is>
      </c>
      <c r="AF402" s="5">
        <f>IF(AE402="","",IF(OR(AE402=F402,AND(AE402="crane_footing",F402="isolated_footing")),"yes","no"))</f>
        <v/>
      </c>
    </row>
    <row r="403">
      <c r="A403" s="5" t="n">
        <v>402</v>
      </c>
      <c r="B403" s="5" t="inlineStr">
        <is>
          <t>124</t>
        </is>
      </c>
      <c r="C403" s="5" t="inlineStr">
        <is>
          <t>own label (region says 122)</t>
        </is>
      </c>
      <c r="D403" s="5" t="inlineStr">
        <is>
          <t>solid</t>
        </is>
      </c>
      <c r="E403" s="5" t="n">
        <v>31</v>
      </c>
      <c r="F403" s="5" t="inlineStr">
        <is>
          <t>shear_wall</t>
        </is>
      </c>
      <c r="G403" s="5" t="inlineStr">
        <is>
          <t>Shear wall V6/124 1.25 × 0.25 m</t>
        </is>
      </c>
      <c r="H403" s="5" t="inlineStr">
        <is>
          <t>label vote</t>
        </is>
      </c>
      <c r="I403" s="5" t="inlineStr">
        <is>
          <t>V6/124</t>
        </is>
      </c>
      <c r="J403" s="5" t="inlineStr">
        <is>
          <t>printed label</t>
        </is>
      </c>
      <c r="K403" s="5" t="inlineStr">
        <is>
          <t>V6/124/124</t>
        </is>
      </c>
      <c r="L403" s="5" t="n">
        <v>125</v>
      </c>
      <c r="M403" s="5" t="n">
        <v>25</v>
      </c>
      <c r="N403" s="10">
        <f>IF(AND(ISNUMBER(L403),M403&gt;0),L403/M403,"")</f>
        <v/>
      </c>
      <c r="O403" s="5" t="n">
        <v>0.312</v>
      </c>
      <c r="P403" s="5" t="n">
        <v>79.40000000000001</v>
      </c>
      <c r="Q403" s="5" t="n">
        <v>0</v>
      </c>
      <c r="R403" s="5" t="n">
        <v>1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1</v>
      </c>
      <c r="X403" s="5" t="n">
        <v>2</v>
      </c>
      <c r="Y403" s="5" t="n"/>
      <c r="Z403" s="5" t="inlineStr"/>
      <c r="AA403" s="5" t="n">
        <v>3980.6</v>
      </c>
      <c r="AB403" s="5" t="n">
        <v>2913.9</v>
      </c>
      <c r="AC403" s="5" t="n">
        <v>3994.7</v>
      </c>
      <c r="AD403" s="5" t="n">
        <v>2951.5</v>
      </c>
      <c r="AE403" s="5" t="inlineStr">
        <is>
          <t>shear_wall</t>
        </is>
      </c>
      <c r="AF403" s="5">
        <f>IF(AE403="","",IF(OR(AE403=F403,AND(AE403="crane_footing",F403="isolated_footing")),"yes","no"))</f>
        <v/>
      </c>
    </row>
    <row r="404">
      <c r="A404" s="5" t="n">
        <v>403</v>
      </c>
      <c r="B404" s="5" t="inlineStr">
        <is>
          <t>124</t>
        </is>
      </c>
      <c r="C404" s="5" t="inlineStr">
        <is>
          <t>own label (region says 122)</t>
        </is>
      </c>
      <c r="D404" s="5" t="inlineStr">
        <is>
          <t>solid</t>
        </is>
      </c>
      <c r="E404" s="5" t="n">
        <v>31</v>
      </c>
      <c r="F404" s="5" t="inlineStr">
        <is>
          <t>shear_wall</t>
        </is>
      </c>
      <c r="G404" s="5" t="inlineStr">
        <is>
          <t>Shear wall V6/124 1.25 × 0.25 m</t>
        </is>
      </c>
      <c r="H404" s="5" t="inlineStr">
        <is>
          <t>label vote</t>
        </is>
      </c>
      <c r="I404" s="5" t="inlineStr">
        <is>
          <t>V6/124</t>
        </is>
      </c>
      <c r="J404" s="5" t="inlineStr">
        <is>
          <t>printed label</t>
        </is>
      </c>
      <c r="K404" s="5" t="inlineStr">
        <is>
          <t>V6/124/124</t>
        </is>
      </c>
      <c r="L404" s="5" t="n">
        <v>125</v>
      </c>
      <c r="M404" s="5" t="n">
        <v>25</v>
      </c>
      <c r="N404" s="10">
        <f>IF(AND(ISNUMBER(L404),M404&gt;0),L404/M404,"")</f>
        <v/>
      </c>
      <c r="O404" s="5" t="n">
        <v>0.312</v>
      </c>
      <c r="P404" s="5" t="n">
        <v>79.40000000000001</v>
      </c>
      <c r="Q404" s="5" t="n">
        <v>0</v>
      </c>
      <c r="R404" s="5" t="n">
        <v>1</v>
      </c>
      <c r="S404" s="5" t="n">
        <v>0</v>
      </c>
      <c r="T404" s="5" t="n">
        <v>0</v>
      </c>
      <c r="U404" s="5" t="n">
        <v>0</v>
      </c>
      <c r="V404" s="5" t="n">
        <v>0</v>
      </c>
      <c r="W404" s="5" t="n">
        <v>2</v>
      </c>
      <c r="X404" s="5" t="n">
        <v>4</v>
      </c>
      <c r="Y404" s="5" t="n"/>
      <c r="Z404" s="5" t="inlineStr"/>
      <c r="AA404" s="5" t="n">
        <v>3754.3</v>
      </c>
      <c r="AB404" s="5" t="n">
        <v>2944.3</v>
      </c>
      <c r="AC404" s="5" t="n">
        <v>3768.4</v>
      </c>
      <c r="AD404" s="5" t="n">
        <v>2981.9</v>
      </c>
      <c r="AE404" s="5" t="inlineStr">
        <is>
          <t>shear_wall</t>
        </is>
      </c>
      <c r="AF404" s="5">
        <f>IF(AE404="","",IF(OR(AE404=F404,AND(AE404="crane_footing",F404="isolated_footing")),"yes","no"))</f>
        <v/>
      </c>
    </row>
    <row r="405">
      <c r="A405" s="5" t="n">
        <v>404</v>
      </c>
      <c r="B405" s="5" t="inlineStr">
        <is>
          <t>124</t>
        </is>
      </c>
      <c r="C405" s="5" t="inlineStr">
        <is>
          <t>own label</t>
        </is>
      </c>
      <c r="D405" s="5" t="inlineStr">
        <is>
          <t>solid</t>
        </is>
      </c>
      <c r="E405" s="5" t="n">
        <v>38</v>
      </c>
      <c r="F405" s="5" t="inlineStr">
        <is>
          <t>shear_wall</t>
        </is>
      </c>
      <c r="G405" s="5" t="inlineStr">
        <is>
          <t>Shear wall V7/124 2.50 × 0.30 m</t>
        </is>
      </c>
      <c r="H405" s="5" t="inlineStr">
        <is>
          <t>label vote</t>
        </is>
      </c>
      <c r="I405" s="5" t="inlineStr">
        <is>
          <t>V7/124</t>
        </is>
      </c>
      <c r="J405" s="5" t="inlineStr">
        <is>
          <t>printed label</t>
        </is>
      </c>
      <c r="K405" s="5" t="inlineStr">
        <is>
          <t>V7/124/124</t>
        </is>
      </c>
      <c r="L405" s="5" t="n">
        <v>250</v>
      </c>
      <c r="M405" s="5" t="n">
        <v>30</v>
      </c>
      <c r="N405" s="10">
        <f>IF(AND(ISNUMBER(L405),M405&gt;0),L405/M405,"")</f>
        <v/>
      </c>
      <c r="O405" s="5" t="n">
        <v>0.75</v>
      </c>
      <c r="P405" s="5" t="n">
        <v>79.40000000000001</v>
      </c>
      <c r="Q405" s="5" t="n">
        <v>0</v>
      </c>
      <c r="R405" s="5" t="n">
        <v>1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3</v>
      </c>
      <c r="X405" s="5" t="n">
        <v>2</v>
      </c>
      <c r="Y405" s="5" t="n"/>
      <c r="Z405" s="5" t="inlineStr"/>
      <c r="AA405" s="5" t="n">
        <v>3743.9</v>
      </c>
      <c r="AB405" s="5" t="n">
        <v>3191</v>
      </c>
      <c r="AC405" s="5" t="n">
        <v>3766.2</v>
      </c>
      <c r="AD405" s="5" t="n">
        <v>3265.2</v>
      </c>
      <c r="AE405" s="5" t="inlineStr">
        <is>
          <t>shear_wall</t>
        </is>
      </c>
      <c r="AF405" s="5">
        <f>IF(AE405="","",IF(OR(AE405=F405,AND(AE405="crane_footing",F405="isolated_footing")),"yes","no"))</f>
        <v/>
      </c>
    </row>
    <row r="406">
      <c r="A406" s="5" t="n">
        <v>405</v>
      </c>
      <c r="B406" s="5" t="inlineStr">
        <is>
          <t>124</t>
        </is>
      </c>
      <c r="C406" s="5" t="inlineStr">
        <is>
          <t>own label</t>
        </is>
      </c>
      <c r="D406" s="5" t="inlineStr">
        <is>
          <t>solid</t>
        </is>
      </c>
      <c r="E406" s="5" t="n">
        <v>38</v>
      </c>
      <c r="F406" s="5" t="inlineStr">
        <is>
          <t>shear_wall</t>
        </is>
      </c>
      <c r="G406" s="5" t="inlineStr">
        <is>
          <t>Shear wall V7/124 2.50 × 0.30 m</t>
        </is>
      </c>
      <c r="H406" s="5" t="inlineStr">
        <is>
          <t>label vote</t>
        </is>
      </c>
      <c r="I406" s="5" t="inlineStr">
        <is>
          <t>V7/124</t>
        </is>
      </c>
      <c r="J406" s="5" t="inlineStr">
        <is>
          <t>printed label</t>
        </is>
      </c>
      <c r="K406" s="5" t="inlineStr">
        <is>
          <t>V7/124/124</t>
        </is>
      </c>
      <c r="L406" s="5" t="n">
        <v>250</v>
      </c>
      <c r="M406" s="5" t="n">
        <v>30</v>
      </c>
      <c r="N406" s="10">
        <f>IF(AND(ISNUMBER(L406),M406&gt;0),L406/M406,"")</f>
        <v/>
      </c>
      <c r="O406" s="5" t="n">
        <v>0.75</v>
      </c>
      <c r="P406" s="5" t="n">
        <v>79.40000000000001</v>
      </c>
      <c r="Q406" s="5" t="n">
        <v>0</v>
      </c>
      <c r="R406" s="5" t="n">
        <v>1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2</v>
      </c>
      <c r="X406" s="5" t="n">
        <v>2</v>
      </c>
      <c r="Y406" s="5" t="n"/>
      <c r="Z406" s="5" t="inlineStr"/>
      <c r="AA406" s="5" t="n">
        <v>3818</v>
      </c>
      <c r="AB406" s="5" t="n">
        <v>3580.2</v>
      </c>
      <c r="AC406" s="5" t="n">
        <v>3840.2</v>
      </c>
      <c r="AD406" s="5" t="n">
        <v>3654.4</v>
      </c>
      <c r="AE406" s="5" t="inlineStr">
        <is>
          <t>shear_wall</t>
        </is>
      </c>
      <c r="AF406" s="5">
        <f>IF(AE406="","",IF(OR(AE406=F406,AND(AE406="crane_footing",F406="isolated_footing")),"yes","no"))</f>
        <v/>
      </c>
    </row>
    <row r="407">
      <c r="A407" s="5" t="n">
        <v>406</v>
      </c>
      <c r="B407" s="5" t="inlineStr">
        <is>
          <t>124</t>
        </is>
      </c>
      <c r="C407" s="5" t="inlineStr">
        <is>
          <t>own label</t>
        </is>
      </c>
      <c r="D407" s="5" t="inlineStr">
        <is>
          <t>solid</t>
        </is>
      </c>
      <c r="E407" s="5" t="n">
        <v>38</v>
      </c>
      <c r="F407" s="5" t="inlineStr">
        <is>
          <t>shear_wall</t>
        </is>
      </c>
      <c r="G407" s="5" t="inlineStr">
        <is>
          <t>Shear wall V8/124 1.25 × 0.30 m</t>
        </is>
      </c>
      <c r="H407" s="5" t="inlineStr">
        <is>
          <t>label vote</t>
        </is>
      </c>
      <c r="I407" s="5" t="inlineStr">
        <is>
          <t>V8/124</t>
        </is>
      </c>
      <c r="J407" s="5" t="inlineStr">
        <is>
          <t>printed label</t>
        </is>
      </c>
      <c r="K407" s="5" t="inlineStr">
        <is>
          <t>V8/124/124</t>
        </is>
      </c>
      <c r="L407" s="5" t="n">
        <v>125</v>
      </c>
      <c r="M407" s="5" t="n">
        <v>30</v>
      </c>
      <c r="N407" s="10">
        <f>IF(AND(ISNUMBER(L407),M407&gt;0),L407/M407,"")</f>
        <v/>
      </c>
      <c r="O407" s="5" t="n">
        <v>0.376</v>
      </c>
      <c r="P407" s="5" t="n">
        <v>79.3</v>
      </c>
      <c r="Q407" s="5" t="n">
        <v>0</v>
      </c>
      <c r="R407" s="5" t="n">
        <v>1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1</v>
      </c>
      <c r="X407" s="5" t="n">
        <v>4</v>
      </c>
      <c r="Y407" s="5" t="n"/>
      <c r="Z407" s="5" t="inlineStr"/>
      <c r="AA407" s="5" t="n">
        <v>3571.8</v>
      </c>
      <c r="AB407" s="5" t="n">
        <v>3215.9</v>
      </c>
      <c r="AC407" s="5" t="n">
        <v>3587.4</v>
      </c>
      <c r="AD407" s="5" t="n">
        <v>3253.8</v>
      </c>
      <c r="AE407" s="5" t="inlineStr">
        <is>
          <t>shear_wall</t>
        </is>
      </c>
      <c r="AF407" s="5">
        <f>IF(AE407="","",IF(OR(AE407=F407,AND(AE407="crane_footing",F407="isolated_footing")),"yes","no"))</f>
        <v/>
      </c>
    </row>
    <row r="408">
      <c r="A408" s="5" t="n">
        <v>407</v>
      </c>
      <c r="B408" s="5" t="inlineStr">
        <is>
          <t>124</t>
        </is>
      </c>
      <c r="C408" s="5" t="inlineStr">
        <is>
          <t>own label</t>
        </is>
      </c>
      <c r="D408" s="5" t="inlineStr">
        <is>
          <t>solid</t>
        </is>
      </c>
      <c r="E408" s="5" t="n">
        <v>33</v>
      </c>
      <c r="F408" s="5" t="inlineStr">
        <is>
          <t>shear_wall</t>
        </is>
      </c>
      <c r="G408" s="5" t="inlineStr">
        <is>
          <t>Shear wall V8/124 1.25 × 0.30 m</t>
        </is>
      </c>
      <c r="H408" s="5" t="inlineStr">
        <is>
          <t>label vote</t>
        </is>
      </c>
      <c r="I408" s="5" t="inlineStr">
        <is>
          <t>V8/124</t>
        </is>
      </c>
      <c r="J408" s="5" t="inlineStr">
        <is>
          <t>printed label</t>
        </is>
      </c>
      <c r="K408" s="5" t="inlineStr">
        <is>
          <t>V8/124/124</t>
        </is>
      </c>
      <c r="L408" s="5" t="n">
        <v>125</v>
      </c>
      <c r="M408" s="5" t="n">
        <v>30</v>
      </c>
      <c r="N408" s="10">
        <f>IF(AND(ISNUMBER(L408),M408&gt;0),L408/M408,"")</f>
        <v/>
      </c>
      <c r="O408" s="5" t="n">
        <v>0.375</v>
      </c>
      <c r="P408" s="5" t="n">
        <v>79.3</v>
      </c>
      <c r="Q408" s="5" t="n">
        <v>1</v>
      </c>
      <c r="R408" s="5" t="n">
        <v>1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1</v>
      </c>
      <c r="X408" s="5" t="n">
        <v>4</v>
      </c>
      <c r="Y408" s="5" t="n"/>
      <c r="Z408" s="5" t="inlineStr"/>
      <c r="AA408" s="5" t="n">
        <v>3617.4</v>
      </c>
      <c r="AB408" s="5" t="n">
        <v>3458.2</v>
      </c>
      <c r="AC408" s="5" t="n">
        <v>3633</v>
      </c>
      <c r="AD408" s="5" t="n">
        <v>3496.1</v>
      </c>
      <c r="AE408" s="5" t="inlineStr"/>
      <c r="AF408" s="5">
        <f>IF(AE408="","",IF(OR(AE408=F408,AND(AE408="crane_footing",F408="isolated_footing")),"yes","no"))</f>
        <v/>
      </c>
    </row>
    <row r="409">
      <c r="A409" s="5" t="n">
        <v>408</v>
      </c>
      <c r="B409" s="5" t="inlineStr">
        <is>
          <t>124</t>
        </is>
      </c>
      <c r="C409" s="5" t="inlineStr">
        <is>
          <t>nearest labels in its region</t>
        </is>
      </c>
      <c r="D409" s="5" t="inlineStr">
        <is>
          <t>solid</t>
        </is>
      </c>
      <c r="E409" s="5" t="n">
        <v>37</v>
      </c>
      <c r="F409" s="5" t="inlineStr">
        <is>
          <t>core_wall</t>
        </is>
      </c>
      <c r="G409" s="5" t="inlineStr">
        <is>
          <t>Core wall 3.42 × 0.25 m</t>
        </is>
      </c>
      <c r="H409" s="5" t="inlineStr">
        <is>
          <t>rule: unlabelled interior wall, no V type of its size</t>
        </is>
      </c>
      <c r="I409" s="5" t="inlineStr">
        <is>
          <t>(none)</t>
        </is>
      </c>
      <c r="J409" s="5" t="inlineStr">
        <is>
          <t>no shear_wall type in its building has this size</t>
        </is>
      </c>
      <c r="K409" s="5" t="inlineStr"/>
      <c r="L409" s="5" t="n">
        <v>342</v>
      </c>
      <c r="M409" s="5" t="n">
        <v>25</v>
      </c>
      <c r="N409" s="10">
        <f>IF(AND(ISNUMBER(L409),M409&gt;0),L409/M409,"")</f>
        <v/>
      </c>
      <c r="O409" s="5" t="n">
        <v>0.856</v>
      </c>
      <c r="P409" s="5" t="n">
        <v>79.40000000000001</v>
      </c>
      <c r="Q409" s="5" t="n">
        <v>2</v>
      </c>
      <c r="R409" s="5" t="n">
        <v>0</v>
      </c>
      <c r="S409" s="5" t="n">
        <v>0</v>
      </c>
      <c r="T409" s="5" t="n">
        <v>1</v>
      </c>
      <c r="U409" s="5" t="n">
        <v>0</v>
      </c>
      <c r="V409" s="5" t="n">
        <v>0</v>
      </c>
      <c r="W409" s="5" t="n">
        <v>2</v>
      </c>
      <c r="X409" s="5" t="n">
        <v>1</v>
      </c>
      <c r="Y409" s="5" t="n"/>
      <c r="Z409" s="5" t="inlineStr"/>
      <c r="AA409" s="5" t="n">
        <v>4043.6</v>
      </c>
      <c r="AB409" s="5" t="n">
        <v>3528</v>
      </c>
      <c r="AC409" s="5" t="n">
        <v>4069.4</v>
      </c>
      <c r="AD409" s="5" t="n">
        <v>3628.4</v>
      </c>
      <c r="AE409" s="5" t="inlineStr"/>
      <c r="AF409" s="5">
        <f>IF(AE409="","",IF(OR(AE409=F409,AND(AE409="crane_footing",F409="isolated_footing")),"yes","no"))</f>
        <v/>
      </c>
    </row>
    <row r="410">
      <c r="A410" s="5" t="n">
        <v>409</v>
      </c>
      <c r="B410" s="5" t="inlineStr">
        <is>
          <t>124</t>
        </is>
      </c>
      <c r="C410" s="5" t="inlineStr">
        <is>
          <t>nearest labels in its region</t>
        </is>
      </c>
      <c r="D410" s="5" t="inlineStr">
        <is>
          <t>solid</t>
        </is>
      </c>
      <c r="E410" s="5" t="n">
        <v>26</v>
      </c>
      <c r="F410" s="5" t="inlineStr">
        <is>
          <t>core_wall</t>
        </is>
      </c>
      <c r="G410" s="5" t="inlineStr">
        <is>
          <t>Core wall 3.17 × 0.25 m</t>
        </is>
      </c>
      <c r="H410" s="5" t="inlineStr">
        <is>
          <t>rule: unlabelled interior wall, no V type of its size</t>
        </is>
      </c>
      <c r="I410" s="5" t="inlineStr">
        <is>
          <t>(none)</t>
        </is>
      </c>
      <c r="J410" s="5" t="inlineStr"/>
      <c r="K410" s="5" t="inlineStr"/>
      <c r="L410" s="5" t="n">
        <v>317</v>
      </c>
      <c r="M410" s="5" t="n">
        <v>25</v>
      </c>
      <c r="N410" s="10">
        <f>IF(AND(ISNUMBER(L410),M410&gt;0),L410/M410,"")</f>
        <v/>
      </c>
      <c r="O410" s="5" t="n">
        <v>0.793</v>
      </c>
      <c r="P410" s="5" t="n">
        <v>79.3</v>
      </c>
      <c r="Q410" s="5" t="n">
        <v>1</v>
      </c>
      <c r="R410" s="5" t="n">
        <v>0</v>
      </c>
      <c r="S410" s="5" t="n">
        <v>0</v>
      </c>
      <c r="T410" s="5" t="n">
        <v>1</v>
      </c>
      <c r="U410" s="5" t="n">
        <v>0</v>
      </c>
      <c r="V410" s="5" t="n">
        <v>0</v>
      </c>
      <c r="W410" s="5" t="n">
        <v>3</v>
      </c>
      <c r="X410" s="5" t="n">
        <v>0</v>
      </c>
      <c r="Y410" s="5" t="n"/>
      <c r="Z410" s="5" t="inlineStr"/>
      <c r="AA410" s="5" t="n">
        <v>4104.3</v>
      </c>
      <c r="AB410" s="5" t="n">
        <v>3380.7</v>
      </c>
      <c r="AC410" s="5" t="n">
        <v>4128.9</v>
      </c>
      <c r="AD410" s="5" t="n">
        <v>3474.2</v>
      </c>
      <c r="AE410" s="5" t="inlineStr"/>
      <c r="AF410" s="5">
        <f>IF(AE410="","",IF(OR(AE410=F410,AND(AE410="crane_footing",F410="isolated_footing")),"yes","no"))</f>
        <v/>
      </c>
    </row>
    <row r="411">
      <c r="A411" s="5" t="n">
        <v>410</v>
      </c>
      <c r="B411" s="5" t="inlineStr">
        <is>
          <t>124</t>
        </is>
      </c>
      <c r="C411" s="5" t="inlineStr">
        <is>
          <t>nearest labels in its region</t>
        </is>
      </c>
      <c r="D411" s="5" t="inlineStr">
        <is>
          <t>solid</t>
        </is>
      </c>
      <c r="E411" s="5" t="n">
        <v>26</v>
      </c>
      <c r="F411" s="5" t="inlineStr">
        <is>
          <t>core_wall</t>
        </is>
      </c>
      <c r="G411" s="5" t="inlineStr">
        <is>
          <t>Core wall 1.09 × 0.25 m</t>
        </is>
      </c>
      <c r="H411" s="5" t="inlineStr">
        <is>
          <t>rule: unlabelled interior wall, no V type of its size</t>
        </is>
      </c>
      <c r="I411" s="5" t="inlineStr">
        <is>
          <t>(none)</t>
        </is>
      </c>
      <c r="J411" s="5" t="inlineStr"/>
      <c r="K411" s="5" t="inlineStr"/>
      <c r="L411" s="5" t="n">
        <v>109</v>
      </c>
      <c r="M411" s="5" t="n">
        <v>25</v>
      </c>
      <c r="N411" s="10">
        <f>IF(AND(ISNUMBER(L411),M411&gt;0),L411/M411,"")</f>
        <v/>
      </c>
      <c r="O411" s="5" t="n">
        <v>0.274</v>
      </c>
      <c r="P411" s="5" t="n">
        <v>169.6</v>
      </c>
      <c r="Q411" s="5" t="n">
        <v>0</v>
      </c>
      <c r="R411" s="5" t="n">
        <v>0</v>
      </c>
      <c r="S411" s="5" t="n">
        <v>0</v>
      </c>
      <c r="T411" s="5" t="n">
        <v>1</v>
      </c>
      <c r="U411" s="5" t="n">
        <v>0</v>
      </c>
      <c r="V411" s="5" t="n">
        <v>0</v>
      </c>
      <c r="W411" s="5" t="n">
        <v>1</v>
      </c>
      <c r="X411" s="5" t="n">
        <v>0</v>
      </c>
      <c r="Y411" s="5" t="n"/>
      <c r="Z411" s="5" t="inlineStr"/>
      <c r="AA411" s="5" t="n">
        <v>4060.7</v>
      </c>
      <c r="AB411" s="5" t="n">
        <v>3371.2</v>
      </c>
      <c r="AC411" s="5" t="n">
        <v>4093.7</v>
      </c>
      <c r="AD411" s="5" t="n">
        <v>3384.3</v>
      </c>
      <c r="AE411" s="5" t="inlineStr"/>
      <c r="AF411" s="5">
        <f>IF(AE411="","",IF(OR(AE411=F411,AND(AE411="crane_footing",F411="isolated_footing")),"yes","no"))</f>
        <v/>
      </c>
    </row>
    <row r="412">
      <c r="A412" s="5" t="n">
        <v>411</v>
      </c>
      <c r="B412" s="5" t="inlineStr">
        <is>
          <t>124</t>
        </is>
      </c>
      <c r="C412" s="5" t="inlineStr">
        <is>
          <t>nearest labels in its region</t>
        </is>
      </c>
      <c r="D412" s="5" t="inlineStr">
        <is>
          <t>solid</t>
        </is>
      </c>
      <c r="E412" s="5" t="n">
        <v>28</v>
      </c>
      <c r="F412" s="5" t="inlineStr">
        <is>
          <t>core_wall</t>
        </is>
      </c>
      <c r="G412" s="5" t="inlineStr">
        <is>
          <t>Core wall 4.30 × 0.25 m</t>
        </is>
      </c>
      <c r="H412" s="5" t="inlineStr">
        <is>
          <t>rule: unlabelled interior wall, no V type of its size</t>
        </is>
      </c>
      <c r="I412" s="5" t="inlineStr">
        <is>
          <t>(none)</t>
        </is>
      </c>
      <c r="J412" s="5" t="inlineStr">
        <is>
          <t>no shear_wall type in its building has this size</t>
        </is>
      </c>
      <c r="K412" s="5" t="inlineStr"/>
      <c r="L412" s="5" t="n">
        <v>430</v>
      </c>
      <c r="M412" s="5" t="n">
        <v>25</v>
      </c>
      <c r="N412" s="10">
        <f>IF(AND(ISNUMBER(L412),M412&gt;0),L412/M412,"")</f>
        <v/>
      </c>
      <c r="O412" s="5" t="n">
        <v>1.079</v>
      </c>
      <c r="P412" s="5" t="n">
        <v>79.3</v>
      </c>
      <c r="Q412" s="5" t="n">
        <v>2</v>
      </c>
      <c r="R412" s="5" t="n">
        <v>0</v>
      </c>
      <c r="S412" s="5" t="n">
        <v>0</v>
      </c>
      <c r="T412" s="5" t="n">
        <v>1</v>
      </c>
      <c r="U412" s="5" t="n">
        <v>0</v>
      </c>
      <c r="V412" s="5" t="n">
        <v>1</v>
      </c>
      <c r="W412" s="5" t="n">
        <v>4</v>
      </c>
      <c r="X412" s="5" t="n">
        <v>0</v>
      </c>
      <c r="Y412" s="5" t="n"/>
      <c r="Z412" s="5" t="inlineStr"/>
      <c r="AA412" s="5" t="n">
        <v>4124.1</v>
      </c>
      <c r="AB412" s="5" t="n">
        <v>3485.9</v>
      </c>
      <c r="AC412" s="5" t="n">
        <v>4154.9</v>
      </c>
      <c r="AD412" s="5" t="n">
        <v>3612</v>
      </c>
      <c r="AE412" s="5" t="inlineStr"/>
      <c r="AF412" s="5">
        <f>IF(AE412="","",IF(OR(AE412=F412,AND(AE412="crane_footing",F412="isolated_footing")),"yes","no"))</f>
        <v/>
      </c>
    </row>
    <row r="413">
      <c r="A413" s="5" t="n">
        <v>412</v>
      </c>
      <c r="B413" s="5" t="inlineStr">
        <is>
          <t>124</t>
        </is>
      </c>
      <c r="C413" s="5" t="inlineStr">
        <is>
          <t>nearest labels in its region</t>
        </is>
      </c>
      <c r="D413" s="5" t="inlineStr">
        <is>
          <t>solid</t>
        </is>
      </c>
      <c r="E413" s="5" t="n">
        <v>26</v>
      </c>
      <c r="F413" s="5" t="inlineStr">
        <is>
          <t>core_wall</t>
        </is>
      </c>
      <c r="G413" s="5" t="inlineStr">
        <is>
          <t>Core wall 2.29 × 0.25 m</t>
        </is>
      </c>
      <c r="H413" s="5" t="inlineStr">
        <is>
          <t>rule: unlabelled interior wall, no V type of its size</t>
        </is>
      </c>
      <c r="I413" s="5" t="inlineStr">
        <is>
          <t>(none)</t>
        </is>
      </c>
      <c r="J413" s="5" t="inlineStr"/>
      <c r="K413" s="5" t="inlineStr"/>
      <c r="L413" s="5" t="n">
        <v>229</v>
      </c>
      <c r="M413" s="5" t="n">
        <v>25</v>
      </c>
      <c r="N413" s="10">
        <f>IF(AND(ISNUMBER(L413),M413&gt;0),L413/M413,"")</f>
        <v/>
      </c>
      <c r="O413" s="5" t="n">
        <v>0.575</v>
      </c>
      <c r="P413" s="5" t="n">
        <v>169.4</v>
      </c>
      <c r="Q413" s="5" t="n">
        <v>0</v>
      </c>
      <c r="R413" s="5" t="n">
        <v>0</v>
      </c>
      <c r="S413" s="5" t="n">
        <v>0</v>
      </c>
      <c r="T413" s="5" t="n">
        <v>1</v>
      </c>
      <c r="U413" s="5" t="n">
        <v>0</v>
      </c>
      <c r="V413" s="5" t="n">
        <v>0</v>
      </c>
      <c r="W413" s="5" t="n">
        <v>1</v>
      </c>
      <c r="X413" s="5" t="n">
        <v>0</v>
      </c>
      <c r="Y413" s="5" t="n"/>
      <c r="Z413" s="5" t="inlineStr"/>
      <c r="AA413" s="5" t="n">
        <v>4045.6</v>
      </c>
      <c r="AB413" s="5" t="n">
        <v>3476.4</v>
      </c>
      <c r="AC413" s="5" t="n">
        <v>4113.6</v>
      </c>
      <c r="AD413" s="5" t="n">
        <v>3496</v>
      </c>
      <c r="AE413" s="5" t="inlineStr"/>
      <c r="AF413" s="5">
        <f>IF(AE413="","",IF(OR(AE413=F413,AND(AE413="crane_footing",F413="isolated_footing")),"yes","no"))</f>
        <v/>
      </c>
    </row>
    <row r="414">
      <c r="A414" s="5" t="n">
        <v>413</v>
      </c>
      <c r="B414" s="5" t="inlineStr">
        <is>
          <t>124</t>
        </is>
      </c>
      <c r="C414" s="5" t="inlineStr">
        <is>
          <t>nearest labels in its region</t>
        </is>
      </c>
      <c r="D414" s="5" t="inlineStr">
        <is>
          <t>solid</t>
        </is>
      </c>
      <c r="E414" s="5" t="n">
        <v>34</v>
      </c>
      <c r="F414" s="5" t="inlineStr">
        <is>
          <t>core_wall</t>
        </is>
      </c>
      <c r="G414" s="5" t="inlineStr">
        <is>
          <t>Core wall 8.16 × 0.25 m</t>
        </is>
      </c>
      <c r="H414" s="5" t="inlineStr">
        <is>
          <t>rule: unlabelled interior wall, no V type of its size</t>
        </is>
      </c>
      <c r="I414" s="5" t="inlineStr">
        <is>
          <t>(none)</t>
        </is>
      </c>
      <c r="J414" s="5" t="inlineStr">
        <is>
          <t>no shear_wall type in its building has this size</t>
        </is>
      </c>
      <c r="K414" s="5" t="inlineStr"/>
      <c r="L414" s="5" t="n">
        <v>816</v>
      </c>
      <c r="M414" s="5" t="n">
        <v>25</v>
      </c>
      <c r="N414" s="10">
        <f>IF(AND(ISNUMBER(L414),M414&gt;0),L414/M414,"")</f>
        <v/>
      </c>
      <c r="O414" s="5" t="n">
        <v>2.026</v>
      </c>
      <c r="P414" s="5" t="n">
        <v>79.40000000000001</v>
      </c>
      <c r="Q414" s="5" t="n">
        <v>5</v>
      </c>
      <c r="R414" s="5" t="n">
        <v>0</v>
      </c>
      <c r="S414" s="5" t="n">
        <v>0</v>
      </c>
      <c r="T414" s="5" t="n">
        <v>1</v>
      </c>
      <c r="U414" s="5" t="n">
        <v>0</v>
      </c>
      <c r="V414" s="5" t="n">
        <v>2</v>
      </c>
      <c r="W414" s="5" t="n">
        <v>7</v>
      </c>
      <c r="X414" s="5" t="n">
        <v>0</v>
      </c>
      <c r="Y414" s="5" t="n"/>
      <c r="Z414" s="5" t="inlineStr"/>
      <c r="AA414" s="5" t="n">
        <v>4102.8</v>
      </c>
      <c r="AB414" s="5" t="n">
        <v>3374</v>
      </c>
      <c r="AC414" s="5" t="n">
        <v>4154.2</v>
      </c>
      <c r="AD414" s="5" t="n">
        <v>3612.1</v>
      </c>
      <c r="AE414" s="5" t="inlineStr"/>
      <c r="AF414" s="5">
        <f>IF(AE414="","",IF(OR(AE414=F414,AND(AE414="crane_footing",F414="isolated_footing")),"yes","no"))</f>
        <v/>
      </c>
    </row>
    <row r="415">
      <c r="A415" s="5" t="n">
        <v>414</v>
      </c>
      <c r="B415" s="5" t="inlineStr">
        <is>
          <t>124</t>
        </is>
      </c>
      <c r="C415" s="5" t="inlineStr">
        <is>
          <t>nearest labels in its region</t>
        </is>
      </c>
      <c r="D415" s="5" t="inlineStr">
        <is>
          <t>cross_hatch</t>
        </is>
      </c>
      <c r="E415" s="5" t="n">
        <v>10</v>
      </c>
      <c r="F415" s="5" t="inlineStr">
        <is>
          <t>core_wall</t>
        </is>
      </c>
      <c r="G415" s="5" t="inlineStr">
        <is>
          <t>Core wall 1.22 × 0.20 m</t>
        </is>
      </c>
      <c r="H415" s="5" t="inlineStr">
        <is>
          <t>rule: unlabelled interior wall, no V type of its size</t>
        </is>
      </c>
      <c r="I415" s="5" t="inlineStr">
        <is>
          <t>(none)</t>
        </is>
      </c>
      <c r="J415" s="5" t="inlineStr"/>
      <c r="K415" s="5" t="inlineStr"/>
      <c r="L415" s="5" t="n">
        <v>122</v>
      </c>
      <c r="M415" s="5" t="n">
        <v>20</v>
      </c>
      <c r="N415" s="10">
        <f>IF(AND(ISNUMBER(L415),M415&gt;0),L415/M415,"")</f>
        <v/>
      </c>
      <c r="O415" s="5" t="n">
        <v>0.541</v>
      </c>
      <c r="P415" s="5" t="n">
        <v>169.5</v>
      </c>
      <c r="Q415" s="5" t="n">
        <v>2</v>
      </c>
      <c r="R415" s="5" t="n">
        <v>0</v>
      </c>
      <c r="S415" s="5" t="n">
        <v>0</v>
      </c>
      <c r="T415" s="5" t="n">
        <v>1</v>
      </c>
      <c r="U415" s="5" t="n">
        <v>0</v>
      </c>
      <c r="V415" s="5" t="n">
        <v>0</v>
      </c>
      <c r="W415" s="5" t="n">
        <v>3</v>
      </c>
      <c r="X415" s="5" t="n">
        <v>2</v>
      </c>
      <c r="Y415" s="5" t="n"/>
      <c r="Z415" s="5" t="inlineStr"/>
      <c r="AA415" s="5" t="n">
        <v>4011.5</v>
      </c>
      <c r="AB415" s="5" t="n">
        <v>3305.5</v>
      </c>
      <c r="AC415" s="5" t="n">
        <v>4091</v>
      </c>
      <c r="AD415" s="5" t="n">
        <v>3325.9</v>
      </c>
      <c r="AE415" s="5" t="inlineStr"/>
      <c r="AF415" s="5">
        <f>IF(AE415="","",IF(OR(AE415=F415,AND(AE415="crane_footing",F415="isolated_footing")),"yes","no"))</f>
        <v/>
      </c>
    </row>
    <row r="416">
      <c r="A416" s="5" t="n">
        <v>415</v>
      </c>
      <c r="B416" s="5" t="inlineStr">
        <is>
          <t>124</t>
        </is>
      </c>
      <c r="C416" s="5" t="inlineStr">
        <is>
          <t>nearest labels in its region</t>
        </is>
      </c>
      <c r="D416" s="5" t="inlineStr">
        <is>
          <t>cross_hatch</t>
        </is>
      </c>
      <c r="E416" s="5" t="n">
        <v>10</v>
      </c>
      <c r="F416" s="5" t="inlineStr">
        <is>
          <t>core_wall</t>
        </is>
      </c>
      <c r="G416" s="5" t="inlineStr">
        <is>
          <t>Core wall 1.26 × 0.20 m</t>
        </is>
      </c>
      <c r="H416" s="5" t="inlineStr">
        <is>
          <t>rule: unlabelled interior wall, no V type of its size</t>
        </is>
      </c>
      <c r="I416" s="5" t="inlineStr">
        <is>
          <t>(none)</t>
        </is>
      </c>
      <c r="J416" s="5" t="inlineStr"/>
      <c r="K416" s="5" t="inlineStr"/>
      <c r="L416" s="5" t="n">
        <v>126</v>
      </c>
      <c r="M416" s="5" t="n">
        <v>20</v>
      </c>
      <c r="N416" s="10">
        <f>IF(AND(ISNUMBER(L416),M416&gt;0),L416/M416,"")</f>
        <v/>
      </c>
      <c r="O416" s="5" t="n">
        <v>0.675</v>
      </c>
      <c r="P416" s="5" t="n">
        <v>79.40000000000001</v>
      </c>
      <c r="Q416" s="5" t="n">
        <v>1</v>
      </c>
      <c r="R416" s="5" t="n">
        <v>0</v>
      </c>
      <c r="S416" s="5" t="n">
        <v>0</v>
      </c>
      <c r="T416" s="5" t="n">
        <v>1</v>
      </c>
      <c r="U416" s="5" t="n">
        <v>0</v>
      </c>
      <c r="V416" s="5" t="n">
        <v>0</v>
      </c>
      <c r="W416" s="5" t="n">
        <v>2</v>
      </c>
      <c r="X416" s="5" t="n">
        <v>0</v>
      </c>
      <c r="Y416" s="5" t="n"/>
      <c r="Z416" s="5" t="inlineStr"/>
      <c r="AA416" s="5" t="n">
        <v>4052.5</v>
      </c>
      <c r="AB416" s="5" t="n">
        <v>3385</v>
      </c>
      <c r="AC416" s="5" t="n">
        <v>4076.6</v>
      </c>
      <c r="AD416" s="5" t="n">
        <v>3484</v>
      </c>
      <c r="AE416" s="5" t="inlineStr"/>
      <c r="AF416" s="5">
        <f>IF(AE416="","",IF(OR(AE416=F416,AND(AE416="crane_footing",F416="isolated_footing")),"yes","no"))</f>
        <v/>
      </c>
    </row>
    <row r="417">
      <c r="A417" s="5" t="n">
        <v>416</v>
      </c>
      <c r="B417" s="5" t="inlineStr">
        <is>
          <t>124</t>
        </is>
      </c>
      <c r="C417" s="5" t="inlineStr">
        <is>
          <t>nearest labels in its region</t>
        </is>
      </c>
      <c r="D417" s="5" t="inlineStr">
        <is>
          <t>outline</t>
        </is>
      </c>
      <c r="E417" s="5" t="n">
        <v>18</v>
      </c>
      <c r="F417" s="5" t="inlineStr">
        <is>
          <t>core_wall</t>
        </is>
      </c>
      <c r="G417" s="5" t="inlineStr">
        <is>
          <t>Core wall 1.16 × 0.20 m</t>
        </is>
      </c>
      <c r="H417" s="5" t="inlineStr">
        <is>
          <t>rule: unlabelled interior wall, no V type of its size (drawn as an outline with a pattern inside)</t>
        </is>
      </c>
      <c r="I417" s="5" t="inlineStr">
        <is>
          <t>(none)</t>
        </is>
      </c>
      <c r="J417" s="5" t="inlineStr"/>
      <c r="K417" s="5" t="inlineStr"/>
      <c r="L417" s="5" t="n">
        <v>116</v>
      </c>
      <c r="M417" s="5" t="n">
        <v>20</v>
      </c>
      <c r="N417" s="10">
        <f>IF(AND(ISNUMBER(L417),M417&gt;0),L417/M417,"")</f>
        <v/>
      </c>
      <c r="O417" s="5" t="n">
        <v>0.231</v>
      </c>
      <c r="P417" s="5" t="n">
        <v>79.5</v>
      </c>
      <c r="Q417" s="5" t="n">
        <v>2</v>
      </c>
      <c r="R417" s="5" t="n">
        <v>0</v>
      </c>
      <c r="S417" s="5" t="n">
        <v>0</v>
      </c>
      <c r="T417" s="5" t="n">
        <v>1</v>
      </c>
      <c r="U417" s="5" t="n">
        <v>0</v>
      </c>
      <c r="V417" s="5" t="n">
        <v>0</v>
      </c>
      <c r="W417" s="5" t="n">
        <v>4</v>
      </c>
      <c r="X417" s="5" t="n">
        <v>0</v>
      </c>
      <c r="Y417" s="5" t="n"/>
      <c r="Z417" s="5" t="inlineStr"/>
      <c r="AA417" s="5" t="n">
        <v>4096.8</v>
      </c>
      <c r="AB417" s="5" t="n">
        <v>3333.1</v>
      </c>
      <c r="AC417" s="5" t="n">
        <v>4108.9</v>
      </c>
      <c r="AD417" s="5" t="n">
        <v>3367.7</v>
      </c>
      <c r="AE417" s="5" t="inlineStr"/>
      <c r="AF417" s="5">
        <f>IF(AE417="","",IF(OR(AE417=F417,AND(AE417="crane_footing",F417="isolated_footing")),"yes","no"))</f>
        <v/>
      </c>
    </row>
    <row r="418">
      <c r="A418" s="5" t="n">
        <v>417</v>
      </c>
      <c r="B418" s="5" t="inlineStr">
        <is>
          <t>124</t>
        </is>
      </c>
      <c r="C418" s="5" t="inlineStr">
        <is>
          <t>nearest labels in its region</t>
        </is>
      </c>
      <c r="D418" s="5" t="inlineStr">
        <is>
          <t>cross_hatch</t>
        </is>
      </c>
      <c r="E418" s="5" t="n">
        <v>10</v>
      </c>
      <c r="F418" s="5" t="inlineStr">
        <is>
          <t>core_wall</t>
        </is>
      </c>
      <c r="G418" s="5" t="inlineStr">
        <is>
          <t>Core wall 4.83 × 0.20 m</t>
        </is>
      </c>
      <c r="H418" s="5" t="inlineStr">
        <is>
          <t>rule: unlabelled interior wall, no V type of its size</t>
        </is>
      </c>
      <c r="I418" s="5" t="inlineStr">
        <is>
          <t>(none)</t>
        </is>
      </c>
      <c r="J418" s="5" t="inlineStr"/>
      <c r="K418" s="5" t="inlineStr"/>
      <c r="L418" s="5" t="n">
        <v>483</v>
      </c>
      <c r="M418" s="5" t="n">
        <v>20</v>
      </c>
      <c r="N418" s="10">
        <f>IF(AND(ISNUMBER(L418),M418&gt;0),L418/M418,"")</f>
        <v/>
      </c>
      <c r="O418" s="5" t="n">
        <v>0.965</v>
      </c>
      <c r="P418" s="5" t="n">
        <v>79.40000000000001</v>
      </c>
      <c r="Q418" s="5" t="n">
        <v>1</v>
      </c>
      <c r="R418" s="5" t="n">
        <v>0</v>
      </c>
      <c r="S418" s="5" t="n">
        <v>0</v>
      </c>
      <c r="T418" s="5" t="n">
        <v>1</v>
      </c>
      <c r="U418" s="5" t="n">
        <v>0</v>
      </c>
      <c r="V418" s="5" t="n">
        <v>0</v>
      </c>
      <c r="W418" s="5" t="n">
        <v>5</v>
      </c>
      <c r="X418" s="5" t="n">
        <v>0</v>
      </c>
      <c r="Y418" s="5" t="n"/>
      <c r="Z418" s="5" t="inlineStr"/>
      <c r="AA418" s="5" t="n">
        <v>4009.9</v>
      </c>
      <c r="AB418" s="5" t="n">
        <v>3349.5</v>
      </c>
      <c r="AC418" s="5" t="n">
        <v>4041.9</v>
      </c>
      <c r="AD418" s="5" t="n">
        <v>3490.6</v>
      </c>
      <c r="AE418" s="5" t="inlineStr"/>
      <c r="AF418" s="5">
        <f>IF(AE418="","",IF(OR(AE418=F418,AND(AE418="crane_footing",F418="isolated_footing")),"yes","no"))</f>
        <v/>
      </c>
    </row>
    <row r="419">
      <c r="A419" s="5" t="n">
        <v>418</v>
      </c>
      <c r="B419" s="5" t="inlineStr">
        <is>
          <t>124</t>
        </is>
      </c>
      <c r="C419" s="5" t="inlineStr">
        <is>
          <t>nearest labels in its region</t>
        </is>
      </c>
      <c r="D419" s="5" t="inlineStr">
        <is>
          <t>solid</t>
        </is>
      </c>
      <c r="E419" s="5" t="n">
        <v>30</v>
      </c>
      <c r="F419" s="5" t="inlineStr">
        <is>
          <t>retaining_wall</t>
        </is>
      </c>
      <c r="G419" s="5" t="inlineStr">
        <is>
          <t>Retaining wall ~VP20 6.04 × 0.20 m</t>
        </is>
      </c>
      <c r="H419" s="5" t="inlineStr">
        <is>
          <t>rule: unlabelled wall along the building edge or on a strip footing</t>
        </is>
      </c>
      <c r="I419" s="5" t="inlineStr">
        <is>
          <t>VP20</t>
        </is>
      </c>
      <c r="J419" s="5" t="inlineStr">
        <is>
          <t>inferred: the thickness of this retaining-wall type</t>
        </is>
      </c>
      <c r="K419" s="5" t="inlineStr"/>
      <c r="L419" s="5" t="n">
        <v>604</v>
      </c>
      <c r="M419" s="5" t="n">
        <v>20</v>
      </c>
      <c r="N419" s="10">
        <f>IF(AND(ISNUMBER(L419),M419&gt;0),L419/M419,"")</f>
        <v/>
      </c>
      <c r="O419" s="5" t="n">
        <v>1.2</v>
      </c>
      <c r="P419" s="5" t="n">
        <v>79.3</v>
      </c>
      <c r="Q419" s="5" t="n">
        <v>2</v>
      </c>
      <c r="R419" s="5" t="n">
        <v>0</v>
      </c>
      <c r="S419" s="5" t="n">
        <v>0</v>
      </c>
      <c r="T419" s="5" t="n">
        <v>0</v>
      </c>
      <c r="U419" s="5" t="n">
        <v>1</v>
      </c>
      <c r="V419" s="5" t="n">
        <v>0</v>
      </c>
      <c r="W419" s="5" t="n">
        <v>3</v>
      </c>
      <c r="X419" s="5" t="n">
        <v>2</v>
      </c>
      <c r="Y419" s="5" t="n"/>
      <c r="Z419" s="5" t="inlineStr"/>
      <c r="AA419" s="5" t="n">
        <v>3624.3</v>
      </c>
      <c r="AB419" s="5" t="n">
        <v>3495</v>
      </c>
      <c r="AC419" s="5" t="n">
        <v>3663.1</v>
      </c>
      <c r="AD419" s="5" t="n">
        <v>3671.5</v>
      </c>
      <c r="AE419" s="5" t="inlineStr"/>
      <c r="AF419" s="5">
        <f>IF(AE419="","",IF(OR(AE419=F419,AND(AE419="crane_footing",F419="isolated_footing")),"yes","no"))</f>
        <v/>
      </c>
    </row>
    <row r="420">
      <c r="A420" s="5" t="n">
        <v>419</v>
      </c>
      <c r="B420" s="5" t="inlineStr">
        <is>
          <t>124</t>
        </is>
      </c>
      <c r="C420" s="5" t="inlineStr">
        <is>
          <t>nearest labels in its region</t>
        </is>
      </c>
      <c r="D420" s="5" t="inlineStr">
        <is>
          <t>outline</t>
        </is>
      </c>
      <c r="E420" s="5" t="n">
        <v>18</v>
      </c>
      <c r="F420" s="5" t="inlineStr">
        <is>
          <t>retaining_wall</t>
        </is>
      </c>
      <c r="G420" s="5" t="inlineStr">
        <is>
          <t>Retaining wall ~VP20 1.09 × 0.20 m</t>
        </is>
      </c>
      <c r="H420" s="5" t="inlineStr">
        <is>
          <t>rule: unlabelled wall along the building edge or on a strip footing (drawn as an outline with a pattern inside)</t>
        </is>
      </c>
      <c r="I420" s="5" t="inlineStr">
        <is>
          <t>VP20</t>
        </is>
      </c>
      <c r="J420" s="5" t="inlineStr">
        <is>
          <t>inferred: the thickness of this retaining-wall type</t>
        </is>
      </c>
      <c r="K420" s="5" t="inlineStr"/>
      <c r="L420" s="5" t="n">
        <v>109</v>
      </c>
      <c r="M420" s="5" t="n">
        <v>20</v>
      </c>
      <c r="N420" s="10">
        <f>IF(AND(ISNUMBER(L420),M420&gt;0),L420/M420,"")</f>
        <v/>
      </c>
      <c r="O420" s="5" t="n">
        <v>0.217</v>
      </c>
      <c r="P420" s="5" t="n">
        <v>79.09999999999999</v>
      </c>
      <c r="Q420" s="5" t="n">
        <v>1</v>
      </c>
      <c r="R420" s="5" t="n">
        <v>0</v>
      </c>
      <c r="S420" s="5" t="n">
        <v>0</v>
      </c>
      <c r="T420" s="5" t="n">
        <v>1</v>
      </c>
      <c r="U420" s="5" t="n">
        <v>1</v>
      </c>
      <c r="V420" s="5" t="n">
        <v>0</v>
      </c>
      <c r="W420" s="5" t="n">
        <v>4</v>
      </c>
      <c r="X420" s="5" t="n">
        <v>0</v>
      </c>
      <c r="Y420" s="5" t="n"/>
      <c r="Z420" s="5" t="inlineStr"/>
      <c r="AA420" s="5" t="n">
        <v>4037.5</v>
      </c>
      <c r="AB420" s="5" t="n">
        <v>3496.8</v>
      </c>
      <c r="AC420" s="5" t="n">
        <v>4049.4</v>
      </c>
      <c r="AD420" s="5" t="n">
        <v>3529.3</v>
      </c>
      <c r="AE420" s="5" t="inlineStr"/>
      <c r="AF420" s="5">
        <f>IF(AE420="","",IF(OR(AE420=F420,AND(AE420="crane_footing",F420="isolated_footing")),"yes","no"))</f>
        <v/>
      </c>
    </row>
    <row r="421">
      <c r="A421" s="5" t="n">
        <v>420</v>
      </c>
      <c r="B421" s="5" t="inlineStr">
        <is>
          <t>124</t>
        </is>
      </c>
      <c r="C421" s="5" t="inlineStr">
        <is>
          <t>nearest labels in its region</t>
        </is>
      </c>
      <c r="D421" s="5" t="inlineStr">
        <is>
          <t>solid</t>
        </is>
      </c>
      <c r="E421" s="5" t="n">
        <v>29</v>
      </c>
      <c r="F421" s="5" t="inlineStr">
        <is>
          <t>retaining_wall</t>
        </is>
      </c>
      <c r="G421" s="5" t="inlineStr">
        <is>
          <t>Retaining wall ~VP25 2.95 × 0.25 m</t>
        </is>
      </c>
      <c r="H421" s="5" t="inlineStr">
        <is>
          <t>rule: unlabelled wall along the building edge or on a strip footing</t>
        </is>
      </c>
      <c r="I421" s="5" t="inlineStr">
        <is>
          <t>VP25</t>
        </is>
      </c>
      <c r="J421" s="5" t="inlineStr">
        <is>
          <t>inferred: the thickness of this retaining-wall type</t>
        </is>
      </c>
      <c r="K421" s="5" t="inlineStr"/>
      <c r="L421" s="5" t="n">
        <v>295</v>
      </c>
      <c r="M421" s="5" t="n">
        <v>25</v>
      </c>
      <c r="N421" s="10">
        <f>IF(AND(ISNUMBER(L421),M421&gt;0),L421/M421,"")</f>
        <v/>
      </c>
      <c r="O421" s="5" t="n">
        <v>0.75</v>
      </c>
      <c r="P421" s="5" t="n">
        <v>169.1</v>
      </c>
      <c r="Q421" s="5" t="n">
        <v>4</v>
      </c>
      <c r="R421" s="5" t="n">
        <v>0</v>
      </c>
      <c r="S421" s="5" t="n">
        <v>0</v>
      </c>
      <c r="T421" s="5" t="n">
        <v>1</v>
      </c>
      <c r="U421" s="5" t="n">
        <v>1</v>
      </c>
      <c r="V421" s="5" t="n">
        <v>0</v>
      </c>
      <c r="W421" s="5" t="n">
        <v>2</v>
      </c>
      <c r="X421" s="5" t="n">
        <v>1</v>
      </c>
      <c r="Y421" s="5" t="n"/>
      <c r="Z421" s="5" t="inlineStr"/>
      <c r="AA421" s="5" t="n">
        <v>4062.1</v>
      </c>
      <c r="AB421" s="5" t="n">
        <v>3612</v>
      </c>
      <c r="AC421" s="5" t="n">
        <v>4149.1</v>
      </c>
      <c r="AD421" s="5" t="n">
        <v>3635.8</v>
      </c>
      <c r="AE421" s="5" t="inlineStr"/>
      <c r="AF421" s="5">
        <f>IF(AE421="","",IF(OR(AE421=F421,AND(AE421="crane_footing",F421="isolated_footing")),"yes","no"))</f>
        <v/>
      </c>
    </row>
    <row r="422">
      <c r="A422" s="5" t="n">
        <v>421</v>
      </c>
      <c r="B422" s="5" t="inlineStr">
        <is>
          <t>124</t>
        </is>
      </c>
      <c r="C422" s="5" t="inlineStr">
        <is>
          <t>nearest labels in its region</t>
        </is>
      </c>
      <c r="D422" s="5" t="inlineStr">
        <is>
          <t>solid</t>
        </is>
      </c>
      <c r="E422" s="5" t="n">
        <v>30</v>
      </c>
      <c r="F422" s="5" t="inlineStr">
        <is>
          <t>retaining_wall</t>
        </is>
      </c>
      <c r="G422" s="5" t="inlineStr">
        <is>
          <t>Retaining wall ~VP25 16.67 × 0.25 m</t>
        </is>
      </c>
      <c r="H422" s="5" t="inlineStr">
        <is>
          <t>rule: unlabelled wall along the building edge or on a strip footing</t>
        </is>
      </c>
      <c r="I422" s="5" t="inlineStr">
        <is>
          <t>VP25</t>
        </is>
      </c>
      <c r="J422" s="5" t="inlineStr">
        <is>
          <t>inferred: the thickness of this retaining-wall type</t>
        </is>
      </c>
      <c r="K422" s="5" t="inlineStr"/>
      <c r="L422" s="5" t="n">
        <v>1667</v>
      </c>
      <c r="M422" s="5" t="n">
        <v>25</v>
      </c>
      <c r="N422" s="10">
        <f>IF(AND(ISNUMBER(L422),M422&gt;0),L422/M422,"")</f>
        <v/>
      </c>
      <c r="O422" s="5" t="n">
        <v>4.16</v>
      </c>
      <c r="P422" s="5" t="n">
        <v>169.3</v>
      </c>
      <c r="Q422" s="5" t="n">
        <v>4</v>
      </c>
      <c r="R422" s="5" t="n">
        <v>0</v>
      </c>
      <c r="S422" s="5" t="n">
        <v>0</v>
      </c>
      <c r="T422" s="5" t="n">
        <v>0</v>
      </c>
      <c r="U422" s="5" t="n">
        <v>1</v>
      </c>
      <c r="V422" s="5" t="n">
        <v>1</v>
      </c>
      <c r="W422" s="5" t="n">
        <v>11</v>
      </c>
      <c r="X422" s="5" t="n">
        <v>2</v>
      </c>
      <c r="Y422" s="5" t="n"/>
      <c r="Z422" s="5" t="inlineStr"/>
      <c r="AA422" s="5" t="n">
        <v>3663.3</v>
      </c>
      <c r="AB422" s="5" t="n">
        <v>3612.1</v>
      </c>
      <c r="AC422" s="5" t="n">
        <v>4148.4</v>
      </c>
      <c r="AD422" s="5" t="n">
        <v>3710.4</v>
      </c>
      <c r="AE422" s="5" t="inlineStr"/>
      <c r="AF422" s="5">
        <f>IF(AE422="","",IF(OR(AE422=F422,AND(AE422="crane_footing",F422="isolated_footing")),"yes","no"))</f>
        <v/>
      </c>
    </row>
    <row r="423">
      <c r="A423" s="5" t="n">
        <v>422</v>
      </c>
      <c r="B423" s="5" t="inlineStr">
        <is>
          <t>124</t>
        </is>
      </c>
      <c r="C423" s="5" t="inlineStr">
        <is>
          <t>nearest labels in its region</t>
        </is>
      </c>
      <c r="D423" s="5" t="inlineStr">
        <is>
          <t>solid</t>
        </is>
      </c>
      <c r="E423" s="5" t="n">
        <v>34</v>
      </c>
      <c r="F423" s="5" t="inlineStr">
        <is>
          <t>retaining_wall</t>
        </is>
      </c>
      <c r="G423" s="5" t="inlineStr">
        <is>
          <t>Retaining wall VP25 6.31 × 0.25 m</t>
        </is>
      </c>
      <c r="H423" s="5" t="inlineStr">
        <is>
          <t>its own label (the cluster's class was only a guess)</t>
        </is>
      </c>
      <c r="I423" s="5" t="inlineStr">
        <is>
          <t>VP25</t>
        </is>
      </c>
      <c r="J423" s="5" t="inlineStr">
        <is>
          <t>printed label</t>
        </is>
      </c>
      <c r="K423" s="5" t="inlineStr">
        <is>
          <t>VP25/SF1- 80x25</t>
        </is>
      </c>
      <c r="L423" s="5" t="n">
        <v>631</v>
      </c>
      <c r="M423" s="5" t="n">
        <v>25</v>
      </c>
      <c r="N423" s="10">
        <f>IF(AND(ISNUMBER(L423),M423&gt;0),L423/M423,"")</f>
        <v/>
      </c>
      <c r="O423" s="5" t="n">
        <v>1.572</v>
      </c>
      <c r="P423" s="5" t="n">
        <v>169.4</v>
      </c>
      <c r="Q423" s="5" t="n">
        <v>3</v>
      </c>
      <c r="R423" s="5" t="n">
        <v>1</v>
      </c>
      <c r="S423" s="5" t="n">
        <v>0</v>
      </c>
      <c r="T423" s="5" t="n">
        <v>0</v>
      </c>
      <c r="U423" s="5" t="n">
        <v>0</v>
      </c>
      <c r="V423" s="5" t="n">
        <v>1</v>
      </c>
      <c r="W423" s="5" t="n">
        <v>11</v>
      </c>
      <c r="X423" s="5" t="n">
        <v>0</v>
      </c>
      <c r="Y423" s="5" t="n"/>
      <c r="Z423" s="5" t="inlineStr"/>
      <c r="AA423" s="5" t="n">
        <v>4108.6</v>
      </c>
      <c r="AB423" s="5" t="n">
        <v>3332.5</v>
      </c>
      <c r="AC423" s="5" t="n">
        <v>4293.1</v>
      </c>
      <c r="AD423" s="5" t="n">
        <v>3374</v>
      </c>
      <c r="AE423" s="5" t="inlineStr"/>
      <c r="AF423" s="5">
        <f>IF(AE423="","",IF(OR(AE423=F423,AND(AE423="crane_footing",F423="isolated_footing")),"yes","no"))</f>
        <v/>
      </c>
    </row>
    <row r="424">
      <c r="A424" s="5" t="n">
        <v>423</v>
      </c>
      <c r="B424" s="5" t="inlineStr">
        <is>
          <t>124</t>
        </is>
      </c>
      <c r="C424" s="5" t="inlineStr">
        <is>
          <t>nearest labels in its region</t>
        </is>
      </c>
      <c r="D424" s="5" t="inlineStr">
        <is>
          <t>solid</t>
        </is>
      </c>
      <c r="E424" s="5" t="n">
        <v>34</v>
      </c>
      <c r="F424" s="5" t="inlineStr">
        <is>
          <t>retaining_wall</t>
        </is>
      </c>
      <c r="G424" s="5" t="inlineStr">
        <is>
          <t>Retaining wall VP25 8.92 × 0.25 m</t>
        </is>
      </c>
      <c r="H424" s="5" t="inlineStr">
        <is>
          <t>its own label (the cluster's class was only a guess)</t>
        </is>
      </c>
      <c r="I424" s="5" t="inlineStr">
        <is>
          <t>VP25</t>
        </is>
      </c>
      <c r="J424" s="5" t="inlineStr">
        <is>
          <t>printed label</t>
        </is>
      </c>
      <c r="K424" s="5" t="inlineStr">
        <is>
          <t>VP25/SF1-80x25</t>
        </is>
      </c>
      <c r="L424" s="5" t="n">
        <v>892</v>
      </c>
      <c r="M424" s="5" t="n">
        <v>25</v>
      </c>
      <c r="N424" s="10">
        <f>IF(AND(ISNUMBER(L424),M424&gt;0),L424/M424,"")</f>
        <v/>
      </c>
      <c r="O424" s="5" t="n">
        <v>2.238</v>
      </c>
      <c r="P424" s="5" t="n">
        <v>79.3</v>
      </c>
      <c r="Q424" s="5" t="n">
        <v>3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2</v>
      </c>
      <c r="W424" s="5" t="n">
        <v>6</v>
      </c>
      <c r="X424" s="5" t="n">
        <v>2</v>
      </c>
      <c r="Y424" s="5" t="n"/>
      <c r="Z424" s="5" t="inlineStr"/>
      <c r="AA424" s="5" t="n">
        <v>4291.9</v>
      </c>
      <c r="AB424" s="5" t="n">
        <v>3315.7</v>
      </c>
      <c r="AC424" s="5" t="n">
        <v>4347.9</v>
      </c>
      <c r="AD424" s="5" t="n">
        <v>3575.8</v>
      </c>
      <c r="AE424" s="5" t="inlineStr"/>
      <c r="AF424" s="5">
        <f>IF(AE424="","",IF(OR(AE424=F424,AND(AE424="crane_footing",F424="isolated_footing")),"yes","no"))</f>
        <v/>
      </c>
    </row>
    <row r="425">
      <c r="A425" s="5" t="n">
        <v>424</v>
      </c>
      <c r="B425" s="5" t="inlineStr">
        <is>
          <t>124</t>
        </is>
      </c>
      <c r="C425" s="5" t="inlineStr">
        <is>
          <t>own label</t>
        </is>
      </c>
      <c r="D425" s="5" t="inlineStr">
        <is>
          <t>outline</t>
        </is>
      </c>
      <c r="E425" s="5" t="n">
        <v>13</v>
      </c>
      <c r="F425" s="5" t="inlineStr">
        <is>
          <t>isolated_footing</t>
        </is>
      </c>
      <c r="G425" s="5" t="inlineStr">
        <is>
          <t>Isolated footing S11 5.00 × 4.00 m</t>
        </is>
      </c>
      <c r="H425" s="5" t="inlineStr">
        <is>
          <t>label vote</t>
        </is>
      </c>
      <c r="I425" s="5" t="inlineStr">
        <is>
          <t>S11</t>
        </is>
      </c>
      <c r="J425" s="5" t="inlineStr">
        <is>
          <t>printed label</t>
        </is>
      </c>
      <c r="K425" s="5" t="inlineStr">
        <is>
          <t>S11-124124</t>
        </is>
      </c>
      <c r="L425" s="5" t="n">
        <v>500</v>
      </c>
      <c r="M425" s="5" t="n">
        <v>400</v>
      </c>
      <c r="N425" s="10">
        <f>IF(AND(ISNUMBER(L425),M425&gt;0),L425/M425,"")</f>
        <v/>
      </c>
      <c r="O425" s="5" t="n">
        <v>20.006</v>
      </c>
      <c r="P425" s="5" t="n">
        <v>169.4</v>
      </c>
      <c r="Q425" s="5" t="n">
        <v>1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1</v>
      </c>
      <c r="W425" s="5" t="n">
        <v>28</v>
      </c>
      <c r="X425" s="5" t="n">
        <v>3</v>
      </c>
      <c r="Y425" s="5" t="n"/>
      <c r="Z425" s="5" t="inlineStr"/>
      <c r="AA425" s="5" t="n">
        <v>3699.5</v>
      </c>
      <c r="AB425" s="5" t="n">
        <v>3365.9</v>
      </c>
      <c r="AC425" s="5" t="n">
        <v>3866.3</v>
      </c>
      <c r="AD425" s="5" t="n">
        <v>3509.2</v>
      </c>
      <c r="AE425" s="5" t="inlineStr">
        <is>
          <t>isolated_footing</t>
        </is>
      </c>
      <c r="AF425" s="5">
        <f>IF(AE425="","",IF(OR(AE425=F425,AND(AE425="crane_footing",F425="isolated_footing")),"yes","no"))</f>
        <v/>
      </c>
    </row>
    <row r="426">
      <c r="A426" s="5" t="n">
        <v>425</v>
      </c>
      <c r="B426" s="5" t="inlineStr">
        <is>
          <t>124</t>
        </is>
      </c>
      <c r="C426" s="5" t="inlineStr">
        <is>
          <t>own label</t>
        </is>
      </c>
      <c r="D426" s="5" t="inlineStr">
        <is>
          <t>outline</t>
        </is>
      </c>
      <c r="E426" s="5" t="n">
        <v>13</v>
      </c>
      <c r="F426" s="5" t="inlineStr">
        <is>
          <t>isolated_footing</t>
        </is>
      </c>
      <c r="G426" s="5" t="inlineStr">
        <is>
          <t>Isolated footing S11 5.00 × 4.00 m</t>
        </is>
      </c>
      <c r="H426" s="5" t="inlineStr">
        <is>
          <t>label vote</t>
        </is>
      </c>
      <c r="I426" s="5" t="inlineStr">
        <is>
          <t>S11</t>
        </is>
      </c>
      <c r="J426" s="5" t="inlineStr">
        <is>
          <t>printed label</t>
        </is>
      </c>
      <c r="K426" s="5" t="inlineStr">
        <is>
          <t>S11-124124</t>
        </is>
      </c>
      <c r="L426" s="5" t="n">
        <v>500</v>
      </c>
      <c r="M426" s="5" t="n">
        <v>400</v>
      </c>
      <c r="N426" s="10">
        <f>IF(AND(ISNUMBER(L426),M426&gt;0),L426/M426,"")</f>
        <v/>
      </c>
      <c r="O426" s="5" t="n">
        <v>20.003</v>
      </c>
      <c r="P426" s="5" t="n">
        <v>79.3</v>
      </c>
      <c r="Q426" s="5" t="n">
        <v>2</v>
      </c>
      <c r="R426" s="5" t="n">
        <v>0</v>
      </c>
      <c r="S426" s="5" t="n">
        <v>0</v>
      </c>
      <c r="T426" s="5" t="n">
        <v>0</v>
      </c>
      <c r="U426" s="5" t="n">
        <v>0</v>
      </c>
      <c r="V426" s="5" t="n">
        <v>1</v>
      </c>
      <c r="W426" s="5" t="n">
        <v>44</v>
      </c>
      <c r="X426" s="5" t="n">
        <v>2</v>
      </c>
      <c r="Y426" s="5" t="n"/>
      <c r="Z426" s="5" t="inlineStr"/>
      <c r="AA426" s="5" t="n">
        <v>3758.8</v>
      </c>
      <c r="AB426" s="5" t="n">
        <v>3541.1</v>
      </c>
      <c r="AC426" s="5" t="n">
        <v>3902.2</v>
      </c>
      <c r="AD426" s="5" t="n">
        <v>3708.1</v>
      </c>
      <c r="AE426" s="5" t="inlineStr">
        <is>
          <t>isolated_footing</t>
        </is>
      </c>
      <c r="AF426" s="5">
        <f>IF(AE426="","",IF(OR(AE426=F426,AND(AE426="crane_footing",F426="isolated_footing")),"yes","no"))</f>
        <v/>
      </c>
    </row>
    <row r="427">
      <c r="A427" s="5" t="n">
        <v>426</v>
      </c>
      <c r="B427" s="5" t="inlineStr">
        <is>
          <t>124</t>
        </is>
      </c>
      <c r="C427" s="5" t="inlineStr">
        <is>
          <t>own label (region says 122)</t>
        </is>
      </c>
      <c r="D427" s="5" t="inlineStr">
        <is>
          <t>outline</t>
        </is>
      </c>
      <c r="E427" s="5" t="n">
        <v>12</v>
      </c>
      <c r="F427" s="5" t="inlineStr">
        <is>
          <t>isolated_footing</t>
        </is>
      </c>
      <c r="G427" s="5" t="inlineStr">
        <is>
          <t>Isolated footing S2 3.50 × 2.00 m</t>
        </is>
      </c>
      <c r="H427" s="5" t="inlineStr">
        <is>
          <t>label vote</t>
        </is>
      </c>
      <c r="I427" s="5" t="inlineStr">
        <is>
          <t>S2</t>
        </is>
      </c>
      <c r="J427" s="5" t="inlineStr">
        <is>
          <t>printed label</t>
        </is>
      </c>
      <c r="K427" s="5" t="inlineStr">
        <is>
          <t>S2-124124</t>
        </is>
      </c>
      <c r="L427" s="5" t="n">
        <v>350</v>
      </c>
      <c r="M427" s="5" t="n">
        <v>200</v>
      </c>
      <c r="N427" s="10">
        <f>IF(AND(ISNUMBER(L427),M427&gt;0),L427/M427,"")</f>
        <v/>
      </c>
      <c r="O427" s="5" t="n">
        <v>7.001</v>
      </c>
      <c r="P427" s="5" t="n">
        <v>79.3</v>
      </c>
      <c r="Q427" s="5" t="n">
        <v>1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1</v>
      </c>
      <c r="W427" s="5" t="n">
        <v>20</v>
      </c>
      <c r="X427" s="5" t="n">
        <v>3</v>
      </c>
      <c r="Y427" s="5" t="n"/>
      <c r="Z427" s="5" t="inlineStr"/>
      <c r="AA427" s="5" t="n">
        <v>3949.1</v>
      </c>
      <c r="AB427" s="5" t="n">
        <v>2876.4</v>
      </c>
      <c r="AC427" s="5" t="n">
        <v>4026.2</v>
      </c>
      <c r="AD427" s="5" t="n">
        <v>2988.9</v>
      </c>
      <c r="AE427" s="5" t="inlineStr">
        <is>
          <t>isolated_footing</t>
        </is>
      </c>
      <c r="AF427" s="5">
        <f>IF(AE427="","",IF(OR(AE427=F427,AND(AE427="crane_footing",F427="isolated_footing")),"yes","no"))</f>
        <v/>
      </c>
    </row>
    <row r="428">
      <c r="A428" s="5" t="n">
        <v>427</v>
      </c>
      <c r="B428" s="5" t="inlineStr">
        <is>
          <t>124</t>
        </is>
      </c>
      <c r="C428" s="5" t="inlineStr">
        <is>
          <t>own label (region says 122)</t>
        </is>
      </c>
      <c r="D428" s="5" t="inlineStr">
        <is>
          <t>outline</t>
        </is>
      </c>
      <c r="E428" s="5" t="n">
        <v>12</v>
      </c>
      <c r="F428" s="5" t="inlineStr">
        <is>
          <t>isolated_footing</t>
        </is>
      </c>
      <c r="G428" s="5" t="inlineStr">
        <is>
          <t>Isolated footing S2 3.50 × 2.00 m</t>
        </is>
      </c>
      <c r="H428" s="5" t="inlineStr">
        <is>
          <t>label vote</t>
        </is>
      </c>
      <c r="I428" s="5" t="inlineStr">
        <is>
          <t>S2</t>
        </is>
      </c>
      <c r="J428" s="5" t="inlineStr">
        <is>
          <t>printed label</t>
        </is>
      </c>
      <c r="K428" s="5" t="inlineStr">
        <is>
          <t>S2-124124</t>
        </is>
      </c>
      <c r="L428" s="5" t="n">
        <v>350</v>
      </c>
      <c r="M428" s="5" t="n">
        <v>200</v>
      </c>
      <c r="N428" s="10">
        <f>IF(AND(ISNUMBER(L428),M428&gt;0),L428/M428,"")</f>
        <v/>
      </c>
      <c r="O428" s="5" t="n">
        <v>7.001</v>
      </c>
      <c r="P428" s="5" t="n">
        <v>79.3</v>
      </c>
      <c r="Q428" s="5" t="n">
        <v>1</v>
      </c>
      <c r="R428" s="5" t="n">
        <v>0</v>
      </c>
      <c r="S428" s="5" t="n">
        <v>0</v>
      </c>
      <c r="T428" s="5" t="n">
        <v>0</v>
      </c>
      <c r="U428" s="5" t="n">
        <v>0</v>
      </c>
      <c r="V428" s="5" t="n">
        <v>1</v>
      </c>
      <c r="W428" s="5" t="n">
        <v>20</v>
      </c>
      <c r="X428" s="5" t="n">
        <v>4</v>
      </c>
      <c r="Y428" s="5" t="n"/>
      <c r="Z428" s="5" t="inlineStr"/>
      <c r="AA428" s="5" t="n">
        <v>3722.7</v>
      </c>
      <c r="AB428" s="5" t="n">
        <v>2906.9</v>
      </c>
      <c r="AC428" s="5" t="n">
        <v>3799.9</v>
      </c>
      <c r="AD428" s="5" t="n">
        <v>3019.4</v>
      </c>
      <c r="AE428" s="5" t="inlineStr">
        <is>
          <t>isolated_footing</t>
        </is>
      </c>
      <c r="AF428" s="5">
        <f>IF(AE428="","",IF(OR(AE428=F428,AND(AE428="crane_footing",F428="isolated_footing")),"yes","no"))</f>
        <v/>
      </c>
    </row>
    <row r="429">
      <c r="A429" s="5" t="n">
        <v>428</v>
      </c>
      <c r="B429" s="5" t="inlineStr">
        <is>
          <t>124</t>
        </is>
      </c>
      <c r="C429" s="5" t="inlineStr">
        <is>
          <t>own label</t>
        </is>
      </c>
      <c r="D429" s="5" t="inlineStr">
        <is>
          <t>outline</t>
        </is>
      </c>
      <c r="E429" s="5" t="n">
        <v>12</v>
      </c>
      <c r="F429" s="5" t="inlineStr">
        <is>
          <t>isolated_footing</t>
        </is>
      </c>
      <c r="G429" s="5" t="inlineStr">
        <is>
          <t>Isolated footing S3 3.20 × 3.20 m</t>
        </is>
      </c>
      <c r="H429" s="5" t="inlineStr">
        <is>
          <t>label vote</t>
        </is>
      </c>
      <c r="I429" s="5" t="inlineStr">
        <is>
          <t>S3</t>
        </is>
      </c>
      <c r="J429" s="5" t="inlineStr">
        <is>
          <t>printed label</t>
        </is>
      </c>
      <c r="K429" s="5" t="inlineStr">
        <is>
          <t>S3-124</t>
        </is>
      </c>
      <c r="L429" s="5" t="n">
        <v>320</v>
      </c>
      <c r="M429" s="5" t="n">
        <v>320</v>
      </c>
      <c r="N429" s="10">
        <f>IF(AND(ISNUMBER(L429),M429&gt;0),L429/M429,"")</f>
        <v/>
      </c>
      <c r="O429" s="5" t="n">
        <v>10.242</v>
      </c>
      <c r="P429" s="5" t="n">
        <v>168.8</v>
      </c>
      <c r="Q429" s="5" t="n">
        <v>1</v>
      </c>
      <c r="R429" s="5" t="n">
        <v>0</v>
      </c>
      <c r="S429" s="5" t="n">
        <v>0</v>
      </c>
      <c r="T429" s="5" t="n">
        <v>0</v>
      </c>
      <c r="U429" s="5" t="n">
        <v>1</v>
      </c>
      <c r="V429" s="5" t="n">
        <v>1</v>
      </c>
      <c r="W429" s="5" t="n">
        <v>39</v>
      </c>
      <c r="X429" s="5" t="n">
        <v>2</v>
      </c>
      <c r="Y429" s="5" t="n"/>
      <c r="Z429" s="5" t="inlineStr"/>
      <c r="AA429" s="5" t="n">
        <v>4021.7</v>
      </c>
      <c r="AB429" s="5" t="n">
        <v>3158.7</v>
      </c>
      <c r="AC429" s="5" t="n">
        <v>4132.7</v>
      </c>
      <c r="AD429" s="5" t="n">
        <v>3269.8</v>
      </c>
      <c r="AE429" s="5" t="inlineStr">
        <is>
          <t>isolated_footing</t>
        </is>
      </c>
      <c r="AF429" s="5">
        <f>IF(AE429="","",IF(OR(AE429=F429,AND(AE429="crane_footing",F429="isolated_footing")),"yes","no"))</f>
        <v/>
      </c>
    </row>
    <row r="430">
      <c r="A430" s="5" t="n">
        <v>429</v>
      </c>
      <c r="B430" s="5" t="inlineStr">
        <is>
          <t>124</t>
        </is>
      </c>
      <c r="C430" s="5" t="inlineStr">
        <is>
          <t>own label</t>
        </is>
      </c>
      <c r="D430" s="5" t="inlineStr">
        <is>
          <t>outline</t>
        </is>
      </c>
      <c r="E430" s="5" t="n">
        <v>13</v>
      </c>
      <c r="F430" s="5" t="inlineStr">
        <is>
          <t>isolated_footing</t>
        </is>
      </c>
      <c r="G430" s="5" t="inlineStr">
        <is>
          <t>Isolated footing S6 5.00 × 4.50 m</t>
        </is>
      </c>
      <c r="H430" s="5" t="inlineStr">
        <is>
          <t>label vote</t>
        </is>
      </c>
      <c r="I430" s="5" t="inlineStr">
        <is>
          <t>S6</t>
        </is>
      </c>
      <c r="J430" s="5" t="inlineStr">
        <is>
          <t>printed label</t>
        </is>
      </c>
      <c r="K430" s="5" t="inlineStr">
        <is>
          <t>S6-124124</t>
        </is>
      </c>
      <c r="L430" s="5" t="n">
        <v>500</v>
      </c>
      <c r="M430" s="5" t="n">
        <v>450</v>
      </c>
      <c r="N430" s="10">
        <f>IF(AND(ISNUMBER(L430),M430&gt;0),L430/M430,"")</f>
        <v/>
      </c>
      <c r="O430" s="5" t="n">
        <v>22.497</v>
      </c>
      <c r="P430" s="5" t="n">
        <v>79.40000000000001</v>
      </c>
      <c r="Q430" s="5" t="n">
        <v>1</v>
      </c>
      <c r="R430" s="5" t="n">
        <v>0</v>
      </c>
      <c r="S430" s="5" t="n">
        <v>0</v>
      </c>
      <c r="T430" s="5" t="n">
        <v>0</v>
      </c>
      <c r="U430" s="5" t="n">
        <v>0</v>
      </c>
      <c r="V430" s="5" t="n">
        <v>1</v>
      </c>
      <c r="W430" s="5" t="n">
        <v>24</v>
      </c>
      <c r="X430" s="5" t="n">
        <v>2</v>
      </c>
      <c r="Y430" s="5" t="n"/>
      <c r="Z430" s="5" t="inlineStr"/>
      <c r="AA430" s="5" t="n">
        <v>3675.4</v>
      </c>
      <c r="AB430" s="5" t="n">
        <v>3139</v>
      </c>
      <c r="AC430" s="5" t="n">
        <v>3833.1</v>
      </c>
      <c r="AD430" s="5" t="n">
        <v>3308.5</v>
      </c>
      <c r="AE430" s="5" t="inlineStr">
        <is>
          <t>isolated_footing</t>
        </is>
      </c>
      <c r="AF430" s="5">
        <f>IF(AE430="","",IF(OR(AE430=F430,AND(AE430="crane_footing",F430="isolated_footing")),"yes","no"))</f>
        <v/>
      </c>
    </row>
    <row r="431">
      <c r="A431" s="5" t="n">
        <v>430</v>
      </c>
      <c r="B431" s="5" t="inlineStr">
        <is>
          <t>124</t>
        </is>
      </c>
      <c r="C431" s="5" t="inlineStr">
        <is>
          <t>nearest labels</t>
        </is>
      </c>
      <c r="D431" s="5" t="inlineStr">
        <is>
          <t>outline</t>
        </is>
      </c>
      <c r="E431" s="5" t="n">
        <v>15</v>
      </c>
      <c r="F431" s="5" t="inlineStr">
        <is>
          <t>combined_footing</t>
        </is>
      </c>
      <c r="G431" s="5" t="inlineStr">
        <is>
          <t>Combined footing SC2 3.50 × 2.00 m</t>
        </is>
      </c>
      <c r="H431" s="5" t="inlineStr">
        <is>
          <t>label vote</t>
        </is>
      </c>
      <c r="I431" s="5" t="inlineStr">
        <is>
          <t>SC2</t>
        </is>
      </c>
      <c r="J431" s="5" t="inlineStr">
        <is>
          <t>printed label</t>
        </is>
      </c>
      <c r="K431" s="5" t="inlineStr">
        <is>
          <t>SC2-</t>
        </is>
      </c>
      <c r="L431" s="5" t="n">
        <v>350</v>
      </c>
      <c r="M431" s="5" t="n">
        <v>200</v>
      </c>
      <c r="N431" s="10">
        <f>IF(AND(ISNUMBER(L431),M431&gt;0),L431/M431,"")</f>
        <v/>
      </c>
      <c r="O431" s="5" t="n">
        <v>7.001</v>
      </c>
      <c r="P431" s="5" t="n">
        <v>79.3</v>
      </c>
      <c r="Q431" s="5" t="n">
        <v>2</v>
      </c>
      <c r="R431" s="5" t="n">
        <v>0</v>
      </c>
      <c r="S431" s="5" t="n">
        <v>0</v>
      </c>
      <c r="T431" s="5" t="n">
        <v>0</v>
      </c>
      <c r="U431" s="5" t="n">
        <v>0</v>
      </c>
      <c r="V431" s="5" t="n">
        <v>2</v>
      </c>
      <c r="W431" s="5" t="n">
        <v>40</v>
      </c>
      <c r="X431" s="5" t="n">
        <v>5</v>
      </c>
      <c r="Y431" s="5" t="n"/>
      <c r="Z431" s="5" t="inlineStr"/>
      <c r="AA431" s="5" t="n">
        <v>3488.6</v>
      </c>
      <c r="AB431" s="5" t="n">
        <v>2936.5</v>
      </c>
      <c r="AC431" s="5" t="n">
        <v>3565.7</v>
      </c>
      <c r="AD431" s="5" t="n">
        <v>3049</v>
      </c>
      <c r="AE431" s="5" t="inlineStr">
        <is>
          <t>combined_footing</t>
        </is>
      </c>
      <c r="AF431" s="5">
        <f>IF(AE431="","",IF(OR(AE431=F431,AND(AE431="crane_footing",F431="isolated_footing")),"yes","no"))</f>
        <v/>
      </c>
    </row>
    <row r="432">
      <c r="A432" s="5" t="n">
        <v>431</v>
      </c>
      <c r="B432" s="5" t="inlineStr">
        <is>
          <t>124</t>
        </is>
      </c>
      <c r="C432" s="5" t="inlineStr">
        <is>
          <t>nearest labels in its region</t>
        </is>
      </c>
      <c r="D432" s="5" t="inlineStr">
        <is>
          <t>outline</t>
        </is>
      </c>
      <c r="E432" s="5" t="n">
        <v>23</v>
      </c>
      <c r="F432" s="5" t="inlineStr">
        <is>
          <t>combined_footing</t>
        </is>
      </c>
      <c r="G432" s="5" t="inlineStr">
        <is>
          <t>Combined footing SC3 5.00 × 4.50 m</t>
        </is>
      </c>
      <c r="H432" s="5" t="inlineStr">
        <is>
          <t>label vote</t>
        </is>
      </c>
      <c r="I432" s="5" t="inlineStr">
        <is>
          <t>SC3</t>
        </is>
      </c>
      <c r="J432" s="5" t="inlineStr">
        <is>
          <t>printed label</t>
        </is>
      </c>
      <c r="K432" s="5" t="inlineStr">
        <is>
          <t>SC3-</t>
        </is>
      </c>
      <c r="L432" s="5" t="n">
        <v>500</v>
      </c>
      <c r="M432" s="5" t="n">
        <v>450</v>
      </c>
      <c r="N432" s="10">
        <f>IF(AND(ISNUMBER(L432),M432&gt;0),L432/M432,"")</f>
        <v/>
      </c>
      <c r="O432" s="5" t="n">
        <v>22.502</v>
      </c>
      <c r="P432" s="5" t="n">
        <v>168.8</v>
      </c>
      <c r="Q432" s="5" t="n">
        <v>5</v>
      </c>
      <c r="R432" s="5" t="n">
        <v>0</v>
      </c>
      <c r="S432" s="5" t="n">
        <v>0</v>
      </c>
      <c r="T432" s="5" t="n">
        <v>0</v>
      </c>
      <c r="U432" s="5" t="n">
        <v>0</v>
      </c>
      <c r="V432" s="5" t="n">
        <v>4</v>
      </c>
      <c r="W432" s="5" t="n">
        <v>52</v>
      </c>
      <c r="X432" s="5" t="n">
        <v>3</v>
      </c>
      <c r="Y432" s="5" t="n"/>
      <c r="Z432" s="5" t="inlineStr"/>
      <c r="AA432" s="5" t="n">
        <v>4164.4</v>
      </c>
      <c r="AB432" s="5" t="n">
        <v>3262.5</v>
      </c>
      <c r="AC432" s="5" t="n">
        <v>4335</v>
      </c>
      <c r="AD432" s="5" t="n">
        <v>3421.6</v>
      </c>
      <c r="AE432" s="5" t="inlineStr">
        <is>
          <t>combined_footing</t>
        </is>
      </c>
      <c r="AF432" s="5">
        <f>IF(AE432="","",IF(OR(AE432=F432,AND(AE432="crane_footing",F432="isolated_footing")),"yes","no"))</f>
        <v/>
      </c>
    </row>
    <row r="433">
      <c r="A433" s="5" t="n">
        <v>432</v>
      </c>
      <c r="B433" s="5" t="inlineStr">
        <is>
          <t>124</t>
        </is>
      </c>
      <c r="C433" s="5" t="inlineStr">
        <is>
          <t>nearest labels in its region</t>
        </is>
      </c>
      <c r="D433" s="5" t="inlineStr">
        <is>
          <t>outline</t>
        </is>
      </c>
      <c r="E433" s="5" t="n">
        <v>23</v>
      </c>
      <c r="F433" s="5" t="inlineStr">
        <is>
          <t>combined_footing</t>
        </is>
      </c>
      <c r="G433" s="5" t="inlineStr">
        <is>
          <t>Combined footing SC3 5.00 × 4.50 m</t>
        </is>
      </c>
      <c r="H433" s="5" t="inlineStr">
        <is>
          <t>label vote</t>
        </is>
      </c>
      <c r="I433" s="5" t="inlineStr">
        <is>
          <t>SC3</t>
        </is>
      </c>
      <c r="J433" s="5" t="inlineStr">
        <is>
          <t>printed label</t>
        </is>
      </c>
      <c r="K433" s="5" t="inlineStr">
        <is>
          <t>SC3-</t>
        </is>
      </c>
      <c r="L433" s="5" t="n">
        <v>500</v>
      </c>
      <c r="M433" s="5" t="n">
        <v>450</v>
      </c>
      <c r="N433" s="10">
        <f>IF(AND(ISNUMBER(L433),M433&gt;0),L433/M433,"")</f>
        <v/>
      </c>
      <c r="O433" s="5" t="n">
        <v>22.496</v>
      </c>
      <c r="P433" s="5" t="n">
        <v>78.8</v>
      </c>
      <c r="Q433" s="5" t="n">
        <v>3</v>
      </c>
      <c r="R433" s="5" t="n">
        <v>0</v>
      </c>
      <c r="S433" s="5" t="n">
        <v>0</v>
      </c>
      <c r="T433" s="5" t="n">
        <v>0</v>
      </c>
      <c r="U433" s="5" t="n">
        <v>0</v>
      </c>
      <c r="V433" s="5" t="n">
        <v>3</v>
      </c>
      <c r="W433" s="5" t="n">
        <v>47</v>
      </c>
      <c r="X433" s="5" t="n">
        <v>5</v>
      </c>
      <c r="Y433" s="5" t="n"/>
      <c r="Z433" s="5" t="inlineStr"/>
      <c r="AA433" s="5" t="n">
        <v>4171.9</v>
      </c>
      <c r="AB433" s="5" t="n">
        <v>3027.2</v>
      </c>
      <c r="AC433" s="5" t="n">
        <v>4330.9</v>
      </c>
      <c r="AD433" s="5" t="n">
        <v>3197.8</v>
      </c>
      <c r="AE433" s="5" t="inlineStr">
        <is>
          <t>combined_footing</t>
        </is>
      </c>
      <c r="AF433" s="5">
        <f>IF(AE433="","",IF(OR(AE433=F433,AND(AE433="crane_footing",F433="isolated_footing")),"yes","no"))</f>
        <v/>
      </c>
    </row>
    <row r="434">
      <c r="A434" s="5" t="n">
        <v>433</v>
      </c>
      <c r="B434" s="5" t="inlineStr">
        <is>
          <t>124</t>
        </is>
      </c>
      <c r="C434" s="5" t="inlineStr">
        <is>
          <t>nearest labels</t>
        </is>
      </c>
      <c r="D434" s="5" t="inlineStr">
        <is>
          <t>outline</t>
        </is>
      </c>
      <c r="E434" s="5" t="n">
        <v>14</v>
      </c>
      <c r="F434" s="5" t="inlineStr">
        <is>
          <t>combined_footing</t>
        </is>
      </c>
      <c r="G434" s="5" t="inlineStr">
        <is>
          <t>Combined footing SC3 5.00 × 4.50 m</t>
        </is>
      </c>
      <c r="H434" s="5" t="inlineStr">
        <is>
          <t>label vote</t>
        </is>
      </c>
      <c r="I434" s="5" t="inlineStr">
        <is>
          <t>SC3</t>
        </is>
      </c>
      <c r="J434" s="5" t="inlineStr">
        <is>
          <t>printed label</t>
        </is>
      </c>
      <c r="K434" s="5" t="inlineStr">
        <is>
          <t>SC3-</t>
        </is>
      </c>
      <c r="L434" s="5" t="n">
        <v>500</v>
      </c>
      <c r="M434" s="5" t="n">
        <v>450</v>
      </c>
      <c r="N434" s="10">
        <f>IF(AND(ISNUMBER(L434),M434&gt;0),L434/M434,"")</f>
        <v/>
      </c>
      <c r="O434" s="5" t="n">
        <v>22.496</v>
      </c>
      <c r="P434" s="5" t="n">
        <v>78.8</v>
      </c>
      <c r="Q434" s="5" t="n">
        <v>2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2</v>
      </c>
      <c r="W434" s="5" t="n">
        <v>40</v>
      </c>
      <c r="X434" s="5" t="n">
        <v>5</v>
      </c>
      <c r="Y434" s="5" t="n"/>
      <c r="Z434" s="5" t="inlineStr"/>
      <c r="AA434" s="5" t="n">
        <v>3496.5</v>
      </c>
      <c r="AB434" s="5" t="n">
        <v>3154.4</v>
      </c>
      <c r="AC434" s="5" t="n">
        <v>3655.5</v>
      </c>
      <c r="AD434" s="5" t="n">
        <v>3325</v>
      </c>
      <c r="AE434" s="5" t="inlineStr">
        <is>
          <t>combined_footing</t>
        </is>
      </c>
      <c r="AF434" s="5">
        <f>IF(AE434="","",IF(OR(AE434=F434,AND(AE434="crane_footing",F434="isolated_footing")),"yes","no"))</f>
        <v/>
      </c>
    </row>
    <row r="435">
      <c r="A435" s="5" t="n">
        <v>434</v>
      </c>
      <c r="B435" s="5" t="inlineStr">
        <is>
          <t>124</t>
        </is>
      </c>
      <c r="C435" s="5" t="inlineStr">
        <is>
          <t>nearest labels in its region</t>
        </is>
      </c>
      <c r="D435" s="5" t="inlineStr">
        <is>
          <t>outline</t>
        </is>
      </c>
      <c r="E435" s="5" t="n">
        <v>14</v>
      </c>
      <c r="F435" s="5" t="inlineStr">
        <is>
          <t>combined_footing</t>
        </is>
      </c>
      <c r="G435" s="5" t="inlineStr">
        <is>
          <t>Combined footing SC6 6.00 × 4.50 m</t>
        </is>
      </c>
      <c r="H435" s="5" t="inlineStr">
        <is>
          <t>label vote</t>
        </is>
      </c>
      <c r="I435" s="5" t="inlineStr">
        <is>
          <t>SC6</t>
        </is>
      </c>
      <c r="J435" s="5" t="inlineStr">
        <is>
          <t>printed label</t>
        </is>
      </c>
      <c r="K435" s="5" t="inlineStr">
        <is>
          <t>SC6</t>
        </is>
      </c>
      <c r="L435" s="5" t="n">
        <v>600</v>
      </c>
      <c r="M435" s="5" t="n">
        <v>450</v>
      </c>
      <c r="N435" s="10">
        <f>IF(AND(ISNUMBER(L435),M435&gt;0),L435/M435,"")</f>
        <v/>
      </c>
      <c r="O435" s="5" t="n">
        <v>27.004</v>
      </c>
      <c r="P435" s="5" t="n">
        <v>79.3</v>
      </c>
      <c r="Q435" s="5" t="n">
        <v>2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2</v>
      </c>
      <c r="W435" s="5" t="n">
        <v>63</v>
      </c>
      <c r="X435" s="5" t="n">
        <v>4</v>
      </c>
      <c r="Y435" s="5" t="n"/>
      <c r="Z435" s="5" t="inlineStr"/>
      <c r="AA435" s="5" t="n">
        <v>3864.5</v>
      </c>
      <c r="AB435" s="5" t="n">
        <v>3097.6</v>
      </c>
      <c r="AC435" s="5" t="n">
        <v>4027.9</v>
      </c>
      <c r="AD435" s="5" t="n">
        <v>3296.3</v>
      </c>
      <c r="AE435" s="5" t="inlineStr">
        <is>
          <t>combined_footing</t>
        </is>
      </c>
      <c r="AF435" s="5">
        <f>IF(AE435="","",IF(OR(AE435=F435,AND(AE435="crane_footing",F435="isolated_footing")),"yes","no"))</f>
        <v/>
      </c>
    </row>
    <row r="436">
      <c r="A436" s="5" t="n">
        <v>435</v>
      </c>
      <c r="B436" s="5" t="inlineStr">
        <is>
          <t>124</t>
        </is>
      </c>
      <c r="C436" s="5" t="inlineStr">
        <is>
          <t>nearest labels in its region</t>
        </is>
      </c>
      <c r="D436" s="5" t="inlineStr">
        <is>
          <t>band</t>
        </is>
      </c>
      <c r="E436" s="5" t="n">
        <v>5</v>
      </c>
      <c r="F436" s="5" t="inlineStr">
        <is>
          <t>strip_footing</t>
        </is>
      </c>
      <c r="G436" s="5" t="inlineStr">
        <is>
          <t>Strip footing SF1 4.76 × 0.80 m</t>
        </is>
      </c>
      <c r="H436" s="5" t="inlineStr">
        <is>
          <t>label vote</t>
        </is>
      </c>
      <c r="I436" s="5" t="inlineStr">
        <is>
          <t>SF1</t>
        </is>
      </c>
      <c r="J436" s="5" t="inlineStr">
        <is>
          <t>printed label</t>
        </is>
      </c>
      <c r="K436" s="5" t="inlineStr">
        <is>
          <t>VP25/SF1- 80x25</t>
        </is>
      </c>
      <c r="L436" s="5" t="n">
        <v>476</v>
      </c>
      <c r="M436" s="5" t="n">
        <v>80</v>
      </c>
      <c r="N436" s="10">
        <f>IF(AND(ISNUMBER(L436),M436&gt;0),L436/M436,"")</f>
        <v/>
      </c>
      <c r="O436" s="5" t="n">
        <v>3.809</v>
      </c>
      <c r="P436" s="5" t="n">
        <v>169.3</v>
      </c>
      <c r="Q436" s="5" t="n">
        <v>1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0</v>
      </c>
      <c r="W436" s="5" t="n">
        <v>4</v>
      </c>
      <c r="X436" s="5" t="n">
        <v>1</v>
      </c>
      <c r="Y436" s="5" t="n">
        <v>4.26</v>
      </c>
      <c r="Z436" s="5" t="inlineStr"/>
      <c r="AA436" s="5" t="n">
        <v>3881.2</v>
      </c>
      <c r="AB436" s="5" t="n">
        <v>3628.9</v>
      </c>
      <c r="AC436" s="5" t="n">
        <v>4023.8</v>
      </c>
      <c r="AD436" s="5" t="n">
        <v>3678.1</v>
      </c>
      <c r="AE436" s="5" t="inlineStr"/>
      <c r="AF436" s="5">
        <f>IF(AE436="","",IF(OR(AE436=F436,AND(AE436="crane_footing",F436="isolated_footing")),"yes","no"))</f>
        <v/>
      </c>
    </row>
    <row r="437">
      <c r="A437" s="5" t="n">
        <v>436</v>
      </c>
      <c r="B437" s="5" t="inlineStr">
        <is>
          <t>124</t>
        </is>
      </c>
      <c r="C437" s="5" t="inlineStr">
        <is>
          <t>nearest labels in its region</t>
        </is>
      </c>
      <c r="D437" s="5" t="inlineStr">
        <is>
          <t>band</t>
        </is>
      </c>
      <c r="E437" s="5" t="n">
        <v>5</v>
      </c>
      <c r="F437" s="5" t="inlineStr">
        <is>
          <t>strip_footing</t>
        </is>
      </c>
      <c r="G437" s="5" t="inlineStr">
        <is>
          <t>Strip footing SF1 2.83 × 0.80 m</t>
        </is>
      </c>
      <c r="H437" s="5" t="inlineStr">
        <is>
          <t>label vote</t>
        </is>
      </c>
      <c r="I437" s="5" t="inlineStr">
        <is>
          <t>SF1</t>
        </is>
      </c>
      <c r="J437" s="5" t="inlineStr">
        <is>
          <t>printed label</t>
        </is>
      </c>
      <c r="K437" s="5" t="inlineStr">
        <is>
          <t>VP25/SF1- 80x25</t>
        </is>
      </c>
      <c r="L437" s="5" t="n">
        <v>283</v>
      </c>
      <c r="M437" s="5" t="n">
        <v>80</v>
      </c>
      <c r="N437" s="10">
        <f>IF(AND(ISNUMBER(L437),M437&gt;0),L437/M437,"")</f>
        <v/>
      </c>
      <c r="O437" s="5" t="n">
        <v>2.262</v>
      </c>
      <c r="P437" s="5" t="n">
        <v>169.3</v>
      </c>
      <c r="Q437" s="5" t="n">
        <v>1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2</v>
      </c>
      <c r="X437" s="5" t="n">
        <v>1</v>
      </c>
      <c r="Y437" s="5" t="n">
        <v>2.33</v>
      </c>
      <c r="Z437" s="5" t="inlineStr"/>
      <c r="AA437" s="5" t="n">
        <v>3712.2</v>
      </c>
      <c r="AB437" s="5" t="n">
        <v>3671.2</v>
      </c>
      <c r="AC437" s="5" t="n">
        <v>3798.6</v>
      </c>
      <c r="AD437" s="5" t="n">
        <v>3709.9</v>
      </c>
      <c r="AE437" s="5" t="inlineStr"/>
      <c r="AF437" s="5">
        <f>IF(AE437="","",IF(OR(AE437=F437,AND(AE437="crane_footing",F437="isolated_footing")),"yes","no"))</f>
        <v/>
      </c>
    </row>
    <row r="438">
      <c r="A438" s="5" t="n">
        <v>437</v>
      </c>
      <c r="B438" s="5" t="inlineStr">
        <is>
          <t>124</t>
        </is>
      </c>
      <c r="C438" s="5" t="inlineStr">
        <is>
          <t>nearest labels in its region</t>
        </is>
      </c>
      <c r="D438" s="5" t="inlineStr">
        <is>
          <t>band</t>
        </is>
      </c>
      <c r="E438" s="5" t="n">
        <v>5</v>
      </c>
      <c r="F438" s="5" t="inlineStr">
        <is>
          <t>strip_footing</t>
        </is>
      </c>
      <c r="G438" s="5" t="inlineStr">
        <is>
          <t>Strip footing SF1 2.53 × 0.80 m</t>
        </is>
      </c>
      <c r="H438" s="5" t="inlineStr">
        <is>
          <t>label vote</t>
        </is>
      </c>
      <c r="I438" s="5" t="inlineStr">
        <is>
          <t>SF1</t>
        </is>
      </c>
      <c r="J438" s="5" t="inlineStr">
        <is>
          <t>printed label</t>
        </is>
      </c>
      <c r="K438" s="5" t="inlineStr">
        <is>
          <t>VP20-SF1 80x25</t>
        </is>
      </c>
      <c r="L438" s="5" t="n">
        <v>253</v>
      </c>
      <c r="M438" s="5" t="n">
        <v>80</v>
      </c>
      <c r="N438" s="10">
        <f>IF(AND(ISNUMBER(L438),M438&gt;0),L438/M438,"")</f>
        <v/>
      </c>
      <c r="O438" s="5" t="n">
        <v>2.027</v>
      </c>
      <c r="P438" s="5" t="n">
        <v>79.3</v>
      </c>
      <c r="Q438" s="5" t="n">
        <v>1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4</v>
      </c>
      <c r="X438" s="5" t="n">
        <v>1</v>
      </c>
      <c r="Y438" s="5" t="n">
        <v>2.53</v>
      </c>
      <c r="Z438" s="5" t="inlineStr"/>
      <c r="AA438" s="5" t="n">
        <v>3623.9</v>
      </c>
      <c r="AB438" s="5" t="n">
        <v>3537.3</v>
      </c>
      <c r="AC438" s="5" t="n">
        <v>3661</v>
      </c>
      <c r="AD438" s="5" t="n">
        <v>3615.2</v>
      </c>
      <c r="AE438" s="5" t="inlineStr"/>
      <c r="AF438" s="5">
        <f>IF(AE438="","",IF(OR(AE438=F438,AND(AE438="crane_footing",F438="isolated_footing")),"yes","no"))</f>
        <v/>
      </c>
    </row>
    <row r="439">
      <c r="A439" s="5" t="n">
        <v>438</v>
      </c>
      <c r="B439" s="5" t="inlineStr">
        <is>
          <t>124</t>
        </is>
      </c>
      <c r="C439" s="5" t="inlineStr">
        <is>
          <t>nearest labels in its region</t>
        </is>
      </c>
      <c r="D439" s="5" t="inlineStr">
        <is>
          <t>band</t>
        </is>
      </c>
      <c r="E439" s="5" t="n">
        <v>3</v>
      </c>
      <c r="F439" s="5" t="inlineStr">
        <is>
          <t>grade_beam</t>
        </is>
      </c>
      <c r="G439" s="5" t="inlineStr">
        <is>
          <t>Grade beam LG40x15 23.93 × 0.40 m</t>
        </is>
      </c>
      <c r="H439" s="5" t="inlineStr">
        <is>
          <t>label vote</t>
        </is>
      </c>
      <c r="I439" s="5" t="inlineStr">
        <is>
          <t>LG40x15</t>
        </is>
      </c>
      <c r="J439" s="5" t="inlineStr">
        <is>
          <t>printed label</t>
        </is>
      </c>
      <c r="K439" s="5" t="inlineStr">
        <is>
          <t>LG-40x15</t>
        </is>
      </c>
      <c r="L439" s="5" t="n">
        <v>2393</v>
      </c>
      <c r="M439" s="5" t="n">
        <v>40</v>
      </c>
      <c r="N439" s="10">
        <f>IF(AND(ISNUMBER(L439),M439&gt;0),L439/M439,"")</f>
        <v/>
      </c>
      <c r="O439" s="5" t="n">
        <v>9.573</v>
      </c>
      <c r="P439" s="5" t="n">
        <v>79.3</v>
      </c>
      <c r="Q439" s="5" t="n">
        <v>4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2</v>
      </c>
      <c r="W439" s="5" t="n">
        <v>40</v>
      </c>
      <c r="X439" s="5" t="n">
        <v>6</v>
      </c>
      <c r="Y439" s="5" t="n">
        <v>10.81</v>
      </c>
      <c r="Z439" s="5" t="inlineStr"/>
      <c r="AA439" s="5" t="n">
        <v>3701.5</v>
      </c>
      <c r="AB439" s="5" t="n">
        <v>2976.5</v>
      </c>
      <c r="AC439" s="5" t="n">
        <v>3844.1</v>
      </c>
      <c r="AD439" s="5" t="n">
        <v>3673.1</v>
      </c>
      <c r="AE439" s="5" t="inlineStr"/>
      <c r="AF439" s="5">
        <f>IF(AE439="","",IF(OR(AE439=F439,AND(AE439="crane_footing",F439="isolated_footing")),"yes","no"))</f>
        <v/>
      </c>
    </row>
    <row r="440">
      <c r="A440" s="5" t="n">
        <v>439</v>
      </c>
      <c r="B440" s="5" t="inlineStr">
        <is>
          <t>124</t>
        </is>
      </c>
      <c r="C440" s="5" t="inlineStr">
        <is>
          <t>nearest labels in its region</t>
        </is>
      </c>
      <c r="D440" s="5" t="inlineStr">
        <is>
          <t>band</t>
        </is>
      </c>
      <c r="E440" s="5" t="n">
        <v>3</v>
      </c>
      <c r="F440" s="5" t="inlineStr">
        <is>
          <t>grade_beam</t>
        </is>
      </c>
      <c r="G440" s="5" t="inlineStr">
        <is>
          <t>Grade beam LG40x15 13.99 × 0.40 m</t>
        </is>
      </c>
      <c r="H440" s="5" t="inlineStr">
        <is>
          <t>label vote</t>
        </is>
      </c>
      <c r="I440" s="5" t="inlineStr">
        <is>
          <t>LG40x15</t>
        </is>
      </c>
      <c r="J440" s="5" t="inlineStr">
        <is>
          <t>printed label</t>
        </is>
      </c>
      <c r="K440" s="5" t="inlineStr">
        <is>
          <t>LG-40x15</t>
        </is>
      </c>
      <c r="L440" s="5" t="n">
        <v>1399</v>
      </c>
      <c r="M440" s="5" t="n">
        <v>40</v>
      </c>
      <c r="N440" s="10">
        <f>IF(AND(ISNUMBER(L440),M440&gt;0),L440/M440,"")</f>
        <v/>
      </c>
      <c r="O440" s="5" t="n">
        <v>5.598</v>
      </c>
      <c r="P440" s="5" t="n">
        <v>169.4</v>
      </c>
      <c r="Q440" s="5" t="n">
        <v>3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12</v>
      </c>
      <c r="X440" s="5" t="n">
        <v>1</v>
      </c>
      <c r="Y440" s="5" t="n">
        <v>8.32</v>
      </c>
      <c r="Z440" s="5" t="inlineStr"/>
      <c r="AA440" s="5" t="n">
        <v>3653.8</v>
      </c>
      <c r="AB440" s="5" t="n">
        <v>3576.8</v>
      </c>
      <c r="AC440" s="5" t="n">
        <v>4062.1</v>
      </c>
      <c r="AD440" s="5" t="n">
        <v>3664.3</v>
      </c>
      <c r="AE440" s="5" t="inlineStr"/>
      <c r="AF440" s="5">
        <f>IF(AE440="","",IF(OR(AE440=F440,AND(AE440="crane_footing",F440="isolated_footing")),"yes","no"))</f>
        <v/>
      </c>
    </row>
    <row r="441">
      <c r="A441" s="5" t="n">
        <v>440</v>
      </c>
      <c r="B441" s="5" t="inlineStr">
        <is>
          <t>124</t>
        </is>
      </c>
      <c r="C441" s="5" t="inlineStr">
        <is>
          <t>nearest labels in its region</t>
        </is>
      </c>
      <c r="D441" s="5" t="inlineStr">
        <is>
          <t>band</t>
        </is>
      </c>
      <c r="E441" s="5" t="n">
        <v>3</v>
      </c>
      <c r="F441" s="5" t="inlineStr">
        <is>
          <t>grade_beam</t>
        </is>
      </c>
      <c r="G441" s="5" t="inlineStr">
        <is>
          <t>Grade beam LG40x15 12.05 × 0.40 m</t>
        </is>
      </c>
      <c r="H441" s="5" t="inlineStr">
        <is>
          <t>label vote</t>
        </is>
      </c>
      <c r="I441" s="5" t="inlineStr">
        <is>
          <t>LG40x15</t>
        </is>
      </c>
      <c r="J441" s="5" t="inlineStr">
        <is>
          <t>printed label</t>
        </is>
      </c>
      <c r="K441" s="5" t="inlineStr">
        <is>
          <t>LG-40x15</t>
        </is>
      </c>
      <c r="L441" s="5" t="n">
        <v>1205</v>
      </c>
      <c r="M441" s="5" t="n">
        <v>40</v>
      </c>
      <c r="N441" s="10">
        <f>IF(AND(ISNUMBER(L441),M441&gt;0),L441/M441,"")</f>
        <v/>
      </c>
      <c r="O441" s="5" t="n">
        <v>4.82</v>
      </c>
      <c r="P441" s="5" t="n">
        <v>169.4</v>
      </c>
      <c r="Q441" s="5" t="n">
        <v>3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5</v>
      </c>
      <c r="Y441" s="5" t="n">
        <v>3.59</v>
      </c>
      <c r="Z441" s="5" t="inlineStr"/>
      <c r="AA441" s="5" t="n">
        <v>3583.4</v>
      </c>
      <c r="AB441" s="5" t="n">
        <v>3174.1</v>
      </c>
      <c r="AC441" s="5" t="n">
        <v>3935.4</v>
      </c>
      <c r="AD441" s="5" t="n">
        <v>3251</v>
      </c>
      <c r="AE441" s="5" t="inlineStr"/>
      <c r="AF441" s="5">
        <f>IF(AE441="","",IF(OR(AE441=F441,AND(AE441="crane_footing",F441="isolated_footing")),"yes","no"))</f>
        <v/>
      </c>
    </row>
    <row r="442">
      <c r="A442" s="5" t="n">
        <v>441</v>
      </c>
      <c r="B442" s="5" t="inlineStr">
        <is>
          <t>124</t>
        </is>
      </c>
      <c r="C442" s="5" t="inlineStr">
        <is>
          <t>nearest labels in its region</t>
        </is>
      </c>
      <c r="D442" s="5" t="inlineStr">
        <is>
          <t>band</t>
        </is>
      </c>
      <c r="E442" s="5" t="n">
        <v>3</v>
      </c>
      <c r="F442" s="5" t="inlineStr">
        <is>
          <t>grade_beam</t>
        </is>
      </c>
      <c r="G442" s="5" t="inlineStr">
        <is>
          <t>Grade beam LG40x15 10.20 × 0.40 m</t>
        </is>
      </c>
      <c r="H442" s="5" t="inlineStr">
        <is>
          <t>label vote</t>
        </is>
      </c>
      <c r="I442" s="5" t="inlineStr">
        <is>
          <t>LG40x15</t>
        </is>
      </c>
      <c r="J442" s="5" t="inlineStr">
        <is>
          <t>printed label</t>
        </is>
      </c>
      <c r="K442" s="5" t="inlineStr">
        <is>
          <t>LG-40x15</t>
        </is>
      </c>
      <c r="L442" s="5" t="n">
        <v>1020</v>
      </c>
      <c r="M442" s="5" t="n">
        <v>40</v>
      </c>
      <c r="N442" s="10">
        <f>IF(AND(ISNUMBER(L442),M442&gt;0),L442/M442,"")</f>
        <v/>
      </c>
      <c r="O442" s="5" t="n">
        <v>4.082</v>
      </c>
      <c r="P442" s="5" t="n">
        <v>169.3</v>
      </c>
      <c r="Q442" s="5" t="n">
        <v>2</v>
      </c>
      <c r="R442" s="5" t="n">
        <v>0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8</v>
      </c>
      <c r="X442" s="5" t="n">
        <v>4</v>
      </c>
      <c r="Y442" s="5" t="n">
        <v>3.01</v>
      </c>
      <c r="Z442" s="5" t="inlineStr"/>
      <c r="AA442" s="5" t="n">
        <v>3952.6</v>
      </c>
      <c r="AB442" s="5" t="n">
        <v>3167.2</v>
      </c>
      <c r="AC442" s="5" t="n">
        <v>4250.8</v>
      </c>
      <c r="AD442" s="5" t="n">
        <v>3234.8</v>
      </c>
      <c r="AE442" s="5" t="inlineStr"/>
      <c r="AF442" s="5">
        <f>IF(AE442="","",IF(OR(AE442=F442,AND(AE442="crane_footing",F442="isolated_footing")),"yes","no"))</f>
        <v/>
      </c>
    </row>
    <row r="443">
      <c r="A443" s="5" t="n">
        <v>442</v>
      </c>
      <c r="B443" s="5" t="inlineStr">
        <is>
          <t>124</t>
        </is>
      </c>
      <c r="C443" s="5" t="inlineStr">
        <is>
          <t>nearest labels in its region</t>
        </is>
      </c>
      <c r="D443" s="5" t="inlineStr">
        <is>
          <t>band</t>
        </is>
      </c>
      <c r="E443" s="5" t="n">
        <v>3</v>
      </c>
      <c r="F443" s="5" t="inlineStr">
        <is>
          <t>grade_beam</t>
        </is>
      </c>
      <c r="G443" s="5" t="inlineStr">
        <is>
          <t>Grade beam LG40x15 7.52 × 0.40 m</t>
        </is>
      </c>
      <c r="H443" s="5" t="inlineStr">
        <is>
          <t>label vote</t>
        </is>
      </c>
      <c r="I443" s="5" t="inlineStr">
        <is>
          <t>LG40x15</t>
        </is>
      </c>
      <c r="J443" s="5" t="inlineStr">
        <is>
          <t>printed label</t>
        </is>
      </c>
      <c r="K443" s="5" t="inlineStr">
        <is>
          <t>LG-40x15</t>
        </is>
      </c>
      <c r="L443" s="5" t="n">
        <v>752</v>
      </c>
      <c r="M443" s="5" t="n">
        <v>40</v>
      </c>
      <c r="N443" s="10">
        <f>IF(AND(ISNUMBER(L443),M443&gt;0),L443/M443,"")</f>
        <v/>
      </c>
      <c r="O443" s="5" t="n">
        <v>3.01</v>
      </c>
      <c r="P443" s="5" t="n">
        <v>169.3</v>
      </c>
      <c r="Q443" s="5" t="n">
        <v>1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4</v>
      </c>
      <c r="X443" s="5" t="n">
        <v>2</v>
      </c>
      <c r="Y443" s="5" t="n">
        <v>7.52</v>
      </c>
      <c r="Z443" s="5" t="inlineStr"/>
      <c r="AA443" s="5" t="n">
        <v>3787.1</v>
      </c>
      <c r="AB443" s="5" t="n">
        <v>3327.4</v>
      </c>
      <c r="AC443" s="5" t="n">
        <v>4007.6</v>
      </c>
      <c r="AD443" s="5" t="n">
        <v>3380.1</v>
      </c>
      <c r="AE443" s="5" t="inlineStr"/>
      <c r="AF443" s="5">
        <f>IF(AE443="","",IF(OR(AE443=F443,AND(AE443="crane_footing",F443="isolated_footing")),"yes","no"))</f>
        <v/>
      </c>
    </row>
    <row r="444">
      <c r="A444" s="5" t="n">
        <v>443</v>
      </c>
      <c r="B444" s="5" t="inlineStr">
        <is>
          <t>124</t>
        </is>
      </c>
      <c r="C444" s="5" t="inlineStr">
        <is>
          <t>nearest labels in its region</t>
        </is>
      </c>
      <c r="D444" s="5" t="inlineStr">
        <is>
          <t>band</t>
        </is>
      </c>
      <c r="E444" s="5" t="n">
        <v>3</v>
      </c>
      <c r="F444" s="5" t="inlineStr">
        <is>
          <t>grade_beam</t>
        </is>
      </c>
      <c r="G444" s="5" t="inlineStr">
        <is>
          <t>Grade beam LG40x15 5.43 × 0.40 m</t>
        </is>
      </c>
      <c r="H444" s="5" t="inlineStr">
        <is>
          <t>label vote</t>
        </is>
      </c>
      <c r="I444" s="5" t="inlineStr">
        <is>
          <t>LG40x15</t>
        </is>
      </c>
      <c r="J444" s="5" t="inlineStr">
        <is>
          <t>printed label</t>
        </is>
      </c>
      <c r="K444" s="5" t="inlineStr">
        <is>
          <t>LG-40x15</t>
        </is>
      </c>
      <c r="L444" s="5" t="n">
        <v>543</v>
      </c>
      <c r="M444" s="5" t="n">
        <v>40</v>
      </c>
      <c r="N444" s="10">
        <f>IF(AND(ISNUMBER(L444),M444&gt;0),L444/M444,"")</f>
        <v/>
      </c>
      <c r="O444" s="5" t="n">
        <v>2.171</v>
      </c>
      <c r="P444" s="5" t="n">
        <v>169.4</v>
      </c>
      <c r="Q444" s="5" t="n">
        <v>1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1</v>
      </c>
      <c r="W444" s="5" t="n">
        <v>18</v>
      </c>
      <c r="X444" s="5" t="n">
        <v>3</v>
      </c>
      <c r="Y444" s="5" t="n">
        <v>1.5</v>
      </c>
      <c r="Z444" s="5" t="inlineStr"/>
      <c r="AA444" s="5" t="n">
        <v>3628.4</v>
      </c>
      <c r="AB444" s="5" t="n">
        <v>3426.5</v>
      </c>
      <c r="AC444" s="5" t="n">
        <v>3788.1</v>
      </c>
      <c r="AD444" s="5" t="n">
        <v>3467.5</v>
      </c>
      <c r="AE444" s="5" t="inlineStr"/>
      <c r="AF444" s="5">
        <f>IF(AE444="","",IF(OR(AE444=F444,AND(AE444="crane_footing",F444="isolated_footing")),"yes","no"))</f>
        <v/>
      </c>
    </row>
    <row r="445">
      <c r="A445" s="5" t="n">
        <v>444</v>
      </c>
      <c r="B445" s="5" t="inlineStr">
        <is>
          <t>124</t>
        </is>
      </c>
      <c r="C445" s="5" t="inlineStr">
        <is>
          <t>nearest labels in its region</t>
        </is>
      </c>
      <c r="D445" s="5" t="inlineStr">
        <is>
          <t>band</t>
        </is>
      </c>
      <c r="E445" s="5" t="n">
        <v>3</v>
      </c>
      <c r="F445" s="5" t="inlineStr">
        <is>
          <t>grade_beam</t>
        </is>
      </c>
      <c r="G445" s="5" t="inlineStr">
        <is>
          <t>Grade beam LG40x15 3.26 × 0.40 m</t>
        </is>
      </c>
      <c r="H445" s="5" t="inlineStr">
        <is>
          <t>label vote</t>
        </is>
      </c>
      <c r="I445" s="5" t="inlineStr">
        <is>
          <t>LG40x15</t>
        </is>
      </c>
      <c r="J445" s="5" t="inlineStr">
        <is>
          <t>printed label</t>
        </is>
      </c>
      <c r="K445" s="5" t="inlineStr">
        <is>
          <t>LG-40x15</t>
        </is>
      </c>
      <c r="L445" s="5" t="n">
        <v>326</v>
      </c>
      <c r="M445" s="5" t="n">
        <v>40</v>
      </c>
      <c r="N445" s="10">
        <f>IF(AND(ISNUMBER(L445),M445&gt;0),L445/M445,"")</f>
        <v/>
      </c>
      <c r="O445" s="5" t="n">
        <v>1.303</v>
      </c>
      <c r="P445" s="5" t="n">
        <v>79.40000000000001</v>
      </c>
      <c r="Q445" s="5" t="n">
        <v>2</v>
      </c>
      <c r="R445" s="5" t="n">
        <v>1</v>
      </c>
      <c r="S445" s="5" t="n">
        <v>0</v>
      </c>
      <c r="T445" s="5" t="n">
        <v>0</v>
      </c>
      <c r="U445" s="5" t="n">
        <v>0</v>
      </c>
      <c r="V445" s="5" t="n">
        <v>1</v>
      </c>
      <c r="W445" s="5" t="n">
        <v>3</v>
      </c>
      <c r="X445" s="5" t="n">
        <v>1</v>
      </c>
      <c r="Y445" s="5" t="n">
        <v>1.51</v>
      </c>
      <c r="Z445" s="5" t="inlineStr"/>
      <c r="AA445" s="5" t="n">
        <v>4069.3</v>
      </c>
      <c r="AB445" s="5" t="n">
        <v>3209.3</v>
      </c>
      <c r="AC445" s="5" t="n">
        <v>4098.6</v>
      </c>
      <c r="AD445" s="5" t="n">
        <v>3306</v>
      </c>
      <c r="AE445" s="5" t="inlineStr"/>
      <c r="AF445" s="5">
        <f>IF(AE445="","",IF(OR(AE445=F445,AND(AE445="crane_footing",F445="isolated_footing")),"yes","no"))</f>
        <v/>
      </c>
    </row>
    <row r="446">
      <c r="A446" s="5" t="n">
        <v>445</v>
      </c>
      <c r="B446" s="5" t="inlineStr">
        <is>
          <t>124</t>
        </is>
      </c>
      <c r="C446" s="5" t="inlineStr">
        <is>
          <t>nearest labels in its region</t>
        </is>
      </c>
      <c r="D446" s="5" t="inlineStr">
        <is>
          <t>band</t>
        </is>
      </c>
      <c r="E446" s="5" t="n">
        <v>3</v>
      </c>
      <c r="F446" s="5" t="inlineStr">
        <is>
          <t>grade_beam</t>
        </is>
      </c>
      <c r="G446" s="5" t="inlineStr">
        <is>
          <t>Grade beam LG40x15 3.21 × 0.40 m</t>
        </is>
      </c>
      <c r="H446" s="5" t="inlineStr">
        <is>
          <t>label vote</t>
        </is>
      </c>
      <c r="I446" s="5" t="inlineStr">
        <is>
          <t>LG40x15</t>
        </is>
      </c>
      <c r="J446" s="5" t="inlineStr">
        <is>
          <t>printed label</t>
        </is>
      </c>
      <c r="K446" s="5" t="inlineStr">
        <is>
          <t>LG-40x15</t>
        </is>
      </c>
      <c r="L446" s="5" t="n">
        <v>321</v>
      </c>
      <c r="M446" s="5" t="n">
        <v>40</v>
      </c>
      <c r="N446" s="10">
        <f>IF(AND(ISNUMBER(L446),M446&gt;0),L446/M446,"")</f>
        <v/>
      </c>
      <c r="O446" s="5" t="n">
        <v>1.283</v>
      </c>
      <c r="P446" s="5" t="n">
        <v>79.40000000000001</v>
      </c>
      <c r="Q446" s="5" t="n">
        <v>2</v>
      </c>
      <c r="R446" s="5" t="n">
        <v>1</v>
      </c>
      <c r="S446" s="5" t="n">
        <v>0</v>
      </c>
      <c r="T446" s="5" t="n">
        <v>0</v>
      </c>
      <c r="U446" s="5" t="n">
        <v>0</v>
      </c>
      <c r="V446" s="5" t="n">
        <v>1</v>
      </c>
      <c r="W446" s="5" t="n">
        <v>2</v>
      </c>
      <c r="X446" s="5" t="n">
        <v>1</v>
      </c>
      <c r="Y446" s="5" t="n">
        <v>1.5</v>
      </c>
      <c r="Z446" s="5" t="inlineStr"/>
      <c r="AA446" s="5" t="n">
        <v>3985.4</v>
      </c>
      <c r="AB446" s="5" t="n">
        <v>3226.2</v>
      </c>
      <c r="AC446" s="5" t="n">
        <v>4014.5</v>
      </c>
      <c r="AD446" s="5" t="n">
        <v>3321.5</v>
      </c>
      <c r="AE446" s="5" t="inlineStr"/>
      <c r="AF446" s="5">
        <f>IF(AE446="","",IF(OR(AE446=F446,AND(AE446="crane_footing",F446="isolated_footing")),"yes","no"))</f>
        <v/>
      </c>
    </row>
    <row r="447">
      <c r="A447" s="5" t="n">
        <v>446</v>
      </c>
      <c r="B447" s="5" t="inlineStr">
        <is>
          <t>124</t>
        </is>
      </c>
      <c r="C447" s="5" t="inlineStr">
        <is>
          <t>nearest labels in its region</t>
        </is>
      </c>
      <c r="D447" s="5" t="inlineStr">
        <is>
          <t>stamped_region</t>
        </is>
      </c>
      <c r="E447" s="5" t="n">
        <v>39</v>
      </c>
      <c r="F447" s="5" t="inlineStr">
        <is>
          <t>raft</t>
        </is>
      </c>
      <c r="G447" s="5" t="inlineStr">
        <is>
          <t>Raft Radier 100 12.00 × 6.01 m</t>
        </is>
      </c>
      <c r="H447" s="5" t="inlineStr">
        <is>
          <t>label vote</t>
        </is>
      </c>
      <c r="I447" s="5" t="inlineStr">
        <is>
          <t>Radier 100</t>
        </is>
      </c>
      <c r="J447" s="5" t="inlineStr">
        <is>
          <t>printed label</t>
        </is>
      </c>
      <c r="K447" s="5" t="inlineStr">
        <is>
          <t>Radier</t>
        </is>
      </c>
      <c r="L447" s="5" t="n">
        <v>1200</v>
      </c>
      <c r="M447" s="5" t="n">
        <v>601</v>
      </c>
      <c r="N447" s="10">
        <f>IF(AND(ISNUMBER(L447),M447&gt;0),L447/M447,"")</f>
        <v/>
      </c>
      <c r="O447" s="5" t="n">
        <v>71.925</v>
      </c>
      <c r="P447" s="5" t="n">
        <v>79.40000000000001</v>
      </c>
      <c r="Q447" s="5" t="n">
        <v>11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9</v>
      </c>
      <c r="W447" s="5" t="n">
        <v>76</v>
      </c>
      <c r="X447" s="5" t="n">
        <v>5</v>
      </c>
      <c r="Y447" s="5" t="n"/>
      <c r="Z447" s="5" t="inlineStr">
        <is>
          <t>traced outline</t>
        </is>
      </c>
      <c r="AA447" s="5" t="n">
        <v>3960.9</v>
      </c>
      <c r="AB447" s="5" t="n">
        <v>3282.6</v>
      </c>
      <c r="AC447" s="5" t="n">
        <v>4200.1</v>
      </c>
      <c r="AD447" s="5" t="n">
        <v>3663.4</v>
      </c>
      <c r="AE447" s="5" t="inlineStr"/>
      <c r="AF447" s="5">
        <f>IF(AE447="","",IF(OR(AE447=F447,AND(AE447="crane_footing",F447="isolated_footing")),"yes","no"))</f>
        <v/>
      </c>
    </row>
    <row r="448">
      <c r="A448" s="5" t="n">
        <v>447</v>
      </c>
      <c r="B448" s="5" t="inlineStr">
        <is>
          <t>124</t>
        </is>
      </c>
      <c r="C448" s="5" t="inlineStr">
        <is>
          <t>nearest labels</t>
        </is>
      </c>
      <c r="D448" s="5" t="inlineStr">
        <is>
          <t>band</t>
        </is>
      </c>
      <c r="E448" s="5" t="n">
        <v>0</v>
      </c>
      <c r="F448" s="5" t="inlineStr">
        <is>
          <t>unidentified</t>
        </is>
      </c>
      <c r="G448" s="5" t="inlineStr">
        <is>
          <t>C0</t>
        </is>
      </c>
      <c r="H448" s="5" t="inlineStr">
        <is>
          <t>no label votes</t>
        </is>
      </c>
      <c r="I448" s="5" t="inlineStr">
        <is>
          <t>(none)</t>
        </is>
      </c>
      <c r="J448" s="5" t="inlineStr"/>
      <c r="K448" s="5" t="inlineStr"/>
      <c r="L448" s="5" t="n">
        <v>2255</v>
      </c>
      <c r="M448" s="5" t="n">
        <v>10</v>
      </c>
      <c r="N448" s="10">
        <f>IF(AND(ISNUMBER(L448),M448&gt;0),L448/M448,"")</f>
        <v/>
      </c>
      <c r="O448" s="5" t="n">
        <v>2.277</v>
      </c>
      <c r="P448" s="5" t="n">
        <v>79.3</v>
      </c>
      <c r="Q448" s="5" t="n">
        <v>9</v>
      </c>
      <c r="R448" s="5" t="n">
        <v>0</v>
      </c>
      <c r="S448" s="5" t="n">
        <v>0</v>
      </c>
      <c r="T448" s="5" t="n">
        <v>0</v>
      </c>
      <c r="U448" s="5" t="n">
        <v>0</v>
      </c>
      <c r="V448" s="5" t="n">
        <v>0</v>
      </c>
      <c r="W448" s="5" t="n">
        <v>0</v>
      </c>
      <c r="X448" s="5" t="n">
        <v>7</v>
      </c>
      <c r="Y448" s="5" t="n">
        <v>9.81</v>
      </c>
      <c r="Z448" s="5" t="inlineStr"/>
      <c r="AA448" s="5" t="n">
        <v>3502.3</v>
      </c>
      <c r="AB448" s="5" t="n">
        <v>2863.7</v>
      </c>
      <c r="AC448" s="5" t="n">
        <v>3628.4</v>
      </c>
      <c r="AD448" s="5" t="n">
        <v>3518.5</v>
      </c>
      <c r="AE448" s="5" t="inlineStr"/>
      <c r="AF448" s="5">
        <f>IF(AE448="","",IF(OR(AE448=F448,AND(AE448="crane_footing",F448="isolated_footing")),"yes","no"))</f>
        <v/>
      </c>
    </row>
    <row r="449">
      <c r="A449" s="5" t="n">
        <v>448</v>
      </c>
      <c r="B449" s="5" t="inlineStr">
        <is>
          <t>124</t>
        </is>
      </c>
      <c r="C449" s="5" t="inlineStr">
        <is>
          <t>nearest labels in its region</t>
        </is>
      </c>
      <c r="D449" s="5" t="inlineStr">
        <is>
          <t>band</t>
        </is>
      </c>
      <c r="E449" s="5" t="n">
        <v>0</v>
      </c>
      <c r="F449" s="5" t="inlineStr">
        <is>
          <t>unidentified</t>
        </is>
      </c>
      <c r="G449" s="5" t="inlineStr">
        <is>
          <t>C0</t>
        </is>
      </c>
      <c r="H449" s="5" t="inlineStr">
        <is>
          <t>no label votes</t>
        </is>
      </c>
      <c r="I449" s="5" t="inlineStr">
        <is>
          <t>(none)</t>
        </is>
      </c>
      <c r="J449" s="5" t="inlineStr"/>
      <c r="K449" s="5" t="inlineStr"/>
      <c r="L449" s="5" t="n">
        <v>507</v>
      </c>
      <c r="M449" s="5" t="n">
        <v>10</v>
      </c>
      <c r="N449" s="10">
        <f>IF(AND(ISNUMBER(L449),M449&gt;0),L449/M449,"")</f>
        <v/>
      </c>
      <c r="O449" s="5" t="n">
        <v>0.513</v>
      </c>
      <c r="P449" s="5" t="n">
        <v>79.3</v>
      </c>
      <c r="Q449" s="5" t="n">
        <v>3</v>
      </c>
      <c r="R449" s="5" t="n">
        <v>0</v>
      </c>
      <c r="S449" s="5" t="n">
        <v>0</v>
      </c>
      <c r="T449" s="5" t="n">
        <v>0</v>
      </c>
      <c r="U449" s="5" t="n">
        <v>0</v>
      </c>
      <c r="V449" s="5" t="n">
        <v>0</v>
      </c>
      <c r="W449" s="5" t="n">
        <v>0</v>
      </c>
      <c r="X449" s="5" t="n">
        <v>0</v>
      </c>
      <c r="Y449" s="5" t="n">
        <v>3.18</v>
      </c>
      <c r="Z449" s="5" t="inlineStr"/>
      <c r="AA449" s="5" t="n">
        <v>4304.6</v>
      </c>
      <c r="AB449" s="5" t="n">
        <v>3399.7</v>
      </c>
      <c r="AC449" s="5" t="n">
        <v>4335.2</v>
      </c>
      <c r="AD449" s="5" t="n">
        <v>3547.5</v>
      </c>
      <c r="AE449" s="5" t="inlineStr"/>
      <c r="AF449" s="5">
        <f>IF(AE449="","",IF(OR(AE449=F449,AND(AE449="crane_footing",F449="isolated_footing")),"yes","no"))</f>
        <v/>
      </c>
    </row>
    <row r="450">
      <c r="A450" s="5" t="n">
        <v>449</v>
      </c>
      <c r="B450" s="5" t="inlineStr">
        <is>
          <t>124</t>
        </is>
      </c>
      <c r="C450" s="5" t="inlineStr">
        <is>
          <t>nearest labels in its region</t>
        </is>
      </c>
      <c r="D450" s="5" t="inlineStr">
        <is>
          <t>band</t>
        </is>
      </c>
      <c r="E450" s="5" t="n">
        <v>2</v>
      </c>
      <c r="F450" s="5" t="inlineStr">
        <is>
          <t>unidentified</t>
        </is>
      </c>
      <c r="G450" s="5" t="inlineStr">
        <is>
          <t>C2</t>
        </is>
      </c>
      <c r="H450" s="5" t="inlineStr">
        <is>
          <t>no label votes</t>
        </is>
      </c>
      <c r="I450" s="5" t="inlineStr">
        <is>
          <t>(none)</t>
        </is>
      </c>
      <c r="J450" s="5" t="inlineStr"/>
      <c r="K450" s="5" t="inlineStr"/>
      <c r="L450" s="5" t="n">
        <v>122</v>
      </c>
      <c r="M450" s="5" t="n">
        <v>32</v>
      </c>
      <c r="N450" s="10">
        <f>IF(AND(ISNUMBER(L450),M450&gt;0),L450/M450,"")</f>
        <v/>
      </c>
      <c r="O450" s="5" t="n">
        <v>0.388</v>
      </c>
      <c r="P450" s="5" t="n">
        <v>79.3</v>
      </c>
      <c r="Q450" s="5" t="n">
        <v>0</v>
      </c>
      <c r="R450" s="5" t="n">
        <v>1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v>0</v>
      </c>
      <c r="X450" s="5" t="n">
        <v>1</v>
      </c>
      <c r="Y450" s="5" t="n">
        <v>0</v>
      </c>
      <c r="Z450" s="5" t="inlineStr"/>
      <c r="AA450" s="5" t="n">
        <v>4264.4</v>
      </c>
      <c r="AB450" s="5" t="n">
        <v>3106.3</v>
      </c>
      <c r="AC450" s="5" t="n">
        <v>4280.3</v>
      </c>
      <c r="AD450" s="5" t="n">
        <v>3143.4</v>
      </c>
      <c r="AE450" s="5" t="inlineStr"/>
      <c r="AF450" s="5">
        <f>IF(AE450="","",IF(OR(AE450=F450,AND(AE450="crane_footing",F450="isolated_footing")),"yes","no"))</f>
        <v/>
      </c>
    </row>
    <row r="451">
      <c r="A451" s="5" t="n">
        <v>450</v>
      </c>
      <c r="B451" s="5" t="inlineStr">
        <is>
          <t>125</t>
        </is>
      </c>
      <c r="C451" s="5" t="inlineStr">
        <is>
          <t>own label</t>
        </is>
      </c>
      <c r="D451" s="5" t="inlineStr">
        <is>
          <t>solid</t>
        </is>
      </c>
      <c r="E451" s="5" t="n">
        <v>25</v>
      </c>
      <c r="F451" s="5" t="inlineStr">
        <is>
          <t>column</t>
        </is>
      </c>
      <c r="G451" s="5" t="inlineStr">
        <is>
          <t>Column P1/125 0.80 × 0.30 m</t>
        </is>
      </c>
      <c r="H451" s="5" t="inlineStr">
        <is>
          <t>its own label (the cluster's class was only a guess)</t>
        </is>
      </c>
      <c r="I451" s="5" t="inlineStr">
        <is>
          <t>P1/125</t>
        </is>
      </c>
      <c r="J451" s="5" t="inlineStr">
        <is>
          <t>printed label</t>
        </is>
      </c>
      <c r="K451" s="5" t="inlineStr">
        <is>
          <t>P1/125/125</t>
        </is>
      </c>
      <c r="L451" s="5" t="n">
        <v>80</v>
      </c>
      <c r="M451" s="5" t="n">
        <v>30</v>
      </c>
      <c r="N451" s="10">
        <f>IF(AND(ISNUMBER(L451),M451&gt;0),L451/M451,"")</f>
        <v/>
      </c>
      <c r="O451" s="5" t="n">
        <v>0.24</v>
      </c>
      <c r="P451" s="5" t="n">
        <v>79.40000000000001</v>
      </c>
      <c r="Q451" s="5" t="n">
        <v>0</v>
      </c>
      <c r="R451" s="5" t="n">
        <v>0</v>
      </c>
      <c r="S451" s="5" t="n">
        <v>0</v>
      </c>
      <c r="T451" s="5" t="n">
        <v>1</v>
      </c>
      <c r="U451" s="5" t="n">
        <v>0</v>
      </c>
      <c r="V451" s="5" t="n">
        <v>0</v>
      </c>
      <c r="W451" s="5" t="n">
        <v>1</v>
      </c>
      <c r="X451" s="5" t="n">
        <v>0</v>
      </c>
      <c r="Y451" s="5" t="n"/>
      <c r="Z451" s="5" t="inlineStr"/>
      <c r="AA451" s="5" t="n">
        <v>3226.5</v>
      </c>
      <c r="AB451" s="5" t="n">
        <v>3425.2</v>
      </c>
      <c r="AC451" s="5" t="n">
        <v>3239.6</v>
      </c>
      <c r="AD451" s="5" t="n">
        <v>3450.1</v>
      </c>
      <c r="AE451" s="5" t="inlineStr">
        <is>
          <t>column</t>
        </is>
      </c>
      <c r="AF451" s="5">
        <f>IF(AE451="","",IF(OR(AE451=F451,AND(AE451="crane_footing",F451="isolated_footing")),"yes","no"))</f>
        <v/>
      </c>
    </row>
    <row r="452">
      <c r="A452" s="5" t="n">
        <v>451</v>
      </c>
      <c r="B452" s="5" t="inlineStr">
        <is>
          <t>125</t>
        </is>
      </c>
      <c r="C452" s="5" t="inlineStr">
        <is>
          <t>own label</t>
        </is>
      </c>
      <c r="D452" s="5" t="inlineStr">
        <is>
          <t>solid</t>
        </is>
      </c>
      <c r="E452" s="5" t="n">
        <v>25</v>
      </c>
      <c r="F452" s="5" t="inlineStr">
        <is>
          <t>column</t>
        </is>
      </c>
      <c r="G452" s="5" t="inlineStr">
        <is>
          <t>Column P1/125 0.80 × 0.30 m</t>
        </is>
      </c>
      <c r="H452" s="5" t="inlineStr">
        <is>
          <t>its own label (the cluster's class was only a guess)</t>
        </is>
      </c>
      <c r="I452" s="5" t="inlineStr">
        <is>
          <t>P1/125</t>
        </is>
      </c>
      <c r="J452" s="5" t="inlineStr">
        <is>
          <t>printed label</t>
        </is>
      </c>
      <c r="K452" s="5" t="inlineStr">
        <is>
          <t>P1/125/125</t>
        </is>
      </c>
      <c r="L452" s="5" t="n">
        <v>80</v>
      </c>
      <c r="M452" s="5" t="n">
        <v>30</v>
      </c>
      <c r="N452" s="10">
        <f>IF(AND(ISNUMBER(L452),M452&gt;0),L452/M452,"")</f>
        <v/>
      </c>
      <c r="O452" s="5" t="n">
        <v>0.24</v>
      </c>
      <c r="P452" s="5" t="n">
        <v>79.5</v>
      </c>
      <c r="Q452" s="5" t="n">
        <v>0</v>
      </c>
      <c r="R452" s="5" t="n">
        <v>0</v>
      </c>
      <c r="S452" s="5" t="n">
        <v>0</v>
      </c>
      <c r="T452" s="5" t="n">
        <v>1</v>
      </c>
      <c r="U452" s="5" t="n">
        <v>0</v>
      </c>
      <c r="V452" s="5" t="n">
        <v>0</v>
      </c>
      <c r="W452" s="5" t="n">
        <v>1</v>
      </c>
      <c r="X452" s="5" t="n">
        <v>0</v>
      </c>
      <c r="Y452" s="5" t="n"/>
      <c r="Z452" s="5" t="inlineStr"/>
      <c r="AA452" s="5" t="n">
        <v>3159.7</v>
      </c>
      <c r="AB452" s="5" t="n">
        <v>3437.7</v>
      </c>
      <c r="AC452" s="5" t="n">
        <v>3172.8</v>
      </c>
      <c r="AD452" s="5" t="n">
        <v>3462.5</v>
      </c>
      <c r="AE452" s="5" t="inlineStr">
        <is>
          <t>column</t>
        </is>
      </c>
      <c r="AF452" s="5">
        <f>IF(AE452="","",IF(OR(AE452=F452,AND(AE452="crane_footing",F452="isolated_footing")),"yes","no"))</f>
        <v/>
      </c>
    </row>
    <row r="453">
      <c r="A453" s="5" t="n">
        <v>452</v>
      </c>
      <c r="B453" s="5" t="inlineStr">
        <is>
          <t>125</t>
        </is>
      </c>
      <c r="C453" s="5" t="inlineStr">
        <is>
          <t>own label</t>
        </is>
      </c>
      <c r="D453" s="5" t="inlineStr">
        <is>
          <t>solid</t>
        </is>
      </c>
      <c r="E453" s="5" t="n">
        <v>33</v>
      </c>
      <c r="F453" s="5" t="inlineStr">
        <is>
          <t>shear_wall</t>
        </is>
      </c>
      <c r="G453" s="5" t="inlineStr">
        <is>
          <t>Shear wall V1/125 1.25 × 0.30 m</t>
        </is>
      </c>
      <c r="H453" s="5" t="inlineStr">
        <is>
          <t>label vote</t>
        </is>
      </c>
      <c r="I453" s="5" t="inlineStr">
        <is>
          <t>V1/125</t>
        </is>
      </c>
      <c r="J453" s="5" t="inlineStr">
        <is>
          <t>printed label</t>
        </is>
      </c>
      <c r="K453" s="5" t="inlineStr">
        <is>
          <t>V1/125/125</t>
        </is>
      </c>
      <c r="L453" s="5" t="n">
        <v>125</v>
      </c>
      <c r="M453" s="5" t="n">
        <v>30</v>
      </c>
      <c r="N453" s="10">
        <f>IF(AND(ISNUMBER(L453),M453&gt;0),L453/M453,"")</f>
        <v/>
      </c>
      <c r="O453" s="5" t="n">
        <v>0.375</v>
      </c>
      <c r="P453" s="5" t="n">
        <v>79.3</v>
      </c>
      <c r="Q453" s="5" t="n">
        <v>1</v>
      </c>
      <c r="R453" s="5" t="n">
        <v>1</v>
      </c>
      <c r="S453" s="5" t="n">
        <v>0</v>
      </c>
      <c r="T453" s="5" t="n">
        <v>0</v>
      </c>
      <c r="U453" s="5" t="n">
        <v>0</v>
      </c>
      <c r="V453" s="5" t="n">
        <v>0</v>
      </c>
      <c r="W453" s="5" t="n">
        <v>2</v>
      </c>
      <c r="X453" s="5" t="n">
        <v>3</v>
      </c>
      <c r="Y453" s="5" t="n"/>
      <c r="Z453" s="5" t="inlineStr"/>
      <c r="AA453" s="5" t="n">
        <v>3605.8</v>
      </c>
      <c r="AB453" s="5" t="n">
        <v>3460.4</v>
      </c>
      <c r="AC453" s="5" t="n">
        <v>3621.4</v>
      </c>
      <c r="AD453" s="5" t="n">
        <v>3498.3</v>
      </c>
      <c r="AE453" s="5" t="inlineStr"/>
      <c r="AF453" s="5">
        <f>IF(AE453="","",IF(OR(AE453=F453,AND(AE453="crane_footing",F453="isolated_footing")),"yes","no"))</f>
        <v/>
      </c>
    </row>
    <row r="454">
      <c r="A454" s="5" t="n">
        <v>453</v>
      </c>
      <c r="B454" s="5" t="inlineStr">
        <is>
          <t>125</t>
        </is>
      </c>
      <c r="C454" s="5" t="inlineStr">
        <is>
          <t>own label</t>
        </is>
      </c>
      <c r="D454" s="5" t="inlineStr">
        <is>
          <t>solid</t>
        </is>
      </c>
      <c r="E454" s="5" t="n">
        <v>35</v>
      </c>
      <c r="F454" s="5" t="inlineStr">
        <is>
          <t>shear_wall</t>
        </is>
      </c>
      <c r="G454" s="5" t="inlineStr">
        <is>
          <t>Shear wall V1/125 1.25 × 0.30 m</t>
        </is>
      </c>
      <c r="H454" s="5" t="inlineStr">
        <is>
          <t>similar to cluster 31 (distance 2.05)</t>
        </is>
      </c>
      <c r="I454" s="5" t="inlineStr">
        <is>
          <t>V1/125</t>
        </is>
      </c>
      <c r="J454" s="5" t="inlineStr">
        <is>
          <t>printed label</t>
        </is>
      </c>
      <c r="K454" s="5" t="inlineStr">
        <is>
          <t>V1/125/125</t>
        </is>
      </c>
      <c r="L454" s="5" t="n">
        <v>125</v>
      </c>
      <c r="M454" s="5" t="n">
        <v>30</v>
      </c>
      <c r="N454" s="10">
        <f>IF(AND(ISNUMBER(L454),M454&gt;0),L454/M454,"")</f>
        <v/>
      </c>
      <c r="O454" s="5" t="n">
        <v>0.375</v>
      </c>
      <c r="P454" s="5" t="n">
        <v>79.3</v>
      </c>
      <c r="Q454" s="5" t="n">
        <v>0</v>
      </c>
      <c r="R454" s="5" t="n">
        <v>1</v>
      </c>
      <c r="S454" s="5" t="n">
        <v>0</v>
      </c>
      <c r="T454" s="5" t="n">
        <v>0</v>
      </c>
      <c r="U454" s="5" t="n">
        <v>1</v>
      </c>
      <c r="V454" s="5" t="n">
        <v>0</v>
      </c>
      <c r="W454" s="5" t="n">
        <v>1</v>
      </c>
      <c r="X454" s="5" t="n">
        <v>0</v>
      </c>
      <c r="Y454" s="5" t="n"/>
      <c r="Z454" s="5" t="inlineStr"/>
      <c r="AA454" s="5" t="n">
        <v>3646.2</v>
      </c>
      <c r="AB454" s="5" t="n">
        <v>3675</v>
      </c>
      <c r="AC454" s="5" t="n">
        <v>3661.8</v>
      </c>
      <c r="AD454" s="5" t="n">
        <v>3712.9</v>
      </c>
      <c r="AE454" s="5" t="inlineStr">
        <is>
          <t>shear_wall</t>
        </is>
      </c>
      <c r="AF454" s="5">
        <f>IF(AE454="","",IF(OR(AE454=F454,AND(AE454="crane_footing",F454="isolated_footing")),"yes","no"))</f>
        <v/>
      </c>
    </row>
    <row r="455">
      <c r="A455" s="5" t="n">
        <v>454</v>
      </c>
      <c r="B455" s="5" t="inlineStr">
        <is>
          <t>125</t>
        </is>
      </c>
      <c r="C455" s="5" t="inlineStr">
        <is>
          <t>own label</t>
        </is>
      </c>
      <c r="D455" s="5" t="inlineStr">
        <is>
          <t>solid</t>
        </is>
      </c>
      <c r="E455" s="5" t="n">
        <v>38</v>
      </c>
      <c r="F455" s="5" t="inlineStr">
        <is>
          <t>shear_wall</t>
        </is>
      </c>
      <c r="G455" s="5" t="inlineStr">
        <is>
          <t>Shear wall V1/125 1.25 × 0.30 m</t>
        </is>
      </c>
      <c r="H455" s="5" t="inlineStr">
        <is>
          <t>label vote</t>
        </is>
      </c>
      <c r="I455" s="5" t="inlineStr">
        <is>
          <t>V1/125</t>
        </is>
      </c>
      <c r="J455" s="5" t="inlineStr">
        <is>
          <t>printed label</t>
        </is>
      </c>
      <c r="K455" s="5" t="inlineStr">
        <is>
          <t>V1/125/125</t>
        </is>
      </c>
      <c r="L455" s="5" t="n">
        <v>125</v>
      </c>
      <c r="M455" s="5" t="n">
        <v>30</v>
      </c>
      <c r="N455" s="10">
        <f>IF(AND(ISNUMBER(L455),M455&gt;0),L455/M455,"")</f>
        <v/>
      </c>
      <c r="O455" s="5" t="n">
        <v>0.374</v>
      </c>
      <c r="P455" s="5" t="n">
        <v>79.40000000000001</v>
      </c>
      <c r="Q455" s="5" t="n">
        <v>0</v>
      </c>
      <c r="R455" s="5" t="n">
        <v>1</v>
      </c>
      <c r="S455" s="5" t="n">
        <v>0</v>
      </c>
      <c r="T455" s="5" t="n">
        <v>0</v>
      </c>
      <c r="U455" s="5" t="n">
        <v>0</v>
      </c>
      <c r="V455" s="5" t="n">
        <v>0</v>
      </c>
      <c r="W455" s="5" t="n">
        <v>1</v>
      </c>
      <c r="X455" s="5" t="n">
        <v>4</v>
      </c>
      <c r="Y455" s="5" t="n"/>
      <c r="Z455" s="5" t="inlineStr"/>
      <c r="AA455" s="5" t="n">
        <v>3560.2</v>
      </c>
      <c r="AB455" s="5" t="n">
        <v>3218</v>
      </c>
      <c r="AC455" s="5" t="n">
        <v>3575.7</v>
      </c>
      <c r="AD455" s="5" t="n">
        <v>3256</v>
      </c>
      <c r="AE455" s="5" t="inlineStr">
        <is>
          <t>shear_wall</t>
        </is>
      </c>
      <c r="AF455" s="5">
        <f>IF(AE455="","",IF(OR(AE455=F455,AND(AE455="crane_footing",F455="isolated_footing")),"yes","no"))</f>
        <v/>
      </c>
    </row>
    <row r="456">
      <c r="A456" s="5" t="n">
        <v>455</v>
      </c>
      <c r="B456" s="5" t="inlineStr">
        <is>
          <t>125</t>
        </is>
      </c>
      <c r="C456" s="5" t="inlineStr">
        <is>
          <t>own label</t>
        </is>
      </c>
      <c r="D456" s="5" t="inlineStr">
        <is>
          <t>solid</t>
        </is>
      </c>
      <c r="E456" s="5" t="n">
        <v>38</v>
      </c>
      <c r="F456" s="5" t="inlineStr">
        <is>
          <t>shear_wall</t>
        </is>
      </c>
      <c r="G456" s="5" t="inlineStr">
        <is>
          <t>Shear wall V3/125 2.00 × 0.30 m</t>
        </is>
      </c>
      <c r="H456" s="5" t="inlineStr">
        <is>
          <t>label vote</t>
        </is>
      </c>
      <c r="I456" s="5" t="inlineStr">
        <is>
          <t>V3/125</t>
        </is>
      </c>
      <c r="J456" s="5" t="inlineStr">
        <is>
          <t>printed label</t>
        </is>
      </c>
      <c r="K456" s="5" t="inlineStr">
        <is>
          <t>V3/125/125</t>
        </is>
      </c>
      <c r="L456" s="5" t="n">
        <v>200</v>
      </c>
      <c r="M456" s="5" t="n">
        <v>30</v>
      </c>
      <c r="N456" s="10">
        <f>IF(AND(ISNUMBER(L456),M456&gt;0),L456/M456,"")</f>
        <v/>
      </c>
      <c r="O456" s="5" t="n">
        <v>0.6</v>
      </c>
      <c r="P456" s="5" t="n">
        <v>79.5</v>
      </c>
      <c r="Q456" s="5" t="n">
        <v>0</v>
      </c>
      <c r="R456" s="5" t="n">
        <v>1</v>
      </c>
      <c r="S456" s="5" t="n">
        <v>0</v>
      </c>
      <c r="T456" s="5" t="n">
        <v>0</v>
      </c>
      <c r="U456" s="5" t="n">
        <v>0</v>
      </c>
      <c r="V456" s="5" t="n">
        <v>0</v>
      </c>
      <c r="W456" s="5" t="n">
        <v>2</v>
      </c>
      <c r="X456" s="5" t="n">
        <v>2</v>
      </c>
      <c r="Y456" s="5" t="n"/>
      <c r="Z456" s="5" t="inlineStr"/>
      <c r="AA456" s="5" t="n">
        <v>3380.6</v>
      </c>
      <c r="AB456" s="5" t="n">
        <v>3259.4</v>
      </c>
      <c r="AC456" s="5" t="n">
        <v>3400.1</v>
      </c>
      <c r="AD456" s="5" t="n">
        <v>3319</v>
      </c>
      <c r="AE456" s="5" t="inlineStr">
        <is>
          <t>shear_wall</t>
        </is>
      </c>
      <c r="AF456" s="5">
        <f>IF(AE456="","",IF(OR(AE456=F456,AND(AE456="crane_footing",F456="isolated_footing")),"yes","no"))</f>
        <v/>
      </c>
    </row>
    <row r="457">
      <c r="A457" s="5" t="n">
        <v>456</v>
      </c>
      <c r="B457" s="5" t="inlineStr">
        <is>
          <t>125</t>
        </is>
      </c>
      <c r="C457" s="5" t="inlineStr">
        <is>
          <t>own label</t>
        </is>
      </c>
      <c r="D457" s="5" t="inlineStr">
        <is>
          <t>solid</t>
        </is>
      </c>
      <c r="E457" s="5" t="n">
        <v>38</v>
      </c>
      <c r="F457" s="5" t="inlineStr">
        <is>
          <t>shear_wall</t>
        </is>
      </c>
      <c r="G457" s="5" t="inlineStr">
        <is>
          <t>Shear wall V4/125 2.00 × 0.30 m</t>
        </is>
      </c>
      <c r="H457" s="5" t="inlineStr">
        <is>
          <t>label vote</t>
        </is>
      </c>
      <c r="I457" s="5" t="inlineStr">
        <is>
          <t>V4/125</t>
        </is>
      </c>
      <c r="J457" s="5" t="inlineStr">
        <is>
          <t>printed label</t>
        </is>
      </c>
      <c r="K457" s="5" t="inlineStr">
        <is>
          <t>V4/125/125</t>
        </is>
      </c>
      <c r="L457" s="5" t="n">
        <v>200</v>
      </c>
      <c r="M457" s="5" t="n">
        <v>30</v>
      </c>
      <c r="N457" s="10">
        <f>IF(AND(ISNUMBER(L457),M457&gt;0),L457/M457,"")</f>
        <v/>
      </c>
      <c r="O457" s="5" t="n">
        <v>0.599</v>
      </c>
      <c r="P457" s="5" t="n">
        <v>79.40000000000001</v>
      </c>
      <c r="Q457" s="5" t="n">
        <v>0</v>
      </c>
      <c r="R457" s="5" t="n">
        <v>1</v>
      </c>
      <c r="S457" s="5" t="n">
        <v>0</v>
      </c>
      <c r="T457" s="5" t="n">
        <v>0</v>
      </c>
      <c r="U457" s="5" t="n">
        <v>0</v>
      </c>
      <c r="V457" s="5" t="n">
        <v>0</v>
      </c>
      <c r="W457" s="5" t="n">
        <v>1</v>
      </c>
      <c r="X457" s="5" t="n">
        <v>2</v>
      </c>
      <c r="Y457" s="5" t="n"/>
      <c r="Z457" s="5" t="inlineStr"/>
      <c r="AA457" s="5" t="n">
        <v>3199.8</v>
      </c>
      <c r="AB457" s="5" t="n">
        <v>3286</v>
      </c>
      <c r="AC457" s="5" t="n">
        <v>3219.3</v>
      </c>
      <c r="AD457" s="5" t="n">
        <v>3345.7</v>
      </c>
      <c r="AE457" s="5" t="inlineStr">
        <is>
          <t>shear_wall</t>
        </is>
      </c>
      <c r="AF457" s="5">
        <f>IF(AE457="","",IF(OR(AE457=F457,AND(AE457="crane_footing",F457="isolated_footing")),"yes","no"))</f>
        <v/>
      </c>
    </row>
    <row r="458">
      <c r="A458" s="5" t="n">
        <v>457</v>
      </c>
      <c r="B458" s="5" t="inlineStr">
        <is>
          <t>125</t>
        </is>
      </c>
      <c r="C458" s="5" t="inlineStr">
        <is>
          <t>own label</t>
        </is>
      </c>
      <c r="D458" s="5" t="inlineStr">
        <is>
          <t>solid</t>
        </is>
      </c>
      <c r="E458" s="5" t="n">
        <v>38</v>
      </c>
      <c r="F458" s="5" t="inlineStr">
        <is>
          <t>shear_wall</t>
        </is>
      </c>
      <c r="G458" s="5" t="inlineStr">
        <is>
          <t>Shear wall V4/125 2.00 × 0.30 m</t>
        </is>
      </c>
      <c r="H458" s="5" t="inlineStr">
        <is>
          <t>label vote</t>
        </is>
      </c>
      <c r="I458" s="5" t="inlineStr">
        <is>
          <t>V4/125</t>
        </is>
      </c>
      <c r="J458" s="5" t="inlineStr">
        <is>
          <t>printed label</t>
        </is>
      </c>
      <c r="K458" s="5" t="inlineStr">
        <is>
          <t>V4/125/125</t>
        </is>
      </c>
      <c r="L458" s="5" t="n">
        <v>200</v>
      </c>
      <c r="M458" s="5" t="n">
        <v>30</v>
      </c>
      <c r="N458" s="10">
        <f>IF(AND(ISNUMBER(L458),M458&gt;0),L458/M458,"")</f>
        <v/>
      </c>
      <c r="O458" s="5" t="n">
        <v>0.599</v>
      </c>
      <c r="P458" s="5" t="n">
        <v>98</v>
      </c>
      <c r="Q458" s="5" t="n">
        <v>0</v>
      </c>
      <c r="R458" s="5" t="n">
        <v>1</v>
      </c>
      <c r="S458" s="5" t="n">
        <v>0</v>
      </c>
      <c r="T458" s="5" t="n">
        <v>0</v>
      </c>
      <c r="U458" s="5" t="n">
        <v>0</v>
      </c>
      <c r="V458" s="5" t="n">
        <v>0</v>
      </c>
      <c r="W458" s="5" t="n">
        <v>7</v>
      </c>
      <c r="X458" s="5" t="n">
        <v>3</v>
      </c>
      <c r="Y458" s="5" t="n"/>
      <c r="Z458" s="5" t="inlineStr"/>
      <c r="AA458" s="5" t="n">
        <v>3010.5</v>
      </c>
      <c r="AB458" s="5" t="n">
        <v>3320.8</v>
      </c>
      <c r="AC458" s="5" t="n">
        <v>3027.5</v>
      </c>
      <c r="AD458" s="5" t="n">
        <v>3380.5</v>
      </c>
      <c r="AE458" s="5" t="inlineStr">
        <is>
          <t>shear_wall</t>
        </is>
      </c>
      <c r="AF458" s="5">
        <f>IF(AE458="","",IF(OR(AE458=F458,AND(AE458="crane_footing",F458="isolated_footing")),"yes","no"))</f>
        <v/>
      </c>
    </row>
    <row r="459">
      <c r="A459" s="5" t="n">
        <v>458</v>
      </c>
      <c r="B459" s="5" t="inlineStr">
        <is>
          <t>125</t>
        </is>
      </c>
      <c r="C459" s="5" t="inlineStr">
        <is>
          <t>own label</t>
        </is>
      </c>
      <c r="D459" s="5" t="inlineStr">
        <is>
          <t>solid</t>
        </is>
      </c>
      <c r="E459" s="5" t="n">
        <v>38</v>
      </c>
      <c r="F459" s="5" t="inlineStr">
        <is>
          <t>shear_wall</t>
        </is>
      </c>
      <c r="G459" s="5" t="inlineStr">
        <is>
          <t>Shear wall V4/125 2.00 × 0.30 m</t>
        </is>
      </c>
      <c r="H459" s="5" t="inlineStr">
        <is>
          <t>label vote</t>
        </is>
      </c>
      <c r="I459" s="5" t="inlineStr">
        <is>
          <t>V4/125</t>
        </is>
      </c>
      <c r="J459" s="5" t="inlineStr">
        <is>
          <t>printed label</t>
        </is>
      </c>
      <c r="K459" s="5" t="inlineStr">
        <is>
          <t>V4/125/125</t>
        </is>
      </c>
      <c r="L459" s="5" t="n">
        <v>200</v>
      </c>
      <c r="M459" s="5" t="n">
        <v>30</v>
      </c>
      <c r="N459" s="10">
        <f>IF(AND(ISNUMBER(L459),M459&gt;0),L459/M459,"")</f>
        <v/>
      </c>
      <c r="O459" s="5" t="n">
        <v>0.599</v>
      </c>
      <c r="P459" s="5" t="n">
        <v>98</v>
      </c>
      <c r="Q459" s="5" t="n">
        <v>0</v>
      </c>
      <c r="R459" s="5" t="n">
        <v>1</v>
      </c>
      <c r="S459" s="5" t="n">
        <v>0</v>
      </c>
      <c r="T459" s="5" t="n">
        <v>0</v>
      </c>
      <c r="U459" s="5" t="n">
        <v>0</v>
      </c>
      <c r="V459" s="5" t="n">
        <v>0</v>
      </c>
      <c r="W459" s="5" t="n">
        <v>9</v>
      </c>
      <c r="X459" s="5" t="n">
        <v>3</v>
      </c>
      <c r="Y459" s="5" t="n"/>
      <c r="Z459" s="5" t="inlineStr"/>
      <c r="AA459" s="5" t="n">
        <v>2986</v>
      </c>
      <c r="AB459" s="5" t="n">
        <v>3494.5</v>
      </c>
      <c r="AC459" s="5" t="n">
        <v>3003</v>
      </c>
      <c r="AD459" s="5" t="n">
        <v>3554.2</v>
      </c>
      <c r="AE459" s="5" t="inlineStr">
        <is>
          <t>shear_wall</t>
        </is>
      </c>
      <c r="AF459" s="5">
        <f>IF(AE459="","",IF(OR(AE459=F459,AND(AE459="crane_footing",F459="isolated_footing")),"yes","no"))</f>
        <v/>
      </c>
    </row>
    <row r="460">
      <c r="A460" s="5" t="n">
        <v>459</v>
      </c>
      <c r="B460" s="5" t="inlineStr">
        <is>
          <t>125</t>
        </is>
      </c>
      <c r="C460" s="5" t="inlineStr">
        <is>
          <t>own label</t>
        </is>
      </c>
      <c r="D460" s="5" t="inlineStr">
        <is>
          <t>solid</t>
        </is>
      </c>
      <c r="E460" s="5" t="n">
        <v>29</v>
      </c>
      <c r="F460" s="5" t="inlineStr">
        <is>
          <t>shear_wall</t>
        </is>
      </c>
      <c r="G460" s="5" t="inlineStr">
        <is>
          <t>Shear wall V5/125 2.50 × 0.30 m</t>
        </is>
      </c>
      <c r="H460" s="5" t="inlineStr">
        <is>
          <t>label vote</t>
        </is>
      </c>
      <c r="I460" s="5" t="inlineStr">
        <is>
          <t>V5/125</t>
        </is>
      </c>
      <c r="J460" s="5" t="inlineStr">
        <is>
          <t>printed label</t>
        </is>
      </c>
      <c r="K460" s="5" t="inlineStr">
        <is>
          <t>V5/125/125</t>
        </is>
      </c>
      <c r="L460" s="5" t="n">
        <v>250</v>
      </c>
      <c r="M460" s="5" t="n">
        <v>30</v>
      </c>
      <c r="N460" s="10">
        <f>IF(AND(ISNUMBER(L460),M460&gt;0),L460/M460,"")</f>
        <v/>
      </c>
      <c r="O460" s="5" t="n">
        <v>0.752</v>
      </c>
      <c r="P460" s="5" t="n">
        <v>169.5</v>
      </c>
      <c r="Q460" s="5" t="n">
        <v>1</v>
      </c>
      <c r="R460" s="5" t="n">
        <v>1</v>
      </c>
      <c r="S460" s="5" t="n">
        <v>0</v>
      </c>
      <c r="T460" s="5" t="n">
        <v>0</v>
      </c>
      <c r="U460" s="5" t="n">
        <v>1</v>
      </c>
      <c r="V460" s="5" t="n">
        <v>0</v>
      </c>
      <c r="W460" s="5" t="n">
        <v>2</v>
      </c>
      <c r="X460" s="5" t="n">
        <v>2</v>
      </c>
      <c r="Y460" s="5" t="n"/>
      <c r="Z460" s="5" t="inlineStr"/>
      <c r="AA460" s="5" t="n">
        <v>3435.8</v>
      </c>
      <c r="AB460" s="5" t="n">
        <v>3479.7</v>
      </c>
      <c r="AC460" s="5" t="n">
        <v>3510</v>
      </c>
      <c r="AD460" s="5" t="n">
        <v>3502</v>
      </c>
      <c r="AE460" s="5" t="inlineStr"/>
      <c r="AF460" s="5">
        <f>IF(AE460="","",IF(OR(AE460=F460,AND(AE460="crane_footing",F460="isolated_footing")),"yes","no"))</f>
        <v/>
      </c>
    </row>
    <row r="461">
      <c r="A461" s="5" t="n">
        <v>460</v>
      </c>
      <c r="B461" s="5" t="inlineStr">
        <is>
          <t>125</t>
        </is>
      </c>
      <c r="C461" s="5" t="inlineStr">
        <is>
          <t>own label</t>
        </is>
      </c>
      <c r="D461" s="5" t="inlineStr">
        <is>
          <t>solid</t>
        </is>
      </c>
      <c r="E461" s="5" t="n">
        <v>31</v>
      </c>
      <c r="F461" s="5" t="inlineStr">
        <is>
          <t>shear_wall</t>
        </is>
      </c>
      <c r="G461" s="5" t="inlineStr">
        <is>
          <t>Shear wall V8/125 1.25 × 0.25 m</t>
        </is>
      </c>
      <c r="H461" s="5" t="inlineStr">
        <is>
          <t>label vote</t>
        </is>
      </c>
      <c r="I461" s="5" t="inlineStr">
        <is>
          <t>V8/125</t>
        </is>
      </c>
      <c r="J461" s="5" t="inlineStr">
        <is>
          <t>printed label</t>
        </is>
      </c>
      <c r="K461" s="5" t="inlineStr">
        <is>
          <t>V8/125/125</t>
        </is>
      </c>
      <c r="L461" s="5" t="n">
        <v>125</v>
      </c>
      <c r="M461" s="5" t="n">
        <v>25</v>
      </c>
      <c r="N461" s="10">
        <f>IF(AND(ISNUMBER(L461),M461&gt;0),L461/M461,"")</f>
        <v/>
      </c>
      <c r="O461" s="5" t="n">
        <v>0.313</v>
      </c>
      <c r="P461" s="5" t="n">
        <v>79.40000000000001</v>
      </c>
      <c r="Q461" s="5" t="n">
        <v>0</v>
      </c>
      <c r="R461" s="5" t="n">
        <v>1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v>0</v>
      </c>
      <c r="X461" s="5" t="n">
        <v>4</v>
      </c>
      <c r="Y461" s="5" t="n"/>
      <c r="Z461" s="5" t="inlineStr"/>
      <c r="AA461" s="5" t="n">
        <v>3515.7</v>
      </c>
      <c r="AB461" s="5" t="n">
        <v>2974.7</v>
      </c>
      <c r="AC461" s="5" t="n">
        <v>3529.9</v>
      </c>
      <c r="AD461" s="5" t="n">
        <v>3012.4</v>
      </c>
      <c r="AE461" s="5" t="inlineStr">
        <is>
          <t>shear_wall</t>
        </is>
      </c>
      <c r="AF461" s="5">
        <f>IF(AE461="","",IF(OR(AE461=F461,AND(AE461="crane_footing",F461="isolated_footing")),"yes","no"))</f>
        <v/>
      </c>
    </row>
    <row r="462">
      <c r="A462" s="5" t="n">
        <v>461</v>
      </c>
      <c r="B462" s="5" t="inlineStr">
        <is>
          <t>125</t>
        </is>
      </c>
      <c r="C462" s="5" t="inlineStr">
        <is>
          <t>own label</t>
        </is>
      </c>
      <c r="D462" s="5" t="inlineStr">
        <is>
          <t>solid</t>
        </is>
      </c>
      <c r="E462" s="5" t="n">
        <v>35</v>
      </c>
      <c r="F462" s="5" t="inlineStr">
        <is>
          <t>shear_wall</t>
        </is>
      </c>
      <c r="G462" s="5" t="inlineStr">
        <is>
          <t>Shear wall V8/125 1.25 × 0.25 m</t>
        </is>
      </c>
      <c r="H462" s="5" t="inlineStr">
        <is>
          <t>similar to cluster 31 (distance 2.05)</t>
        </is>
      </c>
      <c r="I462" s="5" t="inlineStr">
        <is>
          <t>V8/125</t>
        </is>
      </c>
      <c r="J462" s="5" t="inlineStr">
        <is>
          <t>printed label</t>
        </is>
      </c>
      <c r="K462" s="5" t="inlineStr">
        <is>
          <t>V8/125/125</t>
        </is>
      </c>
      <c r="L462" s="5" t="n">
        <v>125</v>
      </c>
      <c r="M462" s="5" t="n">
        <v>25</v>
      </c>
      <c r="N462" s="10">
        <f>IF(AND(ISNUMBER(L462),M462&gt;0),L462/M462,"")</f>
        <v/>
      </c>
      <c r="O462" s="5" t="n">
        <v>0.313</v>
      </c>
      <c r="P462" s="5" t="n">
        <v>79.3</v>
      </c>
      <c r="Q462" s="5" t="n">
        <v>0</v>
      </c>
      <c r="R462" s="5" t="n">
        <v>1</v>
      </c>
      <c r="S462" s="5" t="n">
        <v>0</v>
      </c>
      <c r="T462" s="5" t="n">
        <v>0</v>
      </c>
      <c r="U462" s="5" t="n">
        <v>1</v>
      </c>
      <c r="V462" s="5" t="n">
        <v>0</v>
      </c>
      <c r="W462" s="5" t="n">
        <v>0</v>
      </c>
      <c r="X462" s="5" t="n">
        <v>3</v>
      </c>
      <c r="Y462" s="5" t="n"/>
      <c r="Z462" s="5" t="inlineStr"/>
      <c r="AA462" s="5" t="n">
        <v>3291.1</v>
      </c>
      <c r="AB462" s="5" t="n">
        <v>3027.7</v>
      </c>
      <c r="AC462" s="5" t="n">
        <v>3305.3</v>
      </c>
      <c r="AD462" s="5" t="n">
        <v>3065.4</v>
      </c>
      <c r="AE462" s="5" t="inlineStr">
        <is>
          <t>shear_wall</t>
        </is>
      </c>
      <c r="AF462" s="5">
        <f>IF(AE462="","",IF(OR(AE462=F462,AND(AE462="crane_footing",F462="isolated_footing")),"yes","no"))</f>
        <v/>
      </c>
    </row>
    <row r="463">
      <c r="A463" s="5" t="n">
        <v>462</v>
      </c>
      <c r="B463" s="5" t="inlineStr">
        <is>
          <t>125</t>
        </is>
      </c>
      <c r="C463" s="5" t="inlineStr">
        <is>
          <t>own label</t>
        </is>
      </c>
      <c r="D463" s="5" t="inlineStr">
        <is>
          <t>solid</t>
        </is>
      </c>
      <c r="E463" s="5" t="n">
        <v>35</v>
      </c>
      <c r="F463" s="5" t="inlineStr">
        <is>
          <t>shear_wall</t>
        </is>
      </c>
      <c r="G463" s="5" t="inlineStr">
        <is>
          <t>Shear wall V8/125 1.25 × 0.25 m</t>
        </is>
      </c>
      <c r="H463" s="5" t="inlineStr">
        <is>
          <t>similar to cluster 31 (distance 2.05)</t>
        </is>
      </c>
      <c r="I463" s="5" t="inlineStr">
        <is>
          <t>V8/125</t>
        </is>
      </c>
      <c r="J463" s="5" t="inlineStr">
        <is>
          <t>printed label</t>
        </is>
      </c>
      <c r="K463" s="5" t="inlineStr">
        <is>
          <t>V8/125/125</t>
        </is>
      </c>
      <c r="L463" s="5" t="n">
        <v>125</v>
      </c>
      <c r="M463" s="5" t="n">
        <v>25</v>
      </c>
      <c r="N463" s="10">
        <f>IF(AND(ISNUMBER(L463),M463&gt;0),L463/M463,"")</f>
        <v/>
      </c>
      <c r="O463" s="5" t="n">
        <v>0.312</v>
      </c>
      <c r="P463" s="5" t="n">
        <v>98.09999999999999</v>
      </c>
      <c r="Q463" s="5" t="n">
        <v>0</v>
      </c>
      <c r="R463" s="5" t="n">
        <v>1</v>
      </c>
      <c r="S463" s="5" t="n">
        <v>0</v>
      </c>
      <c r="T463" s="5" t="n">
        <v>0</v>
      </c>
      <c r="U463" s="5" t="n">
        <v>1</v>
      </c>
      <c r="V463" s="5" t="n">
        <v>0</v>
      </c>
      <c r="W463" s="5" t="n">
        <v>1</v>
      </c>
      <c r="X463" s="5" t="n">
        <v>3</v>
      </c>
      <c r="Y463" s="5" t="n"/>
      <c r="Z463" s="5" t="inlineStr"/>
      <c r="AA463" s="5" t="n">
        <v>3049.9</v>
      </c>
      <c r="AB463" s="5" t="n">
        <v>3058.9</v>
      </c>
      <c r="AC463" s="5" t="n">
        <v>3062.4</v>
      </c>
      <c r="AD463" s="5" t="n">
        <v>3096.5</v>
      </c>
      <c r="AE463" s="5" t="inlineStr">
        <is>
          <t>shear_wall</t>
        </is>
      </c>
      <c r="AF463" s="5">
        <f>IF(AE463="","",IF(OR(AE463=F463,AND(AE463="crane_footing",F463="isolated_footing")),"yes","no"))</f>
        <v/>
      </c>
    </row>
    <row r="464">
      <c r="A464" s="5" t="n">
        <v>463</v>
      </c>
      <c r="B464" s="5" t="inlineStr">
        <is>
          <t>125</t>
        </is>
      </c>
      <c r="C464" s="5" t="inlineStr">
        <is>
          <t>region between joints</t>
        </is>
      </c>
      <c r="D464" s="5" t="inlineStr">
        <is>
          <t>solid</t>
        </is>
      </c>
      <c r="E464" s="5" t="n">
        <v>33</v>
      </c>
      <c r="F464" s="5" t="inlineStr">
        <is>
          <t>shear_wall</t>
        </is>
      </c>
      <c r="G464" s="5" t="inlineStr">
        <is>
          <t>Shear wall ~V8/125 1.24 × 0.25 m</t>
        </is>
      </c>
      <c r="H464" s="5" t="inlineStr">
        <is>
          <t>label vote</t>
        </is>
      </c>
      <c r="I464" s="5" t="inlineStr">
        <is>
          <t>V8/125</t>
        </is>
      </c>
      <c r="J464" s="5" t="inlineStr">
        <is>
          <t>inferred: the only shear_wall type in its building with this size</t>
        </is>
      </c>
      <c r="K464" s="5" t="inlineStr"/>
      <c r="L464" s="5" t="n">
        <v>124</v>
      </c>
      <c r="M464" s="5" t="n">
        <v>25</v>
      </c>
      <c r="N464" s="10">
        <f>IF(AND(ISNUMBER(L464),M464&gt;0),L464/M464,"")</f>
        <v/>
      </c>
      <c r="O464" s="5" t="n">
        <v>0.31</v>
      </c>
      <c r="P464" s="5" t="n">
        <v>26.7</v>
      </c>
      <c r="Q464" s="5" t="n">
        <v>1</v>
      </c>
      <c r="R464" s="5" t="n">
        <v>0</v>
      </c>
      <c r="S464" s="5" t="n">
        <v>0</v>
      </c>
      <c r="T464" s="5" t="n">
        <v>1</v>
      </c>
      <c r="U464" s="5" t="n">
        <v>0</v>
      </c>
      <c r="V464" s="5" t="n">
        <v>0</v>
      </c>
      <c r="W464" s="5" t="n">
        <v>2</v>
      </c>
      <c r="X464" s="5" t="n">
        <v>0</v>
      </c>
      <c r="Y464" s="5" t="n"/>
      <c r="Z464" s="5" t="inlineStr"/>
      <c r="AA464" s="5" t="n">
        <v>2737.6</v>
      </c>
      <c r="AB464" s="5" t="n">
        <v>3575.8</v>
      </c>
      <c r="AC464" s="5" t="n">
        <v>2773.6</v>
      </c>
      <c r="AD464" s="5" t="n">
        <v>3598.8</v>
      </c>
      <c r="AE464" s="5" t="inlineStr"/>
      <c r="AF464" s="5">
        <f>IF(AE464="","",IF(OR(AE464=F464,AND(AE464="crane_footing",F464="isolated_footing")),"yes","no"))</f>
        <v/>
      </c>
    </row>
    <row r="465">
      <c r="A465" s="5" t="n">
        <v>464</v>
      </c>
      <c r="B465" s="5" t="inlineStr">
        <is>
          <t>125</t>
        </is>
      </c>
      <c r="C465" s="5" t="inlineStr">
        <is>
          <t>region between joints</t>
        </is>
      </c>
      <c r="D465" s="5" t="inlineStr">
        <is>
          <t>solid</t>
        </is>
      </c>
      <c r="E465" s="5" t="n">
        <v>37</v>
      </c>
      <c r="F465" s="5" t="inlineStr">
        <is>
          <t>core_wall</t>
        </is>
      </c>
      <c r="G465" s="5" t="inlineStr">
        <is>
          <t>Core wall 2.00 × 0.25 m</t>
        </is>
      </c>
      <c r="H465" s="5" t="inlineStr">
        <is>
          <t>rule: unlabelled interior wall, no V type of its size</t>
        </is>
      </c>
      <c r="I465" s="5" t="inlineStr">
        <is>
          <t>(none)</t>
        </is>
      </c>
      <c r="J465" s="5" t="inlineStr">
        <is>
          <t>no shear_wall type in its building has this size</t>
        </is>
      </c>
      <c r="K465" s="5" t="inlineStr"/>
      <c r="L465" s="5" t="n">
        <v>200</v>
      </c>
      <c r="M465" s="5" t="n">
        <v>25</v>
      </c>
      <c r="N465" s="10">
        <f>IF(AND(ISNUMBER(L465),M465&gt;0),L465/M465,"")</f>
        <v/>
      </c>
      <c r="O465" s="5" t="n">
        <v>0.5</v>
      </c>
      <c r="P465" s="5" t="n">
        <v>26.7</v>
      </c>
      <c r="Q465" s="5" t="n">
        <v>3</v>
      </c>
      <c r="R465" s="5" t="n">
        <v>0</v>
      </c>
      <c r="S465" s="5" t="n">
        <v>0</v>
      </c>
      <c r="T465" s="5" t="n">
        <v>1</v>
      </c>
      <c r="U465" s="5" t="n">
        <v>0</v>
      </c>
      <c r="V465" s="5" t="n">
        <v>0</v>
      </c>
      <c r="W465" s="5" t="n">
        <v>1</v>
      </c>
      <c r="X465" s="5" t="n">
        <v>0</v>
      </c>
      <c r="Y465" s="5" t="n"/>
      <c r="Z465" s="5" t="inlineStr"/>
      <c r="AA465" s="5" t="n">
        <v>2773.7</v>
      </c>
      <c r="AB465" s="5" t="n">
        <v>3546</v>
      </c>
      <c r="AC465" s="5" t="n">
        <v>2829.8</v>
      </c>
      <c r="AD465" s="5" t="n">
        <v>3579</v>
      </c>
      <c r="AE465" s="5" t="inlineStr"/>
      <c r="AF465" s="5">
        <f>IF(AE465="","",IF(OR(AE465=F465,AND(AE465="crane_footing",F465="isolated_footing")),"yes","no"))</f>
        <v/>
      </c>
    </row>
    <row r="466">
      <c r="A466" s="5" t="n">
        <v>465</v>
      </c>
      <c r="B466" s="5" t="inlineStr">
        <is>
          <t>125</t>
        </is>
      </c>
      <c r="C466" s="5" t="inlineStr">
        <is>
          <t>region between joints</t>
        </is>
      </c>
      <c r="D466" s="5" t="inlineStr">
        <is>
          <t>solid</t>
        </is>
      </c>
      <c r="E466" s="5" t="n">
        <v>28</v>
      </c>
      <c r="F466" s="5" t="inlineStr">
        <is>
          <t>core_wall</t>
        </is>
      </c>
      <c r="G466" s="5" t="inlineStr">
        <is>
          <t>Core wall 1.54 × 0.25 m</t>
        </is>
      </c>
      <c r="H466" s="5" t="inlineStr">
        <is>
          <t>rule: unlabelled interior wall, no V type of its size</t>
        </is>
      </c>
      <c r="I466" s="5" t="inlineStr">
        <is>
          <t>(none)</t>
        </is>
      </c>
      <c r="J466" s="5" t="inlineStr">
        <is>
          <t>no shear_wall type in its building has this size</t>
        </is>
      </c>
      <c r="K466" s="5" t="inlineStr"/>
      <c r="L466" s="5" t="n">
        <v>154</v>
      </c>
      <c r="M466" s="5" t="n">
        <v>25</v>
      </c>
      <c r="N466" s="10">
        <f>IF(AND(ISNUMBER(L466),M466&gt;0),L466/M466,"")</f>
        <v/>
      </c>
      <c r="O466" s="5" t="n">
        <v>0.386</v>
      </c>
      <c r="P466" s="5" t="n">
        <v>79.3</v>
      </c>
      <c r="Q466" s="5" t="n">
        <v>3</v>
      </c>
      <c r="R466" s="5" t="n">
        <v>0</v>
      </c>
      <c r="S466" s="5" t="n">
        <v>0</v>
      </c>
      <c r="T466" s="5" t="n">
        <v>1</v>
      </c>
      <c r="U466" s="5" t="n">
        <v>0</v>
      </c>
      <c r="V466" s="5" t="n">
        <v>0</v>
      </c>
      <c r="W466" s="5" t="n">
        <v>1</v>
      </c>
      <c r="X466" s="5" t="n">
        <v>0</v>
      </c>
      <c r="Y466" s="5" t="n"/>
      <c r="Z466" s="5" t="inlineStr"/>
      <c r="AA466" s="5" t="n">
        <v>3266.7</v>
      </c>
      <c r="AB466" s="5" t="n">
        <v>3634.2</v>
      </c>
      <c r="AC466" s="5" t="n">
        <v>3282.5</v>
      </c>
      <c r="AD466" s="5" t="n">
        <v>3680.4</v>
      </c>
      <c r="AE466" s="5" t="inlineStr"/>
      <c r="AF466" s="5">
        <f>IF(AE466="","",IF(OR(AE466=F466,AND(AE466="crane_footing",F466="isolated_footing")),"yes","no"))</f>
        <v/>
      </c>
    </row>
    <row r="467">
      <c r="A467" s="5" t="n">
        <v>466</v>
      </c>
      <c r="B467" s="5" t="inlineStr">
        <is>
          <t>125</t>
        </is>
      </c>
      <c r="C467" s="5" t="inlineStr">
        <is>
          <t>region between joints</t>
        </is>
      </c>
      <c r="D467" s="5" t="inlineStr">
        <is>
          <t>solid</t>
        </is>
      </c>
      <c r="E467" s="5" t="n">
        <v>37</v>
      </c>
      <c r="F467" s="5" t="inlineStr">
        <is>
          <t>core_wall</t>
        </is>
      </c>
      <c r="G467" s="5" t="inlineStr">
        <is>
          <t>Core wall 1.21 × 0.20 m</t>
        </is>
      </c>
      <c r="H467" s="5" t="inlineStr">
        <is>
          <t>rule: unlabelled interior wall, no V type of its size</t>
        </is>
      </c>
      <c r="I467" s="5" t="inlineStr">
        <is>
          <t>(none)</t>
        </is>
      </c>
      <c r="J467" s="5" t="inlineStr">
        <is>
          <t>no shear_wall type in its building has this size</t>
        </is>
      </c>
      <c r="K467" s="5" t="inlineStr"/>
      <c r="L467" s="5" t="n">
        <v>121</v>
      </c>
      <c r="M467" s="5" t="n">
        <v>20</v>
      </c>
      <c r="N467" s="10">
        <f>IF(AND(ISNUMBER(L467),M467&gt;0),L467/M467,"")</f>
        <v/>
      </c>
      <c r="O467" s="5" t="n">
        <v>0.24</v>
      </c>
      <c r="P467" s="5" t="n">
        <v>169.5</v>
      </c>
      <c r="Q467" s="5" t="n">
        <v>3</v>
      </c>
      <c r="R467" s="5" t="n">
        <v>0</v>
      </c>
      <c r="S467" s="5" t="n">
        <v>0</v>
      </c>
      <c r="T467" s="5" t="n">
        <v>1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/>
      <c r="Z467" s="5" t="inlineStr"/>
      <c r="AA467" s="5" t="n">
        <v>3274.1</v>
      </c>
      <c r="AB467" s="5" t="n">
        <v>3627.7</v>
      </c>
      <c r="AC467" s="5" t="n">
        <v>3310.3</v>
      </c>
      <c r="AD467" s="5" t="n">
        <v>3640</v>
      </c>
      <c r="AE467" s="5" t="inlineStr"/>
      <c r="AF467" s="5">
        <f>IF(AE467="","",IF(OR(AE467=F467,AND(AE467="crane_footing",F467="isolated_footing")),"yes","no"))</f>
        <v/>
      </c>
    </row>
    <row r="468">
      <c r="A468" s="5" t="n">
        <v>467</v>
      </c>
      <c r="B468" s="5" t="inlineStr">
        <is>
          <t>125</t>
        </is>
      </c>
      <c r="C468" s="5" t="inlineStr">
        <is>
          <t>region between joints</t>
        </is>
      </c>
      <c r="D468" s="5" t="inlineStr">
        <is>
          <t>solid</t>
        </is>
      </c>
      <c r="E468" s="5" t="n">
        <v>34</v>
      </c>
      <c r="F468" s="5" t="inlineStr">
        <is>
          <t>core_wall</t>
        </is>
      </c>
      <c r="G468" s="5" t="inlineStr">
        <is>
          <t>Core wall 3.38 × 0.20 m</t>
        </is>
      </c>
      <c r="H468" s="5" t="inlineStr">
        <is>
          <t>rule: unlabelled interior wall, no V type of its size</t>
        </is>
      </c>
      <c r="I468" s="5" t="inlineStr">
        <is>
          <t>(none)</t>
        </is>
      </c>
      <c r="J468" s="5" t="inlineStr">
        <is>
          <t>no shear_wall type in its building has this size</t>
        </is>
      </c>
      <c r="K468" s="5" t="inlineStr"/>
      <c r="L468" s="5" t="n">
        <v>338</v>
      </c>
      <c r="M468" s="5" t="n">
        <v>20</v>
      </c>
      <c r="N468" s="10">
        <f>IF(AND(ISNUMBER(L468),M468&gt;0),L468/M468,"")</f>
        <v/>
      </c>
      <c r="O468" s="5" t="n">
        <v>0.6820000000000001</v>
      </c>
      <c r="P468" s="5" t="n">
        <v>79.40000000000001</v>
      </c>
      <c r="Q468" s="5" t="n">
        <v>2</v>
      </c>
      <c r="R468" s="5" t="n">
        <v>0</v>
      </c>
      <c r="S468" s="5" t="n">
        <v>0</v>
      </c>
      <c r="T468" s="5" t="n">
        <v>1</v>
      </c>
      <c r="U468" s="5" t="n">
        <v>0</v>
      </c>
      <c r="V468" s="5" t="n">
        <v>0</v>
      </c>
      <c r="W468" s="5" t="n">
        <v>0</v>
      </c>
      <c r="X468" s="5" t="n">
        <v>0</v>
      </c>
      <c r="Y468" s="5" t="n"/>
      <c r="Z468" s="5" t="inlineStr"/>
      <c r="AA468" s="5" t="n">
        <v>3285.1</v>
      </c>
      <c r="AB468" s="5" t="n">
        <v>3529.4</v>
      </c>
      <c r="AC468" s="5" t="n">
        <v>3309.3</v>
      </c>
      <c r="AD468" s="5" t="n">
        <v>3628.7</v>
      </c>
      <c r="AE468" s="5" t="inlineStr"/>
      <c r="AF468" s="5">
        <f>IF(AE468="","",IF(OR(AE468=F468,AND(AE468="crane_footing",F468="isolated_footing")),"yes","no"))</f>
        <v/>
      </c>
    </row>
    <row r="469">
      <c r="A469" s="5" t="n">
        <v>468</v>
      </c>
      <c r="B469" s="5" t="inlineStr">
        <is>
          <t>125</t>
        </is>
      </c>
      <c r="C469" s="5" t="inlineStr">
        <is>
          <t>region between joints</t>
        </is>
      </c>
      <c r="D469" s="5" t="inlineStr">
        <is>
          <t>solid</t>
        </is>
      </c>
      <c r="E469" s="5" t="n">
        <v>26</v>
      </c>
      <c r="F469" s="5" t="inlineStr">
        <is>
          <t>core_wall</t>
        </is>
      </c>
      <c r="G469" s="5" t="inlineStr">
        <is>
          <t>Core wall 1.41 × 0.20 m</t>
        </is>
      </c>
      <c r="H469" s="5" t="inlineStr">
        <is>
          <t>rule: unlabelled interior wall, no V type of its size</t>
        </is>
      </c>
      <c r="I469" s="5" t="inlineStr">
        <is>
          <t>(none)</t>
        </is>
      </c>
      <c r="J469" s="5" t="inlineStr"/>
      <c r="K469" s="5" t="inlineStr"/>
      <c r="L469" s="5" t="n">
        <v>141</v>
      </c>
      <c r="M469" s="5" t="n">
        <v>20</v>
      </c>
      <c r="N469" s="10">
        <f>IF(AND(ISNUMBER(L469),M469&gt;0),L469/M469,"")</f>
        <v/>
      </c>
      <c r="O469" s="5" t="n">
        <v>0.282</v>
      </c>
      <c r="P469" s="5" t="n">
        <v>79.3</v>
      </c>
      <c r="Q469" s="5" t="n">
        <v>0</v>
      </c>
      <c r="R469" s="5" t="n">
        <v>0</v>
      </c>
      <c r="S469" s="5" t="n">
        <v>0</v>
      </c>
      <c r="T469" s="5" t="n">
        <v>1</v>
      </c>
      <c r="U469" s="5" t="n">
        <v>0</v>
      </c>
      <c r="V469" s="5" t="n">
        <v>0</v>
      </c>
      <c r="W469" s="5" t="n">
        <v>1</v>
      </c>
      <c r="X469" s="5" t="n">
        <v>0</v>
      </c>
      <c r="Y469" s="5" t="n"/>
      <c r="Z469" s="5" t="inlineStr"/>
      <c r="AA469" s="5" t="n">
        <v>3132.7</v>
      </c>
      <c r="AB469" s="5" t="n">
        <v>3570.5</v>
      </c>
      <c r="AC469" s="5" t="n">
        <v>3146.2</v>
      </c>
      <c r="AD469" s="5" t="n">
        <v>3612.5</v>
      </c>
      <c r="AE469" s="5" t="inlineStr"/>
      <c r="AF469" s="5">
        <f>IF(AE469="","",IF(OR(AE469=F469,AND(AE469="crane_footing",F469="isolated_footing")),"yes","no"))</f>
        <v/>
      </c>
    </row>
    <row r="470">
      <c r="A470" s="5" t="n">
        <v>469</v>
      </c>
      <c r="B470" s="5" t="inlineStr">
        <is>
          <t>125</t>
        </is>
      </c>
      <c r="C470" s="5" t="inlineStr">
        <is>
          <t>region between joints</t>
        </is>
      </c>
      <c r="D470" s="5" t="inlineStr">
        <is>
          <t>solid</t>
        </is>
      </c>
      <c r="E470" s="5" t="n">
        <v>25</v>
      </c>
      <c r="F470" s="5" t="inlineStr">
        <is>
          <t>core_wall</t>
        </is>
      </c>
      <c r="G470" s="5" t="inlineStr">
        <is>
          <t>Core wall 0.39 × 0.20 m</t>
        </is>
      </c>
      <c r="H470" s="5" t="inlineStr">
        <is>
          <t>rule: column-shaped piece drawn like a wall (outline pen or continuity)</t>
        </is>
      </c>
      <c r="I470" s="5" t="inlineStr">
        <is>
          <t>(none)</t>
        </is>
      </c>
      <c r="J470" s="5" t="inlineStr"/>
      <c r="K470" s="5" t="inlineStr"/>
      <c r="L470" s="5" t="n">
        <v>39</v>
      </c>
      <c r="M470" s="5" t="n">
        <v>20</v>
      </c>
      <c r="N470" s="10">
        <f>IF(AND(ISNUMBER(L470),M470&gt;0),L470/M470,"")</f>
        <v/>
      </c>
      <c r="O470" s="5" t="n">
        <v>0.079</v>
      </c>
      <c r="P470" s="5" t="n">
        <v>169.6</v>
      </c>
      <c r="Q470" s="5" t="n">
        <v>1</v>
      </c>
      <c r="R470" s="5" t="n">
        <v>0</v>
      </c>
      <c r="S470" s="5" t="n">
        <v>0</v>
      </c>
      <c r="T470" s="5" t="n">
        <v>1</v>
      </c>
      <c r="U470" s="5" t="n">
        <v>0</v>
      </c>
      <c r="V470" s="5" t="n">
        <v>0</v>
      </c>
      <c r="W470" s="5" t="n">
        <v>1</v>
      </c>
      <c r="X470" s="5" t="n">
        <v>0</v>
      </c>
      <c r="Y470" s="5" t="n"/>
      <c r="Z470" s="5" t="inlineStr"/>
      <c r="AA470" s="5" t="n">
        <v>3154.7</v>
      </c>
      <c r="AB470" s="5" t="n">
        <v>3612.2</v>
      </c>
      <c r="AC470" s="5" t="n">
        <v>3167.1</v>
      </c>
      <c r="AD470" s="5" t="n">
        <v>3620.2</v>
      </c>
      <c r="AE470" s="5" t="inlineStr"/>
      <c r="AF470" s="5">
        <f>IF(AE470="","",IF(OR(AE470=F470,AND(AE470="crane_footing",F470="isolated_footing")),"yes","no"))</f>
        <v/>
      </c>
    </row>
    <row r="471">
      <c r="A471" s="5" t="n">
        <v>470</v>
      </c>
      <c r="B471" s="5" t="inlineStr">
        <is>
          <t>125</t>
        </is>
      </c>
      <c r="C471" s="5" t="inlineStr">
        <is>
          <t>region between joints</t>
        </is>
      </c>
      <c r="D471" s="5" t="inlineStr">
        <is>
          <t>solid</t>
        </is>
      </c>
      <c r="E471" s="5" t="n">
        <v>25</v>
      </c>
      <c r="F471" s="5" t="inlineStr">
        <is>
          <t>core_wall</t>
        </is>
      </c>
      <c r="G471" s="5" t="inlineStr">
        <is>
          <t>Core wall 0.34 × 0.20 m</t>
        </is>
      </c>
      <c r="H471" s="5" t="inlineStr">
        <is>
          <t>rule: column-shaped piece drawn like a wall (outline pen or continuity)</t>
        </is>
      </c>
      <c r="I471" s="5" t="inlineStr">
        <is>
          <t>(none)</t>
        </is>
      </c>
      <c r="J471" s="5" t="inlineStr"/>
      <c r="K471" s="5" t="inlineStr"/>
      <c r="L471" s="5" t="n">
        <v>34</v>
      </c>
      <c r="M471" s="5" t="n">
        <v>20</v>
      </c>
      <c r="N471" s="10">
        <f>IF(AND(ISNUMBER(L471),M471&gt;0),L471/M471,"")</f>
        <v/>
      </c>
      <c r="O471" s="5" t="n">
        <v>0.06900000000000001</v>
      </c>
      <c r="P471" s="5" t="n">
        <v>79</v>
      </c>
      <c r="Q471" s="5" t="n">
        <v>0</v>
      </c>
      <c r="R471" s="5" t="n">
        <v>0</v>
      </c>
      <c r="S471" s="5" t="n">
        <v>0</v>
      </c>
      <c r="T471" s="5" t="n">
        <v>1</v>
      </c>
      <c r="U471" s="5" t="n">
        <v>0</v>
      </c>
      <c r="V471" s="5" t="n">
        <v>0</v>
      </c>
      <c r="W471" s="5" t="n">
        <v>0</v>
      </c>
      <c r="X471" s="5" t="n">
        <v>0</v>
      </c>
      <c r="Y471" s="5" t="n"/>
      <c r="Z471" s="5" t="inlineStr"/>
      <c r="AA471" s="5" t="n">
        <v>3175.6</v>
      </c>
      <c r="AB471" s="5" t="n">
        <v>3619.9</v>
      </c>
      <c r="AC471" s="5" t="n">
        <v>3183.3</v>
      </c>
      <c r="AD471" s="5" t="n">
        <v>3631</v>
      </c>
      <c r="AE471" s="5" t="inlineStr"/>
      <c r="AF471" s="5">
        <f>IF(AE471="","",IF(OR(AE471=F471,AND(AE471="crane_footing",F471="isolated_footing")),"yes","no"))</f>
        <v/>
      </c>
    </row>
    <row r="472">
      <c r="A472" s="5" t="n">
        <v>471</v>
      </c>
      <c r="B472" s="5" t="inlineStr">
        <is>
          <t>125</t>
        </is>
      </c>
      <c r="C472" s="5" t="inlineStr">
        <is>
          <t>region between joints</t>
        </is>
      </c>
      <c r="D472" s="5" t="inlineStr">
        <is>
          <t>solid</t>
        </is>
      </c>
      <c r="E472" s="5" t="n">
        <v>28</v>
      </c>
      <c r="F472" s="5" t="inlineStr">
        <is>
          <t>core_wall</t>
        </is>
      </c>
      <c r="G472" s="5" t="inlineStr">
        <is>
          <t>Core wall 0.87 × 0.20 m</t>
        </is>
      </c>
      <c r="H472" s="5" t="inlineStr">
        <is>
          <t>rule: unlabelled interior wall, no V type of its size</t>
        </is>
      </c>
      <c r="I472" s="5" t="inlineStr">
        <is>
          <t>(none)</t>
        </is>
      </c>
      <c r="J472" s="5" t="inlineStr">
        <is>
          <t>no shear_wall type in its building has this size</t>
        </is>
      </c>
      <c r="K472" s="5" t="inlineStr"/>
      <c r="L472" s="5" t="n">
        <v>87</v>
      </c>
      <c r="M472" s="5" t="n">
        <v>20</v>
      </c>
      <c r="N472" s="10">
        <f>IF(AND(ISNUMBER(L472),M472&gt;0),L472/M472,"")</f>
        <v/>
      </c>
      <c r="O472" s="5" t="n">
        <v>0.176</v>
      </c>
      <c r="P472" s="5" t="n">
        <v>116.6</v>
      </c>
      <c r="Q472" s="5" t="n">
        <v>2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v>0</v>
      </c>
      <c r="X472" s="5" t="n">
        <v>0</v>
      </c>
      <c r="Y472" s="5" t="n"/>
      <c r="Z472" s="5" t="inlineStr"/>
      <c r="AA472" s="5" t="n">
        <v>2657.6</v>
      </c>
      <c r="AB472" s="5" t="n">
        <v>3428.2</v>
      </c>
      <c r="AC472" s="5" t="n">
        <v>2674.4</v>
      </c>
      <c r="AD472" s="5" t="n">
        <v>3454</v>
      </c>
      <c r="AE472" s="5" t="inlineStr"/>
      <c r="AF472" s="5">
        <f>IF(AE472="","",IF(OR(AE472=F472,AND(AE472="crane_footing",F472="isolated_footing")),"yes","no"))</f>
        <v/>
      </c>
    </row>
    <row r="473">
      <c r="A473" s="5" t="n">
        <v>472</v>
      </c>
      <c r="B473" s="5" t="inlineStr">
        <is>
          <t>125</t>
        </is>
      </c>
      <c r="C473" s="5" t="inlineStr">
        <is>
          <t>region between joints</t>
        </is>
      </c>
      <c r="D473" s="5" t="inlineStr">
        <is>
          <t>solid</t>
        </is>
      </c>
      <c r="E473" s="5" t="n">
        <v>37</v>
      </c>
      <c r="F473" s="5" t="inlineStr">
        <is>
          <t>core_wall</t>
        </is>
      </c>
      <c r="G473" s="5" t="inlineStr">
        <is>
          <t>Core wall 1.99 × 0.20 m</t>
        </is>
      </c>
      <c r="H473" s="5" t="inlineStr">
        <is>
          <t>rule: unlabelled interior wall, no V type of its size</t>
        </is>
      </c>
      <c r="I473" s="5" t="inlineStr">
        <is>
          <t>(none)</t>
        </is>
      </c>
      <c r="J473" s="5" t="inlineStr">
        <is>
          <t>no shear_wall type in its building has this size</t>
        </is>
      </c>
      <c r="K473" s="5" t="inlineStr"/>
      <c r="L473" s="5" t="n">
        <v>199</v>
      </c>
      <c r="M473" s="5" t="n">
        <v>20</v>
      </c>
      <c r="N473" s="10">
        <f>IF(AND(ISNUMBER(L473),M473&gt;0),L473/M473,"")</f>
        <v/>
      </c>
      <c r="O473" s="5" t="n">
        <v>0.401</v>
      </c>
      <c r="P473" s="5" t="n">
        <v>116.7</v>
      </c>
      <c r="Q473" s="5" t="n">
        <v>3</v>
      </c>
      <c r="R473" s="5" t="n">
        <v>0</v>
      </c>
      <c r="S473" s="5" t="n">
        <v>0</v>
      </c>
      <c r="T473" s="5" t="n">
        <v>1</v>
      </c>
      <c r="U473" s="5" t="n">
        <v>0</v>
      </c>
      <c r="V473" s="5" t="n">
        <v>1</v>
      </c>
      <c r="W473" s="5" t="n">
        <v>1</v>
      </c>
      <c r="X473" s="5" t="n">
        <v>0</v>
      </c>
      <c r="Y473" s="5" t="n"/>
      <c r="Z473" s="5" t="inlineStr"/>
      <c r="AA473" s="5" t="n">
        <v>2823.4</v>
      </c>
      <c r="AB473" s="5" t="n">
        <v>3518.4</v>
      </c>
      <c r="AC473" s="5" t="n">
        <v>2855.1</v>
      </c>
      <c r="AD473" s="5" t="n">
        <v>3573.5</v>
      </c>
      <c r="AE473" s="5" t="inlineStr"/>
      <c r="AF473" s="5">
        <f>IF(AE473="","",IF(OR(AE473=F473,AND(AE473="crane_footing",F473="isolated_footing")),"yes","no"))</f>
        <v/>
      </c>
    </row>
    <row r="474">
      <c r="A474" s="5" t="n">
        <v>473</v>
      </c>
      <c r="B474" s="5" t="inlineStr">
        <is>
          <t>125</t>
        </is>
      </c>
      <c r="C474" s="5" t="inlineStr">
        <is>
          <t>region between joints</t>
        </is>
      </c>
      <c r="D474" s="5" t="inlineStr">
        <is>
          <t>solid</t>
        </is>
      </c>
      <c r="E474" s="5" t="n">
        <v>28</v>
      </c>
      <c r="F474" s="5" t="inlineStr">
        <is>
          <t>core_wall</t>
        </is>
      </c>
      <c r="G474" s="5" t="inlineStr">
        <is>
          <t>Core wall 1.20 × 0.20 m</t>
        </is>
      </c>
      <c r="H474" s="5" t="inlineStr">
        <is>
          <t>rule: unlabelled interior wall, no V type of its size</t>
        </is>
      </c>
      <c r="I474" s="5" t="inlineStr">
        <is>
          <t>(none)</t>
        </is>
      </c>
      <c r="J474" s="5" t="inlineStr">
        <is>
          <t>no shear_wall type in its building has this size</t>
        </is>
      </c>
      <c r="K474" s="5" t="inlineStr"/>
      <c r="L474" s="5" t="n">
        <v>120</v>
      </c>
      <c r="M474" s="5" t="n">
        <v>20</v>
      </c>
      <c r="N474" s="10">
        <f>IF(AND(ISNUMBER(L474),M474&gt;0),L474/M474,"")</f>
        <v/>
      </c>
      <c r="O474" s="5" t="n">
        <v>0.242</v>
      </c>
      <c r="P474" s="5" t="n">
        <v>116.7</v>
      </c>
      <c r="Q474" s="5" t="n">
        <v>2</v>
      </c>
      <c r="R474" s="5" t="n">
        <v>0</v>
      </c>
      <c r="S474" s="5" t="n">
        <v>0</v>
      </c>
      <c r="T474" s="5" t="n">
        <v>1</v>
      </c>
      <c r="U474" s="5" t="n">
        <v>0</v>
      </c>
      <c r="V474" s="5" t="n">
        <v>0</v>
      </c>
      <c r="W474" s="5" t="n">
        <v>1</v>
      </c>
      <c r="X474" s="5" t="n">
        <v>0</v>
      </c>
      <c r="Y474" s="5" t="n"/>
      <c r="Z474" s="5" t="inlineStr"/>
      <c r="AA474" s="5" t="n">
        <v>2774.5</v>
      </c>
      <c r="AB474" s="5" t="n">
        <v>3561</v>
      </c>
      <c r="AC474" s="5" t="n">
        <v>2795.7</v>
      </c>
      <c r="AD474" s="5" t="n">
        <v>3595.4</v>
      </c>
      <c r="AE474" s="5" t="inlineStr"/>
      <c r="AF474" s="5">
        <f>IF(AE474="","",IF(OR(AE474=F474,AND(AE474="crane_footing",F474="isolated_footing")),"yes","no"))</f>
        <v/>
      </c>
    </row>
    <row r="475">
      <c r="A475" s="5" t="n">
        <v>474</v>
      </c>
      <c r="B475" s="5" t="inlineStr">
        <is>
          <t>125</t>
        </is>
      </c>
      <c r="C475" s="5" t="inlineStr">
        <is>
          <t>region between joints</t>
        </is>
      </c>
      <c r="D475" s="5" t="inlineStr">
        <is>
          <t>solid</t>
        </is>
      </c>
      <c r="E475" s="5" t="n">
        <v>28</v>
      </c>
      <c r="F475" s="5" t="inlineStr">
        <is>
          <t>core_wall</t>
        </is>
      </c>
      <c r="G475" s="5" t="inlineStr">
        <is>
          <t>Core wall 3.37 × 0.25 m</t>
        </is>
      </c>
      <c r="H475" s="5" t="inlineStr">
        <is>
          <t>rule: unlabelled interior wall, no V type of its size</t>
        </is>
      </c>
      <c r="I475" s="5" t="inlineStr">
        <is>
          <t>(none)</t>
        </is>
      </c>
      <c r="J475" s="5" t="inlineStr">
        <is>
          <t>no shear_wall type in its building has this size</t>
        </is>
      </c>
      <c r="K475" s="5" t="inlineStr"/>
      <c r="L475" s="5" t="n">
        <v>337</v>
      </c>
      <c r="M475" s="5" t="n">
        <v>25</v>
      </c>
      <c r="N475" s="10">
        <f>IF(AND(ISNUMBER(L475),M475&gt;0),L475/M475,"")</f>
        <v/>
      </c>
      <c r="O475" s="5" t="n">
        <v>0.84</v>
      </c>
      <c r="P475" s="5" t="n">
        <v>116.6</v>
      </c>
      <c r="Q475" s="5" t="n">
        <v>4</v>
      </c>
      <c r="R475" s="5" t="n">
        <v>0</v>
      </c>
      <c r="S475" s="5" t="n">
        <v>0</v>
      </c>
      <c r="T475" s="5" t="n">
        <v>1</v>
      </c>
      <c r="U475" s="5" t="n">
        <v>0</v>
      </c>
      <c r="V475" s="5" t="n">
        <v>1</v>
      </c>
      <c r="W475" s="5" t="n">
        <v>3</v>
      </c>
      <c r="X475" s="5" t="n">
        <v>0</v>
      </c>
      <c r="Y475" s="5" t="n"/>
      <c r="Z475" s="5" t="inlineStr"/>
      <c r="AA475" s="5" t="n">
        <v>2823.2</v>
      </c>
      <c r="AB475" s="5" t="n">
        <v>3480.1</v>
      </c>
      <c r="AC475" s="5" t="n">
        <v>2874.4</v>
      </c>
      <c r="AD475" s="5" t="n">
        <v>3572.5</v>
      </c>
      <c r="AE475" s="5" t="inlineStr"/>
      <c r="AF475" s="5">
        <f>IF(AE475="","",IF(OR(AE475=F475,AND(AE475="crane_footing",F475="isolated_footing")),"yes","no"))</f>
        <v/>
      </c>
    </row>
    <row r="476">
      <c r="A476" s="5" t="n">
        <v>475</v>
      </c>
      <c r="B476" s="5" t="inlineStr">
        <is>
          <t>125</t>
        </is>
      </c>
      <c r="C476" s="5" t="inlineStr">
        <is>
          <t>region between joints</t>
        </is>
      </c>
      <c r="D476" s="5" t="inlineStr">
        <is>
          <t>solid</t>
        </is>
      </c>
      <c r="E476" s="5" t="n">
        <v>33</v>
      </c>
      <c r="F476" s="5" t="inlineStr">
        <is>
          <t>core_wall</t>
        </is>
      </c>
      <c r="G476" s="5" t="inlineStr">
        <is>
          <t>Core wall 1.75 × 0.25 m</t>
        </is>
      </c>
      <c r="H476" s="5" t="inlineStr">
        <is>
          <t>rule: unlabelled interior wall, no V type of its size</t>
        </is>
      </c>
      <c r="I476" s="5" t="inlineStr">
        <is>
          <t>(none)</t>
        </is>
      </c>
      <c r="J476" s="5" t="inlineStr">
        <is>
          <t>no shear_wall type in its building has this size</t>
        </is>
      </c>
      <c r="K476" s="5" t="inlineStr"/>
      <c r="L476" s="5" t="n">
        <v>175</v>
      </c>
      <c r="M476" s="5" t="n">
        <v>25</v>
      </c>
      <c r="N476" s="10">
        <f>IF(AND(ISNUMBER(L476),M476&gt;0),L476/M476,"")</f>
        <v/>
      </c>
      <c r="O476" s="5" t="n">
        <v>0.439</v>
      </c>
      <c r="P476" s="5" t="n">
        <v>26.7</v>
      </c>
      <c r="Q476" s="5" t="n">
        <v>1</v>
      </c>
      <c r="R476" s="5" t="n">
        <v>0</v>
      </c>
      <c r="S476" s="5" t="n">
        <v>0</v>
      </c>
      <c r="T476" s="5" t="n">
        <v>1</v>
      </c>
      <c r="U476" s="5" t="n">
        <v>0</v>
      </c>
      <c r="V476" s="5" t="n">
        <v>0</v>
      </c>
      <c r="W476" s="5" t="n">
        <v>1</v>
      </c>
      <c r="X476" s="5" t="n">
        <v>0</v>
      </c>
      <c r="Y476" s="5" t="n"/>
      <c r="Z476" s="5" t="inlineStr"/>
      <c r="AA476" s="5" t="n">
        <v>2821.7</v>
      </c>
      <c r="AB476" s="5" t="n">
        <v>3450.3</v>
      </c>
      <c r="AC476" s="5" t="n">
        <v>2871.2</v>
      </c>
      <c r="AD476" s="5" t="n">
        <v>3480.1</v>
      </c>
      <c r="AE476" s="5" t="inlineStr"/>
      <c r="AF476" s="5">
        <f>IF(AE476="","",IF(OR(AE476=F476,AND(AE476="crane_footing",F476="isolated_footing")),"yes","no"))</f>
        <v/>
      </c>
    </row>
    <row r="477">
      <c r="A477" s="5" t="n">
        <v>476</v>
      </c>
      <c r="B477" s="5" t="inlineStr">
        <is>
          <t>125</t>
        </is>
      </c>
      <c r="C477" s="5" t="inlineStr">
        <is>
          <t>region between joints</t>
        </is>
      </c>
      <c r="D477" s="5" t="inlineStr">
        <is>
          <t>solid</t>
        </is>
      </c>
      <c r="E477" s="5" t="n">
        <v>33</v>
      </c>
      <c r="F477" s="5" t="inlineStr">
        <is>
          <t>core_wall</t>
        </is>
      </c>
      <c r="G477" s="5" t="inlineStr">
        <is>
          <t>Core wall 1.75 × 0.25 m</t>
        </is>
      </c>
      <c r="H477" s="5" t="inlineStr">
        <is>
          <t>rule: unlabelled interior wall, no V type of its size</t>
        </is>
      </c>
      <c r="I477" s="5" t="inlineStr">
        <is>
          <t>(none)</t>
        </is>
      </c>
      <c r="J477" s="5" t="inlineStr">
        <is>
          <t>no shear_wall type in its building has this size</t>
        </is>
      </c>
      <c r="K477" s="5" t="inlineStr"/>
      <c r="L477" s="5" t="n">
        <v>175</v>
      </c>
      <c r="M477" s="5" t="n">
        <v>25</v>
      </c>
      <c r="N477" s="10">
        <f>IF(AND(ISNUMBER(L477),M477&gt;0),L477/M477,"")</f>
        <v/>
      </c>
      <c r="O477" s="5" t="n">
        <v>0.442</v>
      </c>
      <c r="P477" s="5" t="n">
        <v>169.3</v>
      </c>
      <c r="Q477" s="5" t="n">
        <v>1</v>
      </c>
      <c r="R477" s="5" t="n">
        <v>0</v>
      </c>
      <c r="S477" s="5" t="n">
        <v>0</v>
      </c>
      <c r="T477" s="5" t="n">
        <v>1</v>
      </c>
      <c r="U477" s="5" t="n">
        <v>0</v>
      </c>
      <c r="V477" s="5" t="n">
        <v>0</v>
      </c>
      <c r="W477" s="5" t="n">
        <v>1</v>
      </c>
      <c r="X477" s="5" t="n">
        <v>0</v>
      </c>
      <c r="Y477" s="5" t="n"/>
      <c r="Z477" s="5" t="inlineStr"/>
      <c r="AA477" s="5" t="n">
        <v>3127.3</v>
      </c>
      <c r="AB477" s="5" t="n">
        <v>3499.7</v>
      </c>
      <c r="AC477" s="5" t="n">
        <v>3179.4</v>
      </c>
      <c r="AD477" s="5" t="n">
        <v>3516.6</v>
      </c>
      <c r="AE477" s="5" t="inlineStr"/>
      <c r="AF477" s="5">
        <f>IF(AE477="","",IF(OR(AE477=F477,AND(AE477="crane_footing",F477="isolated_footing")),"yes","no"))</f>
        <v/>
      </c>
    </row>
    <row r="478">
      <c r="A478" s="5" t="n">
        <v>477</v>
      </c>
      <c r="B478" s="5" t="inlineStr">
        <is>
          <t>125</t>
        </is>
      </c>
      <c r="C478" s="5" t="inlineStr">
        <is>
          <t>region between joints</t>
        </is>
      </c>
      <c r="D478" s="5" t="inlineStr">
        <is>
          <t>solid</t>
        </is>
      </c>
      <c r="E478" s="5" t="n">
        <v>26</v>
      </c>
      <c r="F478" s="5" t="inlineStr">
        <is>
          <t>core_wall</t>
        </is>
      </c>
      <c r="G478" s="5" t="inlineStr">
        <is>
          <t>Core wall 1.57 × 0.25 m</t>
        </is>
      </c>
      <c r="H478" s="5" t="inlineStr">
        <is>
          <t>rule: unlabelled interior wall, no V type of its size</t>
        </is>
      </c>
      <c r="I478" s="5" t="inlineStr">
        <is>
          <t>(none)</t>
        </is>
      </c>
      <c r="J478" s="5" t="inlineStr"/>
      <c r="K478" s="5" t="inlineStr"/>
      <c r="L478" s="5" t="n">
        <v>157</v>
      </c>
      <c r="M478" s="5" t="n">
        <v>25</v>
      </c>
      <c r="N478" s="10">
        <f>IF(AND(ISNUMBER(L478),M478&gt;0),L478/M478,"")</f>
        <v/>
      </c>
      <c r="O478" s="5" t="n">
        <v>0.393</v>
      </c>
      <c r="P478" s="5" t="n">
        <v>79.40000000000001</v>
      </c>
      <c r="Q478" s="5" t="n">
        <v>1</v>
      </c>
      <c r="R478" s="5" t="n">
        <v>0</v>
      </c>
      <c r="S478" s="5" t="n">
        <v>0</v>
      </c>
      <c r="T478" s="5" t="n">
        <v>1</v>
      </c>
      <c r="U478" s="5" t="n">
        <v>0</v>
      </c>
      <c r="V478" s="5" t="n">
        <v>0</v>
      </c>
      <c r="W478" s="5" t="n">
        <v>1</v>
      </c>
      <c r="X478" s="5" t="n">
        <v>0</v>
      </c>
      <c r="Y478" s="5" t="n"/>
      <c r="Z478" s="5" t="inlineStr"/>
      <c r="AA478" s="5" t="n">
        <v>3121.4</v>
      </c>
      <c r="AB478" s="5" t="n">
        <v>3516.6</v>
      </c>
      <c r="AC478" s="5" t="n">
        <v>3137.3</v>
      </c>
      <c r="AD478" s="5" t="n">
        <v>3563.5</v>
      </c>
      <c r="AE478" s="5" t="inlineStr"/>
      <c r="AF478" s="5">
        <f>IF(AE478="","",IF(OR(AE478=F478,AND(AE478="crane_footing",F478="isolated_footing")),"yes","no"))</f>
        <v/>
      </c>
    </row>
    <row r="479">
      <c r="A479" s="5" t="n">
        <v>478</v>
      </c>
      <c r="B479" s="5" t="inlineStr">
        <is>
          <t>125</t>
        </is>
      </c>
      <c r="C479" s="5" t="inlineStr">
        <is>
          <t>region between joints</t>
        </is>
      </c>
      <c r="D479" s="5" t="inlineStr">
        <is>
          <t>solid</t>
        </is>
      </c>
      <c r="E479" s="5" t="n">
        <v>26</v>
      </c>
      <c r="F479" s="5" t="inlineStr">
        <is>
          <t>core_wall</t>
        </is>
      </c>
      <c r="G479" s="5" t="inlineStr">
        <is>
          <t>Core wall 1.42 × 0.25 m</t>
        </is>
      </c>
      <c r="H479" s="5" t="inlineStr">
        <is>
          <t>rule: unlabelled interior wall, no V type of its size</t>
        </is>
      </c>
      <c r="I479" s="5" t="inlineStr">
        <is>
          <t>(none)</t>
        </is>
      </c>
      <c r="J479" s="5" t="inlineStr"/>
      <c r="K479" s="5" t="inlineStr"/>
      <c r="L479" s="5" t="n">
        <v>142</v>
      </c>
      <c r="M479" s="5" t="n">
        <v>25</v>
      </c>
      <c r="N479" s="10">
        <f>IF(AND(ISNUMBER(L479),M479&gt;0),L479/M479,"")</f>
        <v/>
      </c>
      <c r="O479" s="5" t="n">
        <v>0.355</v>
      </c>
      <c r="P479" s="5" t="n">
        <v>169.3</v>
      </c>
      <c r="Q479" s="5" t="n">
        <v>1</v>
      </c>
      <c r="R479" s="5" t="n">
        <v>0</v>
      </c>
      <c r="S479" s="5" t="n">
        <v>0</v>
      </c>
      <c r="T479" s="5" t="n">
        <v>1</v>
      </c>
      <c r="U479" s="5" t="n">
        <v>0</v>
      </c>
      <c r="V479" s="5" t="n">
        <v>1</v>
      </c>
      <c r="W479" s="5" t="n">
        <v>1</v>
      </c>
      <c r="X479" s="5" t="n">
        <v>0</v>
      </c>
      <c r="Y479" s="5" t="n"/>
      <c r="Z479" s="5" t="inlineStr"/>
      <c r="AA479" s="5" t="n">
        <v>3147.2</v>
      </c>
      <c r="AB479" s="5" t="n">
        <v>3606.8</v>
      </c>
      <c r="AC479" s="5" t="n">
        <v>3189.8</v>
      </c>
      <c r="AD479" s="5" t="n">
        <v>3621.8</v>
      </c>
      <c r="AE479" s="5" t="inlineStr"/>
      <c r="AF479" s="5">
        <f>IF(AE479="","",IF(OR(AE479=F479,AND(AE479="crane_footing",F479="isolated_footing")),"yes","no"))</f>
        <v/>
      </c>
    </row>
    <row r="480">
      <c r="A480" s="5" t="n">
        <v>479</v>
      </c>
      <c r="B480" s="5" t="inlineStr">
        <is>
          <t>125</t>
        </is>
      </c>
      <c r="C480" s="5" t="inlineStr">
        <is>
          <t>region between joints</t>
        </is>
      </c>
      <c r="D480" s="5" t="inlineStr">
        <is>
          <t>cross_hatch</t>
        </is>
      </c>
      <c r="E480" s="5" t="n">
        <v>10</v>
      </c>
      <c r="F480" s="5" t="inlineStr">
        <is>
          <t>core_wall</t>
        </is>
      </c>
      <c r="G480" s="5" t="inlineStr">
        <is>
          <t>Core wall 2.29 × 0.20 m</t>
        </is>
      </c>
      <c r="H480" s="5" t="inlineStr">
        <is>
          <t>rule: unlabelled interior wall, no V type of its size</t>
        </is>
      </c>
      <c r="I480" s="5" t="inlineStr">
        <is>
          <t>(none)</t>
        </is>
      </c>
      <c r="J480" s="5" t="inlineStr"/>
      <c r="K480" s="5" t="inlineStr"/>
      <c r="L480" s="5" t="n">
        <v>229</v>
      </c>
      <c r="M480" s="5" t="n">
        <v>20</v>
      </c>
      <c r="N480" s="10">
        <f>IF(AND(ISNUMBER(L480),M480&gt;0),L480/M480,"")</f>
        <v/>
      </c>
      <c r="O480" s="5" t="n">
        <v>0.463</v>
      </c>
      <c r="P480" s="5" t="n">
        <v>116.6</v>
      </c>
      <c r="Q480" s="5" t="n">
        <v>0</v>
      </c>
      <c r="R480" s="5" t="n">
        <v>0</v>
      </c>
      <c r="S480" s="5" t="n">
        <v>0</v>
      </c>
      <c r="T480" s="5" t="n">
        <v>1</v>
      </c>
      <c r="U480" s="5" t="n">
        <v>0</v>
      </c>
      <c r="V480" s="5" t="n">
        <v>0</v>
      </c>
      <c r="W480" s="5" t="n">
        <v>2</v>
      </c>
      <c r="X480" s="5" t="n">
        <v>0</v>
      </c>
      <c r="Y480" s="5" t="n"/>
      <c r="Z480" s="5" t="inlineStr"/>
      <c r="AA480" s="5" t="n">
        <v>2778.2</v>
      </c>
      <c r="AB480" s="5" t="n">
        <v>3457.6</v>
      </c>
      <c r="AC480" s="5" t="n">
        <v>2824.7</v>
      </c>
      <c r="AD480" s="5" t="n">
        <v>3547.3</v>
      </c>
      <c r="AE480" s="5" t="inlineStr"/>
      <c r="AF480" s="5">
        <f>IF(AE480="","",IF(OR(AE480=F480,AND(AE480="crane_footing",F480="isolated_footing")),"yes","no"))</f>
        <v/>
      </c>
    </row>
    <row r="481">
      <c r="A481" s="5" t="n">
        <v>480</v>
      </c>
      <c r="B481" s="5" t="inlineStr">
        <is>
          <t>125</t>
        </is>
      </c>
      <c r="C481" s="5" t="inlineStr">
        <is>
          <t>region between joints</t>
        </is>
      </c>
      <c r="D481" s="5" t="inlineStr">
        <is>
          <t>cross_hatch</t>
        </is>
      </c>
      <c r="E481" s="5" t="n">
        <v>10</v>
      </c>
      <c r="F481" s="5" t="inlineStr">
        <is>
          <t>core_wall</t>
        </is>
      </c>
      <c r="G481" s="5" t="inlineStr">
        <is>
          <t>Core wall 0.94 × 0.20 m</t>
        </is>
      </c>
      <c r="H481" s="5" t="inlineStr">
        <is>
          <t>rule: unlabelled interior wall, no V type of its size</t>
        </is>
      </c>
      <c r="I481" s="5" t="inlineStr">
        <is>
          <t>(none)</t>
        </is>
      </c>
      <c r="J481" s="5" t="inlineStr"/>
      <c r="K481" s="5" t="inlineStr"/>
      <c r="L481" s="5" t="n">
        <v>94</v>
      </c>
      <c r="M481" s="5" t="n">
        <v>20</v>
      </c>
      <c r="N481" s="10">
        <f>IF(AND(ISNUMBER(L481),M481&gt;0),L481/M481,"")</f>
        <v/>
      </c>
      <c r="O481" s="5" t="n">
        <v>0.19</v>
      </c>
      <c r="P481" s="5" t="n">
        <v>26.7</v>
      </c>
      <c r="Q481" s="5" t="n">
        <v>2</v>
      </c>
      <c r="R481" s="5" t="n">
        <v>0</v>
      </c>
      <c r="S481" s="5" t="n">
        <v>0</v>
      </c>
      <c r="T481" s="5" t="n">
        <v>1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/>
      <c r="Z481" s="5" t="inlineStr"/>
      <c r="AA481" s="5" t="n">
        <v>2701</v>
      </c>
      <c r="AB481" s="5" t="n">
        <v>3555.8</v>
      </c>
      <c r="AC481" s="5" t="n">
        <v>2740.8</v>
      </c>
      <c r="AD481" s="5" t="n">
        <v>3579.3</v>
      </c>
      <c r="AE481" s="5" t="inlineStr"/>
      <c r="AF481" s="5">
        <f>IF(AE481="","",IF(OR(AE481=F481,AND(AE481="crane_footing",F481="isolated_footing")),"yes","no"))</f>
        <v/>
      </c>
    </row>
    <row r="482">
      <c r="A482" s="5" t="n">
        <v>481</v>
      </c>
      <c r="B482" s="5" t="inlineStr">
        <is>
          <t>125</t>
        </is>
      </c>
      <c r="C482" s="5" t="inlineStr">
        <is>
          <t>region between joints</t>
        </is>
      </c>
      <c r="D482" s="5" t="inlineStr">
        <is>
          <t>outline</t>
        </is>
      </c>
      <c r="E482" s="5" t="n">
        <v>17</v>
      </c>
      <c r="F482" s="5" t="inlineStr">
        <is>
          <t>core_wall</t>
        </is>
      </c>
      <c r="G482" s="5" t="inlineStr">
        <is>
          <t>Core wall 3.90 × 0.20 m</t>
        </is>
      </c>
      <c r="H482" s="5" t="inlineStr">
        <is>
          <t>rule: unlabelled interior wall, no V type of its size (drawn as an outline with a pattern inside)</t>
        </is>
      </c>
      <c r="I482" s="5" t="inlineStr">
        <is>
          <t>(none)</t>
        </is>
      </c>
      <c r="J482" s="5" t="inlineStr"/>
      <c r="K482" s="5" t="inlineStr"/>
      <c r="L482" s="5" t="n">
        <v>390</v>
      </c>
      <c r="M482" s="5" t="n">
        <v>20</v>
      </c>
      <c r="N482" s="10">
        <f>IF(AND(ISNUMBER(L482),M482&gt;0),L482/M482,"")</f>
        <v/>
      </c>
      <c r="O482" s="5" t="n">
        <v>0.776</v>
      </c>
      <c r="P482" s="5" t="n">
        <v>116.6</v>
      </c>
      <c r="Q482" s="5" t="n">
        <v>2</v>
      </c>
      <c r="R482" s="5" t="n">
        <v>0</v>
      </c>
      <c r="S482" s="5" t="n">
        <v>0</v>
      </c>
      <c r="T482" s="5" t="n">
        <v>1</v>
      </c>
      <c r="U482" s="5" t="n">
        <v>0</v>
      </c>
      <c r="V482" s="5" t="n">
        <v>0</v>
      </c>
      <c r="W482" s="5" t="n">
        <v>4</v>
      </c>
      <c r="X482" s="5" t="n">
        <v>0</v>
      </c>
      <c r="Y482" s="5" t="n"/>
      <c r="Z482" s="5" t="inlineStr"/>
      <c r="AA482" s="5" t="n">
        <v>2728.9</v>
      </c>
      <c r="AB482" s="5" t="n">
        <v>3384.2</v>
      </c>
      <c r="AC482" s="5" t="n">
        <v>2785.7</v>
      </c>
      <c r="AD482" s="5" t="n">
        <v>3489.7</v>
      </c>
      <c r="AE482" s="5" t="inlineStr"/>
      <c r="AF482" s="5">
        <f>IF(AE482="","",IF(OR(AE482=F482,AND(AE482="crane_footing",F482="isolated_footing")),"yes","no"))</f>
        <v/>
      </c>
    </row>
    <row r="483">
      <c r="A483" s="5" t="n">
        <v>482</v>
      </c>
      <c r="B483" s="5" t="inlineStr">
        <is>
          <t>125</t>
        </is>
      </c>
      <c r="C483" s="5" t="inlineStr">
        <is>
          <t>region between joints</t>
        </is>
      </c>
      <c r="D483" s="5" t="inlineStr">
        <is>
          <t>outline</t>
        </is>
      </c>
      <c r="E483" s="5" t="n">
        <v>17</v>
      </c>
      <c r="F483" s="5" t="inlineStr">
        <is>
          <t>core_wall</t>
        </is>
      </c>
      <c r="G483" s="5" t="inlineStr">
        <is>
          <t>Core wall 3.37 × 0.20 m</t>
        </is>
      </c>
      <c r="H483" s="5" t="inlineStr">
        <is>
          <t>rule: unlabelled interior wall, no V type of its size (drawn as an outline with a pattern inside)</t>
        </is>
      </c>
      <c r="I483" s="5" t="inlineStr">
        <is>
          <t>(none)</t>
        </is>
      </c>
      <c r="J483" s="5" t="inlineStr"/>
      <c r="K483" s="5" t="inlineStr"/>
      <c r="L483" s="5" t="n">
        <v>337</v>
      </c>
      <c r="M483" s="5" t="n">
        <v>20</v>
      </c>
      <c r="N483" s="10">
        <f>IF(AND(ISNUMBER(L483),M483&gt;0),L483/M483,"")</f>
        <v/>
      </c>
      <c r="O483" s="5" t="n">
        <v>0.675</v>
      </c>
      <c r="P483" s="5" t="n">
        <v>169.4</v>
      </c>
      <c r="Q483" s="5" t="n">
        <v>1</v>
      </c>
      <c r="R483" s="5" t="n">
        <v>0</v>
      </c>
      <c r="S483" s="5" t="n">
        <v>0</v>
      </c>
      <c r="T483" s="5" t="n">
        <v>1</v>
      </c>
      <c r="U483" s="5" t="n">
        <v>0</v>
      </c>
      <c r="V483" s="5" t="n">
        <v>0</v>
      </c>
      <c r="W483" s="5" t="n">
        <v>4</v>
      </c>
      <c r="X483" s="5" t="n">
        <v>0</v>
      </c>
      <c r="Y483" s="5" t="n"/>
      <c r="Z483" s="5" t="inlineStr"/>
      <c r="AA483" s="5" t="n">
        <v>3198.2</v>
      </c>
      <c r="AB483" s="5" t="n">
        <v>3588.2</v>
      </c>
      <c r="AC483" s="5" t="n">
        <v>3297</v>
      </c>
      <c r="AD483" s="5" t="n">
        <v>3612.2</v>
      </c>
      <c r="AE483" s="5" t="inlineStr"/>
      <c r="AF483" s="5">
        <f>IF(AE483="","",IF(OR(AE483=F483,AND(AE483="crane_footing",F483="isolated_footing")),"yes","no"))</f>
        <v/>
      </c>
    </row>
    <row r="484">
      <c r="A484" s="5" t="n">
        <v>483</v>
      </c>
      <c r="B484" s="5" t="inlineStr">
        <is>
          <t>125</t>
        </is>
      </c>
      <c r="C484" s="5" t="inlineStr">
        <is>
          <t>region between joints</t>
        </is>
      </c>
      <c r="D484" s="5" t="inlineStr">
        <is>
          <t>outline</t>
        </is>
      </c>
      <c r="E484" s="5" t="n">
        <v>17</v>
      </c>
      <c r="F484" s="5" t="inlineStr">
        <is>
          <t>core_wall</t>
        </is>
      </c>
      <c r="G484" s="5" t="inlineStr">
        <is>
          <t>Core wall 3.38 × 0.20 m</t>
        </is>
      </c>
      <c r="H484" s="5" t="inlineStr">
        <is>
          <t>rule: unlabelled interior wall, no V type of its size (drawn as an outline with a pattern inside)</t>
        </is>
      </c>
      <c r="I484" s="5" t="inlineStr">
        <is>
          <t>(none)</t>
        </is>
      </c>
      <c r="J484" s="5" t="inlineStr"/>
      <c r="K484" s="5" t="inlineStr"/>
      <c r="L484" s="5" t="n">
        <v>338</v>
      </c>
      <c r="M484" s="5" t="n">
        <v>20</v>
      </c>
      <c r="N484" s="10">
        <f>IF(AND(ISNUMBER(L484),M484&gt;0),L484/M484,"")</f>
        <v/>
      </c>
      <c r="O484" s="5" t="n">
        <v>0.672</v>
      </c>
      <c r="P484" s="5" t="n">
        <v>79.3</v>
      </c>
      <c r="Q484" s="5" t="n">
        <v>1</v>
      </c>
      <c r="R484" s="5" t="n">
        <v>0</v>
      </c>
      <c r="S484" s="5" t="n">
        <v>0</v>
      </c>
      <c r="T484" s="5" t="n">
        <v>1</v>
      </c>
      <c r="U484" s="5" t="n">
        <v>0</v>
      </c>
      <c r="V484" s="5" t="n">
        <v>0</v>
      </c>
      <c r="W484" s="5" t="n">
        <v>4</v>
      </c>
      <c r="X484" s="5" t="n">
        <v>0</v>
      </c>
      <c r="Y484" s="5" t="n"/>
      <c r="Z484" s="5" t="inlineStr"/>
      <c r="AA484" s="5" t="n">
        <v>3173.7</v>
      </c>
      <c r="AB484" s="5" t="n">
        <v>3507</v>
      </c>
      <c r="AC484" s="5" t="n">
        <v>3197.9</v>
      </c>
      <c r="AD484" s="5" t="n">
        <v>3606</v>
      </c>
      <c r="AE484" s="5" t="inlineStr"/>
      <c r="AF484" s="5">
        <f>IF(AE484="","",IF(OR(AE484=F484,AND(AE484="crane_footing",F484="isolated_footing")),"yes","no"))</f>
        <v/>
      </c>
    </row>
    <row r="485">
      <c r="A485" s="5" t="n">
        <v>484</v>
      </c>
      <c r="B485" s="5" t="inlineStr">
        <is>
          <t>125</t>
        </is>
      </c>
      <c r="C485" s="5" t="inlineStr">
        <is>
          <t>region between joints</t>
        </is>
      </c>
      <c r="D485" s="5" t="inlineStr">
        <is>
          <t>outline</t>
        </is>
      </c>
      <c r="E485" s="5" t="n">
        <v>18</v>
      </c>
      <c r="F485" s="5" t="inlineStr">
        <is>
          <t>core_wall</t>
        </is>
      </c>
      <c r="G485" s="5" t="inlineStr">
        <is>
          <t>Core wall 1.32 × 0.20 m</t>
        </is>
      </c>
      <c r="H485" s="5" t="inlineStr">
        <is>
          <t>rule: unlabelled interior wall, no V type of its size (drawn as an outline with a pattern inside)</t>
        </is>
      </c>
      <c r="I485" s="5" t="inlineStr">
        <is>
          <t>(none)</t>
        </is>
      </c>
      <c r="J485" s="5" t="inlineStr"/>
      <c r="K485" s="5" t="inlineStr"/>
      <c r="L485" s="5" t="n">
        <v>132</v>
      </c>
      <c r="M485" s="5" t="n">
        <v>20</v>
      </c>
      <c r="N485" s="10">
        <f>IF(AND(ISNUMBER(L485),M485&gt;0),L485/M485,"")</f>
        <v/>
      </c>
      <c r="O485" s="5" t="n">
        <v>0.264</v>
      </c>
      <c r="P485" s="5" t="n">
        <v>116.6</v>
      </c>
      <c r="Q485" s="5" t="n">
        <v>2</v>
      </c>
      <c r="R485" s="5" t="n">
        <v>0</v>
      </c>
      <c r="S485" s="5" t="n">
        <v>0</v>
      </c>
      <c r="T485" s="5" t="n">
        <v>1</v>
      </c>
      <c r="U485" s="5" t="n">
        <v>0</v>
      </c>
      <c r="V485" s="5" t="n">
        <v>0</v>
      </c>
      <c r="W485" s="5" t="n">
        <v>3</v>
      </c>
      <c r="X485" s="5" t="n">
        <v>0</v>
      </c>
      <c r="Y485" s="5" t="n"/>
      <c r="Z485" s="5" t="inlineStr"/>
      <c r="AA485" s="5" t="n">
        <v>2825</v>
      </c>
      <c r="AB485" s="5" t="n">
        <v>3415.4</v>
      </c>
      <c r="AC485" s="5" t="n">
        <v>2847.8</v>
      </c>
      <c r="AD485" s="5" t="n">
        <v>3452.9</v>
      </c>
      <c r="AE485" s="5" t="inlineStr"/>
      <c r="AF485" s="5">
        <f>IF(AE485="","",IF(OR(AE485=F485,AND(AE485="crane_footing",F485="isolated_footing")),"yes","no"))</f>
        <v/>
      </c>
    </row>
    <row r="486">
      <c r="A486" s="5" t="n">
        <v>485</v>
      </c>
      <c r="B486" s="5" t="inlineStr">
        <is>
          <t>125</t>
        </is>
      </c>
      <c r="C486" s="5" t="inlineStr">
        <is>
          <t>region between joints</t>
        </is>
      </c>
      <c r="D486" s="5" t="inlineStr">
        <is>
          <t>outline</t>
        </is>
      </c>
      <c r="E486" s="5" t="n">
        <v>18</v>
      </c>
      <c r="F486" s="5" t="inlineStr">
        <is>
          <t>core_wall</t>
        </is>
      </c>
      <c r="G486" s="5" t="inlineStr">
        <is>
          <t>Core wall 1.33 × 0.20 m</t>
        </is>
      </c>
      <c r="H486" s="5" t="inlineStr">
        <is>
          <t>rule: unlabelled interior wall, no V type of its size (drawn as an outline with a pattern inside)</t>
        </is>
      </c>
      <c r="I486" s="5" t="inlineStr">
        <is>
          <t>(none)</t>
        </is>
      </c>
      <c r="J486" s="5" t="inlineStr"/>
      <c r="K486" s="5" t="inlineStr"/>
      <c r="L486" s="5" t="n">
        <v>133</v>
      </c>
      <c r="M486" s="5" t="n">
        <v>20</v>
      </c>
      <c r="N486" s="10">
        <f>IF(AND(ISNUMBER(L486),M486&gt;0),L486/M486,"")</f>
        <v/>
      </c>
      <c r="O486" s="5" t="n">
        <v>0.264</v>
      </c>
      <c r="P486" s="5" t="n">
        <v>79.09999999999999</v>
      </c>
      <c r="Q486" s="5" t="n">
        <v>2</v>
      </c>
      <c r="R486" s="5" t="n">
        <v>0</v>
      </c>
      <c r="S486" s="5" t="n">
        <v>0</v>
      </c>
      <c r="T486" s="5" t="n">
        <v>1</v>
      </c>
      <c r="U486" s="5" t="n">
        <v>0</v>
      </c>
      <c r="V486" s="5" t="n">
        <v>0</v>
      </c>
      <c r="W486" s="5" t="n">
        <v>3</v>
      </c>
      <c r="X486" s="5" t="n">
        <v>0</v>
      </c>
      <c r="Y486" s="5" t="n"/>
      <c r="Z486" s="5" t="inlineStr"/>
      <c r="AA486" s="5" t="n">
        <v>3164.9</v>
      </c>
      <c r="AB486" s="5" t="n">
        <v>3461.4</v>
      </c>
      <c r="AC486" s="5" t="n">
        <v>3178.1</v>
      </c>
      <c r="AD486" s="5" t="n">
        <v>3500.9</v>
      </c>
      <c r="AE486" s="5" t="inlineStr"/>
      <c r="AF486" s="5">
        <f>IF(AE486="","",IF(OR(AE486=F486,AND(AE486="crane_footing",F486="isolated_footing")),"yes","no"))</f>
        <v/>
      </c>
    </row>
    <row r="487">
      <c r="A487" s="5" t="n">
        <v>486</v>
      </c>
      <c r="B487" s="5" t="inlineStr">
        <is>
          <t>125</t>
        </is>
      </c>
      <c r="C487" s="5" t="inlineStr">
        <is>
          <t>region between joints</t>
        </is>
      </c>
      <c r="D487" s="5" t="inlineStr">
        <is>
          <t>outline</t>
        </is>
      </c>
      <c r="E487" s="5" t="n">
        <v>18</v>
      </c>
      <c r="F487" s="5" t="inlineStr">
        <is>
          <t>core_wall</t>
        </is>
      </c>
      <c r="G487" s="5" t="inlineStr">
        <is>
          <t>Core wall 1.20 × 0.20 m</t>
        </is>
      </c>
      <c r="H487" s="5" t="inlineStr">
        <is>
          <t>rule: unlabelled interior wall, no V type of its size (drawn as an outline with a pattern inside)</t>
        </is>
      </c>
      <c r="I487" s="5" t="inlineStr">
        <is>
          <t>(none)</t>
        </is>
      </c>
      <c r="J487" s="5" t="inlineStr"/>
      <c r="K487" s="5" t="inlineStr"/>
      <c r="L487" s="5" t="n">
        <v>120</v>
      </c>
      <c r="M487" s="5" t="n">
        <v>20</v>
      </c>
      <c r="N487" s="10">
        <f>IF(AND(ISNUMBER(L487),M487&gt;0),L487/M487,"")</f>
        <v/>
      </c>
      <c r="O487" s="5" t="n">
        <v>0.239</v>
      </c>
      <c r="P487" s="5" t="n">
        <v>116.6</v>
      </c>
      <c r="Q487" s="5" t="n">
        <v>2</v>
      </c>
      <c r="R487" s="5" t="n">
        <v>0</v>
      </c>
      <c r="S487" s="5" t="n">
        <v>0</v>
      </c>
      <c r="T487" s="5" t="n">
        <v>1</v>
      </c>
      <c r="U487" s="5" t="n">
        <v>0</v>
      </c>
      <c r="V487" s="5" t="n">
        <v>0</v>
      </c>
      <c r="W487" s="5" t="n">
        <v>3</v>
      </c>
      <c r="X487" s="5" t="n">
        <v>0</v>
      </c>
      <c r="Y487" s="5" t="n"/>
      <c r="Z487" s="5" t="inlineStr"/>
      <c r="AA487" s="5" t="n">
        <v>2757.8</v>
      </c>
      <c r="AB487" s="5" t="n">
        <v>3552.6</v>
      </c>
      <c r="AC487" s="5" t="n">
        <v>2778.9</v>
      </c>
      <c r="AD487" s="5" t="n">
        <v>3586.9</v>
      </c>
      <c r="AE487" s="5" t="inlineStr"/>
      <c r="AF487" s="5">
        <f>IF(AE487="","",IF(OR(AE487=F487,AND(AE487="crane_footing",F487="isolated_footing")),"yes","no"))</f>
        <v/>
      </c>
    </row>
    <row r="488">
      <c r="A488" s="5" t="n">
        <v>487</v>
      </c>
      <c r="B488" s="5" t="inlineStr">
        <is>
          <t>125</t>
        </is>
      </c>
      <c r="C488" s="5" t="inlineStr">
        <is>
          <t>region between joints</t>
        </is>
      </c>
      <c r="D488" s="5" t="inlineStr">
        <is>
          <t>cross_hatch</t>
        </is>
      </c>
      <c r="E488" s="5" t="n">
        <v>10</v>
      </c>
      <c r="F488" s="5" t="inlineStr">
        <is>
          <t>core_wall</t>
        </is>
      </c>
      <c r="G488" s="5" t="inlineStr">
        <is>
          <t>Core wall 2.00 × 0.20 m</t>
        </is>
      </c>
      <c r="H488" s="5" t="inlineStr">
        <is>
          <t>rule: unlabelled interior wall, no V type of its size</t>
        </is>
      </c>
      <c r="I488" s="5" t="inlineStr">
        <is>
          <t>(none)</t>
        </is>
      </c>
      <c r="J488" s="5" t="inlineStr"/>
      <c r="K488" s="5" t="inlineStr"/>
      <c r="L488" s="5" t="n">
        <v>200</v>
      </c>
      <c r="M488" s="5" t="n">
        <v>20</v>
      </c>
      <c r="N488" s="10">
        <f>IF(AND(ISNUMBER(L488),M488&gt;0),L488/M488,"")</f>
        <v/>
      </c>
      <c r="O488" s="5" t="n">
        <v>0.4</v>
      </c>
      <c r="P488" s="5" t="n">
        <v>26.6</v>
      </c>
      <c r="Q488" s="5" t="n">
        <v>2</v>
      </c>
      <c r="R488" s="5" t="n">
        <v>0</v>
      </c>
      <c r="S488" s="5" t="n">
        <v>0</v>
      </c>
      <c r="T488" s="5" t="n">
        <v>1</v>
      </c>
      <c r="U488" s="5" t="n">
        <v>0</v>
      </c>
      <c r="V488" s="5" t="n">
        <v>0</v>
      </c>
      <c r="W488" s="5" t="n">
        <v>2</v>
      </c>
      <c r="X488" s="5" t="n">
        <v>0</v>
      </c>
      <c r="Y488" s="5" t="n"/>
      <c r="Z488" s="5" t="inlineStr"/>
      <c r="AA488" s="5" t="n">
        <v>2796.4</v>
      </c>
      <c r="AB488" s="5" t="n">
        <v>3367.1</v>
      </c>
      <c r="AC488" s="5" t="n">
        <v>2851.8</v>
      </c>
      <c r="AD488" s="5" t="n">
        <v>3398.9</v>
      </c>
      <c r="AE488" s="5" t="inlineStr"/>
      <c r="AF488" s="5">
        <f>IF(AE488="","",IF(OR(AE488=F488,AND(AE488="crane_footing",F488="isolated_footing")),"yes","no"))</f>
        <v/>
      </c>
    </row>
    <row r="489">
      <c r="A489" s="5" t="n">
        <v>488</v>
      </c>
      <c r="B489" s="5" t="inlineStr">
        <is>
          <t>125</t>
        </is>
      </c>
      <c r="C489" s="5" t="inlineStr">
        <is>
          <t>region between joints</t>
        </is>
      </c>
      <c r="D489" s="5" t="inlineStr">
        <is>
          <t>cross_hatch</t>
        </is>
      </c>
      <c r="E489" s="5" t="n">
        <v>10</v>
      </c>
      <c r="F489" s="5" t="inlineStr">
        <is>
          <t>core_wall</t>
        </is>
      </c>
      <c r="G489" s="5" t="inlineStr">
        <is>
          <t>Core wall 2.10 × 0.20 m</t>
        </is>
      </c>
      <c r="H489" s="5" t="inlineStr">
        <is>
          <t>rule: unlabelled interior wall, no V type of its size</t>
        </is>
      </c>
      <c r="I489" s="5" t="inlineStr">
        <is>
          <t>(none)</t>
        </is>
      </c>
      <c r="J489" s="5" t="inlineStr"/>
      <c r="K489" s="5" t="inlineStr"/>
      <c r="L489" s="5" t="n">
        <v>210</v>
      </c>
      <c r="M489" s="5" t="n">
        <v>20</v>
      </c>
      <c r="N489" s="10">
        <f>IF(AND(ISNUMBER(L489),M489&gt;0),L489/M489,"")</f>
        <v/>
      </c>
      <c r="O489" s="5" t="n">
        <v>0.42</v>
      </c>
      <c r="P489" s="5" t="n">
        <v>169.4</v>
      </c>
      <c r="Q489" s="5" t="n">
        <v>2</v>
      </c>
      <c r="R489" s="5" t="n">
        <v>0</v>
      </c>
      <c r="S489" s="5" t="n">
        <v>0</v>
      </c>
      <c r="T489" s="5" t="n">
        <v>1</v>
      </c>
      <c r="U489" s="5" t="n">
        <v>0</v>
      </c>
      <c r="V489" s="5" t="n">
        <v>0</v>
      </c>
      <c r="W489" s="5" t="n">
        <v>2</v>
      </c>
      <c r="X489" s="5" t="n">
        <v>0</v>
      </c>
      <c r="Y489" s="5" t="n"/>
      <c r="Z489" s="5" t="inlineStr"/>
      <c r="AA489" s="5" t="n">
        <v>3167</v>
      </c>
      <c r="AB489" s="5" t="n">
        <v>3426.6</v>
      </c>
      <c r="AC489" s="5" t="n">
        <v>3229</v>
      </c>
      <c r="AD489" s="5" t="n">
        <v>3443.8</v>
      </c>
      <c r="AE489" s="5" t="inlineStr"/>
      <c r="AF489" s="5">
        <f>IF(AE489="","",IF(OR(AE489=F489,AND(AE489="crane_footing",F489="isolated_footing")),"yes","no"))</f>
        <v/>
      </c>
    </row>
    <row r="490">
      <c r="A490" s="5" t="n">
        <v>489</v>
      </c>
      <c r="B490" s="5" t="inlineStr">
        <is>
          <t>125</t>
        </is>
      </c>
      <c r="C490" s="5" t="inlineStr">
        <is>
          <t>region between joints</t>
        </is>
      </c>
      <c r="D490" s="5" t="inlineStr">
        <is>
          <t>cross_hatch</t>
        </is>
      </c>
      <c r="E490" s="5" t="n">
        <v>10</v>
      </c>
      <c r="F490" s="5" t="inlineStr">
        <is>
          <t>core_wall</t>
        </is>
      </c>
      <c r="G490" s="5" t="inlineStr">
        <is>
          <t>Core wall 5.00 × 0.20 m</t>
        </is>
      </c>
      <c r="H490" s="5" t="inlineStr">
        <is>
          <t>rule: unlabelled interior wall, no V type of its size</t>
        </is>
      </c>
      <c r="I490" s="5" t="inlineStr">
        <is>
          <t>(none)</t>
        </is>
      </c>
      <c r="J490" s="5" t="inlineStr"/>
      <c r="K490" s="5" t="inlineStr"/>
      <c r="L490" s="5" t="n">
        <v>500</v>
      </c>
      <c r="M490" s="5" t="n">
        <v>20</v>
      </c>
      <c r="N490" s="10">
        <f>IF(AND(ISNUMBER(L490),M490&gt;0),L490/M490,"")</f>
        <v/>
      </c>
      <c r="O490" s="5" t="n">
        <v>1</v>
      </c>
      <c r="P490" s="5" t="n">
        <v>79.40000000000001</v>
      </c>
      <c r="Q490" s="5" t="n">
        <v>1</v>
      </c>
      <c r="R490" s="5" t="n">
        <v>0</v>
      </c>
      <c r="S490" s="5" t="n">
        <v>0</v>
      </c>
      <c r="T490" s="5" t="n">
        <v>1</v>
      </c>
      <c r="U490" s="5" t="n">
        <v>0</v>
      </c>
      <c r="V490" s="5" t="n">
        <v>0</v>
      </c>
      <c r="W490" s="5" t="n">
        <v>6</v>
      </c>
      <c r="X490" s="5" t="n">
        <v>0</v>
      </c>
      <c r="Y490" s="5" t="n"/>
      <c r="Z490" s="5" t="inlineStr"/>
      <c r="AA490" s="5" t="n">
        <v>3233.8</v>
      </c>
      <c r="AB490" s="5" t="n">
        <v>3448.5</v>
      </c>
      <c r="AC490" s="5" t="n">
        <v>3266.8</v>
      </c>
      <c r="AD490" s="5" t="n">
        <v>3594.7</v>
      </c>
      <c r="AE490" s="5" t="inlineStr"/>
      <c r="AF490" s="5">
        <f>IF(AE490="","",IF(OR(AE490=F490,AND(AE490="crane_footing",F490="isolated_footing")),"yes","no"))</f>
        <v/>
      </c>
    </row>
    <row r="491">
      <c r="A491" s="5" t="n">
        <v>490</v>
      </c>
      <c r="B491" s="5" t="inlineStr">
        <is>
          <t>125</t>
        </is>
      </c>
      <c r="C491" s="5" t="inlineStr">
        <is>
          <t>region between joints</t>
        </is>
      </c>
      <c r="D491" s="5" t="inlineStr">
        <is>
          <t>cross_hatch</t>
        </is>
      </c>
      <c r="E491" s="5" t="n">
        <v>10</v>
      </c>
      <c r="F491" s="5" t="inlineStr">
        <is>
          <t>core_wall</t>
        </is>
      </c>
      <c r="G491" s="5" t="inlineStr">
        <is>
          <t>Core wall 1.00 × 0.20 m</t>
        </is>
      </c>
      <c r="H491" s="5" t="inlineStr">
        <is>
          <t>rule: unlabelled interior wall, no V type of its size</t>
        </is>
      </c>
      <c r="I491" s="5" t="inlineStr">
        <is>
          <t>(none)</t>
        </is>
      </c>
      <c r="J491" s="5" t="inlineStr"/>
      <c r="K491" s="5" t="inlineStr"/>
      <c r="L491" s="5" t="n">
        <v>100</v>
      </c>
      <c r="M491" s="5" t="n">
        <v>20</v>
      </c>
      <c r="N491" s="10">
        <f>IF(AND(ISNUMBER(L491),M491&gt;0),L491/M491,"")</f>
        <v/>
      </c>
      <c r="O491" s="5" t="n">
        <v>0.201</v>
      </c>
      <c r="P491" s="5" t="n">
        <v>169.6</v>
      </c>
      <c r="Q491" s="5" t="n">
        <v>1</v>
      </c>
      <c r="R491" s="5" t="n">
        <v>0</v>
      </c>
      <c r="S491" s="5" t="n">
        <v>0</v>
      </c>
      <c r="T491" s="5" t="n">
        <v>1</v>
      </c>
      <c r="U491" s="5" t="n">
        <v>0</v>
      </c>
      <c r="V491" s="5" t="n">
        <v>0</v>
      </c>
      <c r="W491" s="5" t="n">
        <v>3</v>
      </c>
      <c r="X491" s="5" t="n">
        <v>0</v>
      </c>
      <c r="Y491" s="5" t="n"/>
      <c r="Z491" s="5" t="inlineStr"/>
      <c r="AA491" s="5" t="n">
        <v>3254.9</v>
      </c>
      <c r="AB491" s="5" t="n">
        <v>3524.6</v>
      </c>
      <c r="AC491" s="5" t="n">
        <v>3285.1</v>
      </c>
      <c r="AD491" s="5" t="n">
        <v>3535.8</v>
      </c>
      <c r="AE491" s="5" t="inlineStr"/>
      <c r="AF491" s="5">
        <f>IF(AE491="","",IF(OR(AE491=F491,AND(AE491="crane_footing",F491="isolated_footing")),"yes","no"))</f>
        <v/>
      </c>
    </row>
    <row r="492">
      <c r="A492" s="5" t="n">
        <v>491</v>
      </c>
      <c r="B492" s="5" t="inlineStr">
        <is>
          <t>125</t>
        </is>
      </c>
      <c r="C492" s="5" t="inlineStr">
        <is>
          <t>region between joints</t>
        </is>
      </c>
      <c r="D492" s="5" t="inlineStr">
        <is>
          <t>cross_hatch</t>
        </is>
      </c>
      <c r="E492" s="5" t="n">
        <v>10</v>
      </c>
      <c r="F492" s="5" t="inlineStr">
        <is>
          <t>core_wall</t>
        </is>
      </c>
      <c r="G492" s="5" t="inlineStr">
        <is>
          <t>Core wall 1.50 × 0.20 m</t>
        </is>
      </c>
      <c r="H492" s="5" t="inlineStr">
        <is>
          <t>rule: unlabelled interior wall, no V type of its size</t>
        </is>
      </c>
      <c r="I492" s="5" t="inlineStr">
        <is>
          <t>(none)</t>
        </is>
      </c>
      <c r="J492" s="5" t="inlineStr"/>
      <c r="K492" s="5" t="inlineStr"/>
      <c r="L492" s="5" t="n">
        <v>150</v>
      </c>
      <c r="M492" s="5" t="n">
        <v>20</v>
      </c>
      <c r="N492" s="10">
        <f>IF(AND(ISNUMBER(L492),M492&gt;0),L492/M492,"")</f>
        <v/>
      </c>
      <c r="O492" s="5" t="n">
        <v>0.3</v>
      </c>
      <c r="P492" s="5" t="n">
        <v>169.4</v>
      </c>
      <c r="Q492" s="5" t="n">
        <v>1</v>
      </c>
      <c r="R492" s="5" t="n">
        <v>0</v>
      </c>
      <c r="S492" s="5" t="n">
        <v>0</v>
      </c>
      <c r="T492" s="5" t="n">
        <v>1</v>
      </c>
      <c r="U492" s="5" t="n">
        <v>0</v>
      </c>
      <c r="V492" s="5" t="n">
        <v>0</v>
      </c>
      <c r="W492" s="5" t="n">
        <v>4</v>
      </c>
      <c r="X492" s="5" t="n">
        <v>0</v>
      </c>
      <c r="Y492" s="5" t="n"/>
      <c r="Z492" s="5" t="inlineStr"/>
      <c r="AA492" s="5" t="n">
        <v>3223.2</v>
      </c>
      <c r="AB492" s="5" t="n">
        <v>3635.6</v>
      </c>
      <c r="AC492" s="5" t="n">
        <v>3267.8</v>
      </c>
      <c r="AD492" s="5" t="n">
        <v>3649.5</v>
      </c>
      <c r="AE492" s="5" t="inlineStr"/>
      <c r="AF492" s="5">
        <f>IF(AE492="","",IF(OR(AE492=F492,AND(AE492="crane_footing",F492="isolated_footing")),"yes","no"))</f>
        <v/>
      </c>
    </row>
    <row r="493">
      <c r="A493" s="5" t="n">
        <v>492</v>
      </c>
      <c r="B493" s="5" t="inlineStr">
        <is>
          <t>125</t>
        </is>
      </c>
      <c r="C493" s="5" t="inlineStr">
        <is>
          <t>region between joints</t>
        </is>
      </c>
      <c r="D493" s="5" t="inlineStr">
        <is>
          <t>solid</t>
        </is>
      </c>
      <c r="E493" s="5" t="n">
        <v>34</v>
      </c>
      <c r="F493" s="5" t="inlineStr">
        <is>
          <t>retaining_wall</t>
        </is>
      </c>
      <c r="G493" s="5" t="inlineStr">
        <is>
          <t>Retaining wall VP20 2.90 × 0.20 m</t>
        </is>
      </c>
      <c r="H493" s="5" t="inlineStr">
        <is>
          <t>its own label (the cluster's class was only a guess)</t>
        </is>
      </c>
      <c r="I493" s="5" t="inlineStr">
        <is>
          <t>VP20</t>
        </is>
      </c>
      <c r="J493" s="5" t="inlineStr">
        <is>
          <t>printed label</t>
        </is>
      </c>
      <c r="K493" s="5" t="inlineStr">
        <is>
          <t>VP20-SF1 80x25</t>
        </is>
      </c>
      <c r="L493" s="5" t="n">
        <v>290</v>
      </c>
      <c r="M493" s="5" t="n">
        <v>20</v>
      </c>
      <c r="N493" s="10">
        <f>IF(AND(ISNUMBER(L493),M493&gt;0),L493/M493,"")</f>
        <v/>
      </c>
      <c r="O493" s="5" t="n">
        <v>0.581</v>
      </c>
      <c r="P493" s="5" t="n">
        <v>26.6</v>
      </c>
      <c r="Q493" s="5" t="n">
        <v>1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/>
      <c r="Z493" s="5" t="inlineStr"/>
      <c r="AA493" s="5" t="n">
        <v>2654.9</v>
      </c>
      <c r="AB493" s="5" t="n">
        <v>3451.3</v>
      </c>
      <c r="AC493" s="5" t="n">
        <v>2734.2</v>
      </c>
      <c r="AD493" s="5" t="n">
        <v>3495</v>
      </c>
      <c r="AE493" s="5" t="inlineStr"/>
      <c r="AF493" s="5">
        <f>IF(AE493="","",IF(OR(AE493=F493,AND(AE493="crane_footing",F493="isolated_footing")),"yes","no"))</f>
        <v/>
      </c>
    </row>
    <row r="494">
      <c r="A494" s="5" t="n">
        <v>493</v>
      </c>
      <c r="B494" s="5" t="inlineStr">
        <is>
          <t>125</t>
        </is>
      </c>
      <c r="C494" s="5" t="inlineStr">
        <is>
          <t>region between joints</t>
        </is>
      </c>
      <c r="D494" s="5" t="inlineStr">
        <is>
          <t>solid</t>
        </is>
      </c>
      <c r="E494" s="5" t="n">
        <v>30</v>
      </c>
      <c r="F494" s="5" t="inlineStr">
        <is>
          <t>retaining_wall</t>
        </is>
      </c>
      <c r="G494" s="5" t="inlineStr">
        <is>
          <t>Retaining wall VP20 11.14 × 0.20 m</t>
        </is>
      </c>
      <c r="H494" s="5" t="inlineStr">
        <is>
          <t>its own label (the cluster's class was only a guess)</t>
        </is>
      </c>
      <c r="I494" s="5" t="inlineStr">
        <is>
          <t>VP20</t>
        </is>
      </c>
      <c r="J494" s="5" t="inlineStr">
        <is>
          <t>printed label</t>
        </is>
      </c>
      <c r="K494" s="5" t="inlineStr">
        <is>
          <t>VP20-SF1 80x25</t>
        </is>
      </c>
      <c r="L494" s="5" t="n">
        <v>1114</v>
      </c>
      <c r="M494" s="5" t="n">
        <v>20</v>
      </c>
      <c r="N494" s="10">
        <f>IF(AND(ISNUMBER(L494),M494&gt;0),L494/M494,"")</f>
        <v/>
      </c>
      <c r="O494" s="5" t="n">
        <v>2.236</v>
      </c>
      <c r="P494" s="5" t="n">
        <v>169.4</v>
      </c>
      <c r="Q494" s="5" t="n">
        <v>3</v>
      </c>
      <c r="R494" s="5" t="n">
        <v>0</v>
      </c>
      <c r="S494" s="5" t="n">
        <v>0</v>
      </c>
      <c r="T494" s="5" t="n">
        <v>0</v>
      </c>
      <c r="U494" s="5" t="n">
        <v>1</v>
      </c>
      <c r="V494" s="5" t="n">
        <v>1</v>
      </c>
      <c r="W494" s="5" t="n">
        <v>15</v>
      </c>
      <c r="X494" s="5" t="n">
        <v>4</v>
      </c>
      <c r="Y494" s="5" t="n"/>
      <c r="Z494" s="5" t="inlineStr"/>
      <c r="AA494" s="5" t="n">
        <v>3289.9</v>
      </c>
      <c r="AB494" s="5" t="n">
        <v>3463.2</v>
      </c>
      <c r="AC494" s="5" t="n">
        <v>3614.3</v>
      </c>
      <c r="AD494" s="5" t="n">
        <v>3529.4</v>
      </c>
      <c r="AE494" s="5" t="inlineStr"/>
      <c r="AF494" s="5">
        <f>IF(AE494="","",IF(OR(AE494=F494,AND(AE494="crane_footing",F494="isolated_footing")),"yes","no"))</f>
        <v/>
      </c>
    </row>
    <row r="495">
      <c r="A495" s="5" t="n">
        <v>494</v>
      </c>
      <c r="B495" s="5" t="inlineStr">
        <is>
          <t>125</t>
        </is>
      </c>
      <c r="C495" s="5" t="inlineStr">
        <is>
          <t>region between joints</t>
        </is>
      </c>
      <c r="D495" s="5" t="inlineStr">
        <is>
          <t>solid</t>
        </is>
      </c>
      <c r="E495" s="5" t="n">
        <v>30</v>
      </c>
      <c r="F495" s="5" t="inlineStr">
        <is>
          <t>retaining_wall</t>
        </is>
      </c>
      <c r="G495" s="5" t="inlineStr">
        <is>
          <t>Retaining wall VP20 5.41 × 0.20 m</t>
        </is>
      </c>
      <c r="H495" s="5" t="inlineStr">
        <is>
          <t>its own label (the cluster's class was only a guess)</t>
        </is>
      </c>
      <c r="I495" s="5" t="inlineStr">
        <is>
          <t>VP20</t>
        </is>
      </c>
      <c r="J495" s="5" t="inlineStr">
        <is>
          <t>printed label</t>
        </is>
      </c>
      <c r="K495" s="5" t="inlineStr">
        <is>
          <t>VP20-SF1 80x25</t>
        </is>
      </c>
      <c r="L495" s="5" t="n">
        <v>541</v>
      </c>
      <c r="M495" s="5" t="n">
        <v>20</v>
      </c>
      <c r="N495" s="10">
        <f>IF(AND(ISNUMBER(L495),M495&gt;0),L495/M495,"")</f>
        <v/>
      </c>
      <c r="O495" s="5" t="n">
        <v>1.083</v>
      </c>
      <c r="P495" s="5" t="n">
        <v>26.6</v>
      </c>
      <c r="Q495" s="5" t="n">
        <v>3</v>
      </c>
      <c r="R495" s="5" t="n">
        <v>0</v>
      </c>
      <c r="S495" s="5" t="n">
        <v>0</v>
      </c>
      <c r="T495" s="5" t="n">
        <v>0</v>
      </c>
      <c r="U495" s="5" t="n">
        <v>1</v>
      </c>
      <c r="V495" s="5" t="n">
        <v>0</v>
      </c>
      <c r="W495" s="5" t="n">
        <v>2</v>
      </c>
      <c r="X495" s="5" t="n">
        <v>1</v>
      </c>
      <c r="Y495" s="5" t="n"/>
      <c r="Z495" s="5" t="inlineStr"/>
      <c r="AA495" s="5" t="n">
        <v>2849.8</v>
      </c>
      <c r="AB495" s="5" t="n">
        <v>3513.1</v>
      </c>
      <c r="AC495" s="5" t="n">
        <v>2995.2</v>
      </c>
      <c r="AD495" s="5" t="n">
        <v>3590</v>
      </c>
      <c r="AE495" s="5" t="inlineStr"/>
      <c r="AF495" s="5">
        <f>IF(AE495="","",IF(OR(AE495=F495,AND(AE495="crane_footing",F495="isolated_footing")),"yes","no"))</f>
        <v/>
      </c>
    </row>
    <row r="496">
      <c r="A496" s="5" t="n">
        <v>495</v>
      </c>
      <c r="B496" s="5" t="inlineStr">
        <is>
          <t>125</t>
        </is>
      </c>
      <c r="C496" s="5" t="inlineStr">
        <is>
          <t>region between joints</t>
        </is>
      </c>
      <c r="D496" s="5" t="inlineStr">
        <is>
          <t>solid</t>
        </is>
      </c>
      <c r="E496" s="5" t="n">
        <v>27</v>
      </c>
      <c r="F496" s="5" t="inlineStr">
        <is>
          <t>retaining_wall</t>
        </is>
      </c>
      <c r="G496" s="5" t="inlineStr">
        <is>
          <t>Retaining wall VP20 4.31 × 0.20 m</t>
        </is>
      </c>
      <c r="H496" s="5" t="inlineStr">
        <is>
          <t>its own label (the cluster's class was only a guess)</t>
        </is>
      </c>
      <c r="I496" s="5" t="inlineStr">
        <is>
          <t>VP20</t>
        </is>
      </c>
      <c r="J496" s="5" t="inlineStr">
        <is>
          <t>printed label</t>
        </is>
      </c>
      <c r="K496" s="5" t="inlineStr">
        <is>
          <t>VP20-SF1 80x25</t>
        </is>
      </c>
      <c r="L496" s="5" t="n">
        <v>431</v>
      </c>
      <c r="M496" s="5" t="n">
        <v>20</v>
      </c>
      <c r="N496" s="10">
        <f>IF(AND(ISNUMBER(L496),M496&gt;0),L496/M496,"")</f>
        <v/>
      </c>
      <c r="O496" s="5" t="n">
        <v>0.868</v>
      </c>
      <c r="P496" s="5" t="n">
        <v>169.4</v>
      </c>
      <c r="Q496" s="5" t="n">
        <v>1</v>
      </c>
      <c r="R496" s="5" t="n">
        <v>0</v>
      </c>
      <c r="S496" s="5" t="n">
        <v>0</v>
      </c>
      <c r="T496" s="5" t="n">
        <v>0</v>
      </c>
      <c r="U496" s="5" t="n">
        <v>1</v>
      </c>
      <c r="V496" s="5" t="n">
        <v>0</v>
      </c>
      <c r="W496" s="5" t="n">
        <v>0</v>
      </c>
      <c r="X496" s="5" t="n">
        <v>1</v>
      </c>
      <c r="Y496" s="5" t="n"/>
      <c r="Z496" s="5" t="inlineStr"/>
      <c r="AA496" s="5" t="n">
        <v>2995.2</v>
      </c>
      <c r="AB496" s="5" t="n">
        <v>3561.3</v>
      </c>
      <c r="AC496" s="5" t="n">
        <v>3121.3</v>
      </c>
      <c r="AD496" s="5" t="n">
        <v>3590.5</v>
      </c>
      <c r="AE496" s="5" t="inlineStr"/>
      <c r="AF496" s="5">
        <f>IF(AE496="","",IF(OR(AE496=F496,AND(AE496="crane_footing",F496="isolated_footing")),"yes","no"))</f>
        <v/>
      </c>
    </row>
    <row r="497">
      <c r="A497" s="5" t="n">
        <v>496</v>
      </c>
      <c r="B497" s="5" t="inlineStr">
        <is>
          <t>125</t>
        </is>
      </c>
      <c r="C497" s="5" t="inlineStr">
        <is>
          <t>region between joints</t>
        </is>
      </c>
      <c r="D497" s="5" t="inlineStr">
        <is>
          <t>solid</t>
        </is>
      </c>
      <c r="E497" s="5" t="n">
        <v>30</v>
      </c>
      <c r="F497" s="5" t="inlineStr">
        <is>
          <t>retaining_wall</t>
        </is>
      </c>
      <c r="G497" s="5" t="inlineStr">
        <is>
          <t>Retaining wall ~VP20 4.57 × 0.20 m</t>
        </is>
      </c>
      <c r="H497" s="5" t="inlineStr">
        <is>
          <t>rule: unlabelled wall along the building edge or on a strip footing</t>
        </is>
      </c>
      <c r="I497" s="5" t="inlineStr">
        <is>
          <t>VP20</t>
        </is>
      </c>
      <c r="J497" s="5" t="inlineStr">
        <is>
          <t>inferred: the thickness of this retaining-wall type</t>
        </is>
      </c>
      <c r="K497" s="5" t="inlineStr"/>
      <c r="L497" s="5" t="n">
        <v>457</v>
      </c>
      <c r="M497" s="5" t="n">
        <v>20</v>
      </c>
      <c r="N497" s="10">
        <f>IF(AND(ISNUMBER(L497),M497&gt;0),L497/M497,"")</f>
        <v/>
      </c>
      <c r="O497" s="5" t="n">
        <v>0.911</v>
      </c>
      <c r="P497" s="5" t="n">
        <v>79.3</v>
      </c>
      <c r="Q497" s="5" t="n">
        <v>4</v>
      </c>
      <c r="R497" s="5" t="n">
        <v>0</v>
      </c>
      <c r="S497" s="5" t="n">
        <v>0</v>
      </c>
      <c r="T497" s="5" t="n">
        <v>1</v>
      </c>
      <c r="U497" s="5" t="n">
        <v>1</v>
      </c>
      <c r="V497" s="5" t="n">
        <v>3</v>
      </c>
      <c r="W497" s="5" t="n">
        <v>2</v>
      </c>
      <c r="X497" s="5" t="n">
        <v>0</v>
      </c>
      <c r="Y497" s="5" t="n"/>
      <c r="Z497" s="5" t="inlineStr"/>
      <c r="AA497" s="5" t="n">
        <v>3269</v>
      </c>
      <c r="AB497" s="5" t="n">
        <v>3640.1</v>
      </c>
      <c r="AC497" s="5" t="n">
        <v>3299.8</v>
      </c>
      <c r="AD497" s="5" t="n">
        <v>3773.8</v>
      </c>
      <c r="AE497" s="5" t="inlineStr"/>
      <c r="AF497" s="5">
        <f>IF(AE497="","",IF(OR(AE497=F497,AND(AE497="crane_footing",F497="isolated_footing")),"yes","no"))</f>
        <v/>
      </c>
    </row>
    <row r="498">
      <c r="A498" s="5" t="n">
        <v>497</v>
      </c>
      <c r="B498" s="5" t="inlineStr">
        <is>
          <t>125</t>
        </is>
      </c>
      <c r="C498" s="5" t="inlineStr">
        <is>
          <t>region between joints</t>
        </is>
      </c>
      <c r="D498" s="5" t="inlineStr">
        <is>
          <t>solid</t>
        </is>
      </c>
      <c r="E498" s="5" t="n">
        <v>27</v>
      </c>
      <c r="F498" s="5" t="inlineStr">
        <is>
          <t>retaining_wall</t>
        </is>
      </c>
      <c r="G498" s="5" t="inlineStr">
        <is>
          <t>Retaining wall ~VP20 5.32 × 0.20 m</t>
        </is>
      </c>
      <c r="H498" s="5" t="inlineStr">
        <is>
          <t>rule: unlabelled wall along the building edge or on a strip footing</t>
        </is>
      </c>
      <c r="I498" s="5" t="inlineStr">
        <is>
          <t>VP20</t>
        </is>
      </c>
      <c r="J498" s="5" t="inlineStr">
        <is>
          <t>inferred: the thickness of this retaining-wall type</t>
        </is>
      </c>
      <c r="K498" s="5" t="inlineStr"/>
      <c r="L498" s="5" t="n">
        <v>532</v>
      </c>
      <c r="M498" s="5" t="n">
        <v>20</v>
      </c>
      <c r="N498" s="10">
        <f>IF(AND(ISNUMBER(L498),M498&gt;0),L498/M498,"")</f>
        <v/>
      </c>
      <c r="O498" s="5" t="n">
        <v>1.068</v>
      </c>
      <c r="P498" s="5" t="n">
        <v>79.40000000000001</v>
      </c>
      <c r="Q498" s="5" t="n">
        <v>1</v>
      </c>
      <c r="R498" s="5" t="n">
        <v>0</v>
      </c>
      <c r="S498" s="5" t="n">
        <v>0</v>
      </c>
      <c r="T498" s="5" t="n">
        <v>1</v>
      </c>
      <c r="U498" s="5" t="n">
        <v>1</v>
      </c>
      <c r="V498" s="5" t="n">
        <v>0</v>
      </c>
      <c r="W498" s="5" t="n">
        <v>1</v>
      </c>
      <c r="X498" s="5" t="n">
        <v>0</v>
      </c>
      <c r="Y498" s="5" t="n"/>
      <c r="Z498" s="5" t="inlineStr"/>
      <c r="AA498" s="5" t="n">
        <v>3178.3</v>
      </c>
      <c r="AB498" s="5" t="n">
        <v>3634.4</v>
      </c>
      <c r="AC498" s="5" t="n">
        <v>3213</v>
      </c>
      <c r="AD498" s="5" t="n">
        <v>3789.9</v>
      </c>
      <c r="AE498" s="5" t="inlineStr"/>
      <c r="AF498" s="5">
        <f>IF(AE498="","",IF(OR(AE498=F498,AND(AE498="crane_footing",F498="isolated_footing")),"yes","no"))</f>
        <v/>
      </c>
    </row>
    <row r="499">
      <c r="A499" s="5" t="n">
        <v>498</v>
      </c>
      <c r="B499" s="5" t="inlineStr">
        <is>
          <t>125</t>
        </is>
      </c>
      <c r="C499" s="5" t="inlineStr">
        <is>
          <t>region between joints</t>
        </is>
      </c>
      <c r="D499" s="5" t="inlineStr">
        <is>
          <t>solid</t>
        </is>
      </c>
      <c r="E499" s="5" t="n">
        <v>27</v>
      </c>
      <c r="F499" s="5" t="inlineStr">
        <is>
          <t>retaining_wall</t>
        </is>
      </c>
      <c r="G499" s="5" t="inlineStr">
        <is>
          <t>Retaining wall ~VP20 2.73 × 0.20 m</t>
        </is>
      </c>
      <c r="H499" s="5" t="inlineStr">
        <is>
          <t>rule: unlabelled wall along the building edge or on a strip footing</t>
        </is>
      </c>
      <c r="I499" s="5" t="inlineStr">
        <is>
          <t>VP20</t>
        </is>
      </c>
      <c r="J499" s="5" t="inlineStr">
        <is>
          <t>inferred: the thickness of this retaining-wall type</t>
        </is>
      </c>
      <c r="K499" s="5" t="inlineStr"/>
      <c r="L499" s="5" t="n">
        <v>273</v>
      </c>
      <c r="M499" s="5" t="n">
        <v>20</v>
      </c>
      <c r="N499" s="10">
        <f>IF(AND(ISNUMBER(L499),M499&gt;0),L499/M499,"")</f>
        <v/>
      </c>
      <c r="O499" s="5" t="n">
        <v>0.551</v>
      </c>
      <c r="P499" s="5" t="n">
        <v>169.5</v>
      </c>
      <c r="Q499" s="5" t="n">
        <v>1</v>
      </c>
      <c r="R499" s="5" t="n">
        <v>0</v>
      </c>
      <c r="S499" s="5" t="n">
        <v>0</v>
      </c>
      <c r="T499" s="5" t="n">
        <v>1</v>
      </c>
      <c r="U499" s="5" t="n">
        <v>1</v>
      </c>
      <c r="V499" s="5" t="n">
        <v>0</v>
      </c>
      <c r="W499" s="5" t="n">
        <v>2</v>
      </c>
      <c r="X499" s="5" t="n">
        <v>0</v>
      </c>
      <c r="Y499" s="5" t="n"/>
      <c r="Z499" s="5" t="inlineStr"/>
      <c r="AA499" s="5" t="n">
        <v>3213</v>
      </c>
      <c r="AB499" s="5" t="n">
        <v>3774.1</v>
      </c>
      <c r="AC499" s="5" t="n">
        <v>3293.3</v>
      </c>
      <c r="AD499" s="5" t="n">
        <v>3794.7</v>
      </c>
      <c r="AE499" s="5" t="inlineStr"/>
      <c r="AF499" s="5">
        <f>IF(AE499="","",IF(OR(AE499=F499,AND(AE499="crane_footing",F499="isolated_footing")),"yes","no"))</f>
        <v/>
      </c>
    </row>
    <row r="500">
      <c r="A500" s="5" t="n">
        <v>499</v>
      </c>
      <c r="B500" s="5" t="inlineStr">
        <is>
          <t>125</t>
        </is>
      </c>
      <c r="C500" s="5" t="inlineStr">
        <is>
          <t>nearest labels in its region</t>
        </is>
      </c>
      <c r="D500" s="5" t="inlineStr">
        <is>
          <t>solid</t>
        </is>
      </c>
      <c r="E500" s="5" t="n">
        <v>32</v>
      </c>
      <c r="F500" s="5" t="inlineStr">
        <is>
          <t>retaining_wall</t>
        </is>
      </c>
      <c r="G500" s="5" t="inlineStr">
        <is>
          <t>Retaining wall VP20 14.77 × 0.20 m</t>
        </is>
      </c>
      <c r="H500" s="5" t="inlineStr">
        <is>
          <t>label vote</t>
        </is>
      </c>
      <c r="I500" s="5" t="inlineStr">
        <is>
          <t>VP20</t>
        </is>
      </c>
      <c r="J500" s="5" t="inlineStr">
        <is>
          <t>printed label</t>
        </is>
      </c>
      <c r="K500" s="5" t="inlineStr">
        <is>
          <t>VP20/SF1- 80x25</t>
        </is>
      </c>
      <c r="L500" s="5" t="n">
        <v>1477</v>
      </c>
      <c r="M500" s="5" t="n">
        <v>20</v>
      </c>
      <c r="N500" s="10">
        <f>IF(AND(ISNUMBER(L500),M500&gt;0),L500/M500,"")</f>
        <v/>
      </c>
      <c r="O500" s="5" t="n">
        <v>3.028</v>
      </c>
      <c r="P500" s="5" t="n">
        <v>169.4</v>
      </c>
      <c r="Q500" s="5" t="n">
        <v>1</v>
      </c>
      <c r="R500" s="5" t="n">
        <v>0</v>
      </c>
      <c r="S500" s="5" t="n">
        <v>1</v>
      </c>
      <c r="T500" s="5" t="n">
        <v>0</v>
      </c>
      <c r="U500" s="5" t="n">
        <v>1</v>
      </c>
      <c r="V500" s="5" t="n">
        <v>0</v>
      </c>
      <c r="W500" s="5" t="n">
        <v>8</v>
      </c>
      <c r="X500" s="5" t="n">
        <v>4</v>
      </c>
      <c r="Y500" s="5" t="n"/>
      <c r="Z500" s="5" t="inlineStr"/>
      <c r="AA500" s="5" t="n">
        <v>3072.4</v>
      </c>
      <c r="AB500" s="5" t="n">
        <v>2858.3</v>
      </c>
      <c r="AC500" s="5" t="n">
        <v>3502.2</v>
      </c>
      <c r="AD500" s="5" t="n">
        <v>2944.8</v>
      </c>
      <c r="AE500" s="5" t="inlineStr"/>
      <c r="AF500" s="5">
        <f>IF(AE500="","",IF(OR(AE500=F500,AND(AE500="crane_footing",F500="isolated_footing")),"yes","no"))</f>
        <v/>
      </c>
    </row>
    <row r="501">
      <c r="A501" s="5" t="n">
        <v>500</v>
      </c>
      <c r="B501" s="5" t="inlineStr">
        <is>
          <t>125</t>
        </is>
      </c>
      <c r="C501" s="5" t="inlineStr">
        <is>
          <t>region between joints</t>
        </is>
      </c>
      <c r="D501" s="5" t="inlineStr">
        <is>
          <t>solid</t>
        </is>
      </c>
      <c r="E501" s="5" t="n">
        <v>29</v>
      </c>
      <c r="F501" s="5" t="inlineStr">
        <is>
          <t>retaining_wall</t>
        </is>
      </c>
      <c r="G501" s="5" t="inlineStr">
        <is>
          <t>Retaining wall ~VP25 5.00 × 0.25 m</t>
        </is>
      </c>
      <c r="H501" s="5" t="inlineStr">
        <is>
          <t>rule: unlabelled wall along the building edge or on a strip footing</t>
        </is>
      </c>
      <c r="I501" s="5" t="inlineStr">
        <is>
          <t>VP25</t>
        </is>
      </c>
      <c r="J501" s="5" t="inlineStr">
        <is>
          <t>inferred: the thickness of this retaining-wall type</t>
        </is>
      </c>
      <c r="K501" s="5" t="inlineStr"/>
      <c r="L501" s="5" t="n">
        <v>500</v>
      </c>
      <c r="M501" s="5" t="n">
        <v>25</v>
      </c>
      <c r="N501" s="10">
        <f>IF(AND(ISNUMBER(L501),M501&gt;0),L501/M501,"")</f>
        <v/>
      </c>
      <c r="O501" s="5" t="n">
        <v>1.254</v>
      </c>
      <c r="P501" s="5" t="n">
        <v>116.6</v>
      </c>
      <c r="Q501" s="5" t="n">
        <v>1</v>
      </c>
      <c r="R501" s="5" t="n">
        <v>0</v>
      </c>
      <c r="S501" s="5" t="n">
        <v>0</v>
      </c>
      <c r="T501" s="5" t="n">
        <v>1</v>
      </c>
      <c r="U501" s="5" t="n">
        <v>1</v>
      </c>
      <c r="V501" s="5" t="n">
        <v>0</v>
      </c>
      <c r="W501" s="5" t="n">
        <v>5</v>
      </c>
      <c r="X501" s="5" t="n">
        <v>0</v>
      </c>
      <c r="Y501" s="5" t="n"/>
      <c r="Z501" s="5" t="inlineStr"/>
      <c r="AA501" s="5" t="n">
        <v>2629.6</v>
      </c>
      <c r="AB501" s="5" t="n">
        <v>3553.2</v>
      </c>
      <c r="AC501" s="5" t="n">
        <v>2702.4</v>
      </c>
      <c r="AD501" s="5" t="n">
        <v>3688.4</v>
      </c>
      <c r="AE501" s="5" t="inlineStr"/>
      <c r="AF501" s="5">
        <f>IF(AE501="","",IF(OR(AE501=F501,AND(AE501="crane_footing",F501="isolated_footing")),"yes","no"))</f>
        <v/>
      </c>
    </row>
    <row r="502">
      <c r="A502" s="5" t="n">
        <v>501</v>
      </c>
      <c r="B502" s="5" t="inlineStr">
        <is>
          <t>125</t>
        </is>
      </c>
      <c r="C502" s="5" t="inlineStr">
        <is>
          <t>region between joints</t>
        </is>
      </c>
      <c r="D502" s="5" t="inlineStr">
        <is>
          <t>solid</t>
        </is>
      </c>
      <c r="E502" s="5" t="n">
        <v>29</v>
      </c>
      <c r="F502" s="5" t="inlineStr">
        <is>
          <t>retaining_wall</t>
        </is>
      </c>
      <c r="G502" s="5" t="inlineStr">
        <is>
          <t>Retaining wall ~VP25 5.00 × 0.25 m</t>
        </is>
      </c>
      <c r="H502" s="5" t="inlineStr">
        <is>
          <t>rule: unlabelled wall along the building edge or on a strip footing</t>
        </is>
      </c>
      <c r="I502" s="5" t="inlineStr">
        <is>
          <t>VP25</t>
        </is>
      </c>
      <c r="J502" s="5" t="inlineStr">
        <is>
          <t>inferred: the thickness of this retaining-wall type</t>
        </is>
      </c>
      <c r="K502" s="5" t="inlineStr"/>
      <c r="L502" s="5" t="n">
        <v>500</v>
      </c>
      <c r="M502" s="5" t="n">
        <v>25</v>
      </c>
      <c r="N502" s="10">
        <f>IF(AND(ISNUMBER(L502),M502&gt;0),L502/M502,"")</f>
        <v/>
      </c>
      <c r="O502" s="5" t="n">
        <v>1.245</v>
      </c>
      <c r="P502" s="5" t="n">
        <v>116.6</v>
      </c>
      <c r="Q502" s="5" t="n">
        <v>3</v>
      </c>
      <c r="R502" s="5" t="n">
        <v>0</v>
      </c>
      <c r="S502" s="5" t="n">
        <v>0</v>
      </c>
      <c r="T502" s="5" t="n">
        <v>1</v>
      </c>
      <c r="U502" s="5" t="n">
        <v>1</v>
      </c>
      <c r="V502" s="5" t="n">
        <v>0</v>
      </c>
      <c r="W502" s="5" t="n">
        <v>3</v>
      </c>
      <c r="X502" s="5" t="n">
        <v>0</v>
      </c>
      <c r="Y502" s="5" t="n"/>
      <c r="Z502" s="5" t="inlineStr"/>
      <c r="AA502" s="5" t="n">
        <v>2707.4</v>
      </c>
      <c r="AB502" s="5" t="n">
        <v>3592.2</v>
      </c>
      <c r="AC502" s="5" t="n">
        <v>2780.2</v>
      </c>
      <c r="AD502" s="5" t="n">
        <v>3727.5</v>
      </c>
      <c r="AE502" s="5" t="inlineStr"/>
      <c r="AF502" s="5">
        <f>IF(AE502="","",IF(OR(AE502=F502,AND(AE502="crane_footing",F502="isolated_footing")),"yes","no"))</f>
        <v/>
      </c>
    </row>
    <row r="503">
      <c r="A503" s="5" t="n">
        <v>502</v>
      </c>
      <c r="B503" s="5" t="inlineStr">
        <is>
          <t>125</t>
        </is>
      </c>
      <c r="C503" s="5" t="inlineStr">
        <is>
          <t>region between joints</t>
        </is>
      </c>
      <c r="D503" s="5" t="inlineStr">
        <is>
          <t>solid</t>
        </is>
      </c>
      <c r="E503" s="5" t="n">
        <v>29</v>
      </c>
      <c r="F503" s="5" t="inlineStr">
        <is>
          <t>retaining_wall</t>
        </is>
      </c>
      <c r="G503" s="5" t="inlineStr">
        <is>
          <t>Retaining wall ~VP25 2.70 × 0.25 m</t>
        </is>
      </c>
      <c r="H503" s="5" t="inlineStr">
        <is>
          <t>rule: unlabelled wall along the building edge or on a strip footing</t>
        </is>
      </c>
      <c r="I503" s="5" t="inlineStr">
        <is>
          <t>VP25</t>
        </is>
      </c>
      <c r="J503" s="5" t="inlineStr">
        <is>
          <t>inferred: the thickness of this retaining-wall type</t>
        </is>
      </c>
      <c r="K503" s="5" t="inlineStr"/>
      <c r="L503" s="5" t="n">
        <v>270</v>
      </c>
      <c r="M503" s="5" t="n">
        <v>25</v>
      </c>
      <c r="N503" s="10">
        <f>IF(AND(ISNUMBER(L503),M503&gt;0),L503/M503,"")</f>
        <v/>
      </c>
      <c r="O503" s="5" t="n">
        <v>0.672</v>
      </c>
      <c r="P503" s="5" t="n">
        <v>26.6</v>
      </c>
      <c r="Q503" s="5" t="n">
        <v>2</v>
      </c>
      <c r="R503" s="5" t="n">
        <v>0</v>
      </c>
      <c r="S503" s="5" t="n">
        <v>0</v>
      </c>
      <c r="T503" s="5" t="n">
        <v>1</v>
      </c>
      <c r="U503" s="5" t="n">
        <v>1</v>
      </c>
      <c r="V503" s="5" t="n">
        <v>0</v>
      </c>
      <c r="W503" s="5" t="n">
        <v>2</v>
      </c>
      <c r="X503" s="5" t="n">
        <v>0</v>
      </c>
      <c r="Y503" s="5" t="n"/>
      <c r="Z503" s="5" t="inlineStr"/>
      <c r="AA503" s="5" t="n">
        <v>2636.2</v>
      </c>
      <c r="AB503" s="5" t="n">
        <v>3681.9</v>
      </c>
      <c r="AC503" s="5" t="n">
        <v>2710.7</v>
      </c>
      <c r="AD503" s="5" t="n">
        <v>3724.2</v>
      </c>
      <c r="AE503" s="5" t="inlineStr"/>
      <c r="AF503" s="5">
        <f>IF(AE503="","",IF(OR(AE503=F503,AND(AE503="crane_footing",F503="isolated_footing")),"yes","no"))</f>
        <v/>
      </c>
    </row>
    <row r="504">
      <c r="A504" s="5" t="n">
        <v>503</v>
      </c>
      <c r="B504" s="5" t="inlineStr">
        <is>
          <t>125</t>
        </is>
      </c>
      <c r="C504" s="5" t="inlineStr">
        <is>
          <t>region between joints</t>
        </is>
      </c>
      <c r="D504" s="5" t="inlineStr">
        <is>
          <t>solid</t>
        </is>
      </c>
      <c r="E504" s="5" t="n">
        <v>27</v>
      </c>
      <c r="F504" s="5" t="inlineStr">
        <is>
          <t>retaining_wall</t>
        </is>
      </c>
      <c r="G504" s="5" t="inlineStr">
        <is>
          <t>Retaining wall ~VP25 2.35 × 0.25 m</t>
        </is>
      </c>
      <c r="H504" s="5" t="inlineStr">
        <is>
          <t>rule: unlabelled wall along the building edge or on a strip footing</t>
        </is>
      </c>
      <c r="I504" s="5" t="inlineStr">
        <is>
          <t>VP25</t>
        </is>
      </c>
      <c r="J504" s="5" t="inlineStr">
        <is>
          <t>inferred: the thickness of this retaining-wall type</t>
        </is>
      </c>
      <c r="K504" s="5" t="inlineStr"/>
      <c r="L504" s="5" t="n">
        <v>235</v>
      </c>
      <c r="M504" s="5" t="n">
        <v>25</v>
      </c>
      <c r="N504" s="10">
        <f>IF(AND(ISNUMBER(L504),M504&gt;0),L504/M504,"")</f>
        <v/>
      </c>
      <c r="O504" s="5" t="n">
        <v>0.589</v>
      </c>
      <c r="P504" s="5" t="n">
        <v>79.3</v>
      </c>
      <c r="Q504" s="5" t="n">
        <v>2</v>
      </c>
      <c r="R504" s="5" t="n">
        <v>0</v>
      </c>
      <c r="S504" s="5" t="n">
        <v>0</v>
      </c>
      <c r="T504" s="5" t="n">
        <v>1</v>
      </c>
      <c r="U504" s="5" t="n">
        <v>1</v>
      </c>
      <c r="V504" s="5" t="n">
        <v>0</v>
      </c>
      <c r="W504" s="5" t="n">
        <v>2</v>
      </c>
      <c r="X504" s="5" t="n">
        <v>0</v>
      </c>
      <c r="Y504" s="5" t="n"/>
      <c r="Z504" s="5" t="inlineStr"/>
      <c r="AA504" s="5" t="n">
        <v>3281.3</v>
      </c>
      <c r="AB504" s="5" t="n">
        <v>3711</v>
      </c>
      <c r="AC504" s="5" t="n">
        <v>3301.4</v>
      </c>
      <c r="AD504" s="5" t="n">
        <v>3780.7</v>
      </c>
      <c r="AE504" s="5" t="inlineStr"/>
      <c r="AF504" s="5">
        <f>IF(AE504="","",IF(OR(AE504=F504,AND(AE504="crane_footing",F504="isolated_footing")),"yes","no"))</f>
        <v/>
      </c>
    </row>
    <row r="505">
      <c r="A505" s="5" t="n">
        <v>504</v>
      </c>
      <c r="B505" s="5" t="inlineStr">
        <is>
          <t>125</t>
        </is>
      </c>
      <c r="C505" s="5" t="inlineStr">
        <is>
          <t>region between joints</t>
        </is>
      </c>
      <c r="D505" s="5" t="inlineStr">
        <is>
          <t>solid</t>
        </is>
      </c>
      <c r="E505" s="5" t="n">
        <v>29</v>
      </c>
      <c r="F505" s="5" t="inlineStr">
        <is>
          <t>retaining_wall</t>
        </is>
      </c>
      <c r="G505" s="5" t="inlineStr">
        <is>
          <t>Retaining wall ~VP25 1.11 × 0.25 m</t>
        </is>
      </c>
      <c r="H505" s="5" t="inlineStr">
        <is>
          <t>rule: unlabelled wall along the building edge or on a strip footing</t>
        </is>
      </c>
      <c r="I505" s="5" t="inlineStr">
        <is>
          <t>VP25</t>
        </is>
      </c>
      <c r="J505" s="5" t="inlineStr">
        <is>
          <t>inferred: the thickness of this retaining-wall type</t>
        </is>
      </c>
      <c r="K505" s="5" t="inlineStr"/>
      <c r="L505" s="5" t="n">
        <v>111</v>
      </c>
      <c r="M505" s="5" t="n">
        <v>25</v>
      </c>
      <c r="N505" s="10">
        <f>IF(AND(ISNUMBER(L505),M505&gt;0),L505/M505,"")</f>
        <v/>
      </c>
      <c r="O505" s="5" t="n">
        <v>0.277</v>
      </c>
      <c r="P505" s="5" t="n">
        <v>79.40000000000001</v>
      </c>
      <c r="Q505" s="5" t="n">
        <v>3</v>
      </c>
      <c r="R505" s="5" t="n">
        <v>0</v>
      </c>
      <c r="S505" s="5" t="n">
        <v>0</v>
      </c>
      <c r="T505" s="5" t="n">
        <v>1</v>
      </c>
      <c r="U505" s="5" t="n">
        <v>1</v>
      </c>
      <c r="V505" s="5" t="n">
        <v>0</v>
      </c>
      <c r="W505" s="5" t="n">
        <v>0</v>
      </c>
      <c r="X505" s="5" t="n">
        <v>0</v>
      </c>
      <c r="Y505" s="5" t="n"/>
      <c r="Z505" s="5" t="inlineStr"/>
      <c r="AA505" s="5" t="n">
        <v>3275.2</v>
      </c>
      <c r="AB505" s="5" t="n">
        <v>3679</v>
      </c>
      <c r="AC505" s="5" t="n">
        <v>3288.5</v>
      </c>
      <c r="AD505" s="5" t="n">
        <v>3712.4</v>
      </c>
      <c r="AE505" s="5" t="inlineStr"/>
      <c r="AF505" s="5">
        <f>IF(AE505="","",IF(OR(AE505=F505,AND(AE505="crane_footing",F505="isolated_footing")),"yes","no"))</f>
        <v/>
      </c>
    </row>
    <row r="506">
      <c r="A506" s="5" t="n">
        <v>505</v>
      </c>
      <c r="B506" s="5" t="inlineStr">
        <is>
          <t>125</t>
        </is>
      </c>
      <c r="C506" s="5" t="inlineStr">
        <is>
          <t>region between joints</t>
        </is>
      </c>
      <c r="D506" s="5" t="inlineStr">
        <is>
          <t>outline</t>
        </is>
      </c>
      <c r="E506" s="5" t="n">
        <v>13</v>
      </c>
      <c r="F506" s="5" t="inlineStr">
        <is>
          <t>isolated_footing</t>
        </is>
      </c>
      <c r="G506" s="5" t="inlineStr">
        <is>
          <t>Isolated footing S10 4.50 × 3.00 m</t>
        </is>
      </c>
      <c r="H506" s="5" t="inlineStr">
        <is>
          <t>label vote</t>
        </is>
      </c>
      <c r="I506" s="5" t="inlineStr">
        <is>
          <t>S10</t>
        </is>
      </c>
      <c r="J506" s="5" t="inlineStr">
        <is>
          <t>printed label</t>
        </is>
      </c>
      <c r="K506" s="5" t="inlineStr">
        <is>
          <t>S10-</t>
        </is>
      </c>
      <c r="L506" s="5" t="n">
        <v>450</v>
      </c>
      <c r="M506" s="5" t="n">
        <v>300</v>
      </c>
      <c r="N506" s="10">
        <f>IF(AND(ISNUMBER(L506),M506&gt;0),L506/M506,"")</f>
        <v/>
      </c>
      <c r="O506" s="5" t="n">
        <v>13.5</v>
      </c>
      <c r="P506" s="5" t="n">
        <v>97.7</v>
      </c>
      <c r="Q506" s="5" t="n">
        <v>1</v>
      </c>
      <c r="R506" s="5" t="n">
        <v>0</v>
      </c>
      <c r="S506" s="5" t="n">
        <v>0</v>
      </c>
      <c r="T506" s="5" t="n">
        <v>0</v>
      </c>
      <c r="U506" s="5" t="n">
        <v>0</v>
      </c>
      <c r="V506" s="5" t="n">
        <v>1</v>
      </c>
      <c r="W506" s="5" t="n">
        <v>13</v>
      </c>
      <c r="X506" s="5" t="n">
        <v>3</v>
      </c>
      <c r="Y506" s="5" t="n"/>
      <c r="Z506" s="5" t="inlineStr"/>
      <c r="AA506" s="5" t="n">
        <v>2965.9</v>
      </c>
      <c r="AB506" s="5" t="n">
        <v>3278.7</v>
      </c>
      <c r="AC506" s="5" t="n">
        <v>3071.4</v>
      </c>
      <c r="AD506" s="5" t="n">
        <v>3422.2</v>
      </c>
      <c r="AE506" s="5" t="inlineStr">
        <is>
          <t>isolated_footing</t>
        </is>
      </c>
      <c r="AF506" s="5">
        <f>IF(AE506="","",IF(OR(AE506=F506,AND(AE506="crane_footing",F506="isolated_footing")),"yes","no"))</f>
        <v/>
      </c>
    </row>
    <row r="507">
      <c r="A507" s="5" t="n">
        <v>506</v>
      </c>
      <c r="B507" s="5" t="inlineStr">
        <is>
          <t>125</t>
        </is>
      </c>
      <c r="C507" s="5" t="inlineStr">
        <is>
          <t>own label</t>
        </is>
      </c>
      <c r="D507" s="5" t="inlineStr">
        <is>
          <t>outline</t>
        </is>
      </c>
      <c r="E507" s="5" t="n">
        <v>13</v>
      </c>
      <c r="F507" s="5" t="inlineStr">
        <is>
          <t>isolated_footing</t>
        </is>
      </c>
      <c r="G507" s="5" t="inlineStr">
        <is>
          <t>Isolated footing S10 4.50 × 3.00 m</t>
        </is>
      </c>
      <c r="H507" s="5" t="inlineStr">
        <is>
          <t>label vote</t>
        </is>
      </c>
      <c r="I507" s="5" t="inlineStr">
        <is>
          <t>S10</t>
        </is>
      </c>
      <c r="J507" s="5" t="inlineStr">
        <is>
          <t>printed label</t>
        </is>
      </c>
      <c r="K507" s="5" t="inlineStr">
        <is>
          <t>S10-125125</t>
        </is>
      </c>
      <c r="L507" s="5" t="n">
        <v>450</v>
      </c>
      <c r="M507" s="5" t="n">
        <v>300</v>
      </c>
      <c r="N507" s="10">
        <f>IF(AND(ISNUMBER(L507),M507&gt;0),L507/M507,"")</f>
        <v/>
      </c>
      <c r="O507" s="5" t="n">
        <v>13.499</v>
      </c>
      <c r="P507" s="5" t="n">
        <v>79.59999999999999</v>
      </c>
      <c r="Q507" s="5" t="n">
        <v>1</v>
      </c>
      <c r="R507" s="5" t="n">
        <v>0</v>
      </c>
      <c r="S507" s="5" t="n">
        <v>0</v>
      </c>
      <c r="T507" s="5" t="n">
        <v>0</v>
      </c>
      <c r="U507" s="5" t="n">
        <v>0</v>
      </c>
      <c r="V507" s="5" t="n">
        <v>1</v>
      </c>
      <c r="W507" s="5" t="n">
        <v>20</v>
      </c>
      <c r="X507" s="5" t="n">
        <v>2</v>
      </c>
      <c r="Y507" s="5" t="n"/>
      <c r="Z507" s="5" t="inlineStr"/>
      <c r="AA507" s="5" t="n">
        <v>3152.8</v>
      </c>
      <c r="AB507" s="5" t="n">
        <v>3242.6</v>
      </c>
      <c r="AC507" s="5" t="n">
        <v>3263.9</v>
      </c>
      <c r="AD507" s="5" t="n">
        <v>3389.2</v>
      </c>
      <c r="AE507" s="5" t="inlineStr">
        <is>
          <t>isolated_footing</t>
        </is>
      </c>
      <c r="AF507" s="5">
        <f>IF(AE507="","",IF(OR(AE507=F507,AND(AE507="crane_footing",F507="isolated_footing")),"yes","no"))</f>
        <v/>
      </c>
    </row>
    <row r="508">
      <c r="A508" s="5" t="n">
        <v>507</v>
      </c>
      <c r="B508" s="5" t="inlineStr">
        <is>
          <t>125</t>
        </is>
      </c>
      <c r="C508" s="5" t="inlineStr">
        <is>
          <t>own label</t>
        </is>
      </c>
      <c r="D508" s="5" t="inlineStr">
        <is>
          <t>outline</t>
        </is>
      </c>
      <c r="E508" s="5" t="n">
        <v>13</v>
      </c>
      <c r="F508" s="5" t="inlineStr">
        <is>
          <t>isolated_footing</t>
        </is>
      </c>
      <c r="G508" s="5" t="inlineStr">
        <is>
          <t>Isolated footing S11 5.00 × 4.00 m</t>
        </is>
      </c>
      <c r="H508" s="5" t="inlineStr">
        <is>
          <t>label vote</t>
        </is>
      </c>
      <c r="I508" s="5" t="inlineStr">
        <is>
          <t>S11</t>
        </is>
      </c>
      <c r="J508" s="5" t="inlineStr">
        <is>
          <t>printed label</t>
        </is>
      </c>
      <c r="K508" s="5" t="inlineStr">
        <is>
          <t>S11-125125</t>
        </is>
      </c>
      <c r="L508" s="5" t="n">
        <v>500</v>
      </c>
      <c r="M508" s="5" t="n">
        <v>400</v>
      </c>
      <c r="N508" s="10">
        <f>IF(AND(ISNUMBER(L508),M508&gt;0),L508/M508,"")</f>
        <v/>
      </c>
      <c r="O508" s="5" t="n">
        <v>19.998</v>
      </c>
      <c r="P508" s="5" t="n">
        <v>79.3</v>
      </c>
      <c r="Q508" s="5" t="n">
        <v>1</v>
      </c>
      <c r="R508" s="5" t="n">
        <v>0</v>
      </c>
      <c r="S508" s="5" t="n">
        <v>0</v>
      </c>
      <c r="T508" s="5" t="n">
        <v>0</v>
      </c>
      <c r="U508" s="5" t="n">
        <v>0</v>
      </c>
      <c r="V508" s="5" t="n">
        <v>1</v>
      </c>
      <c r="W508" s="5" t="n">
        <v>27</v>
      </c>
      <c r="X508" s="5" t="n">
        <v>2</v>
      </c>
      <c r="Y508" s="5" t="n"/>
      <c r="Z508" s="5" t="inlineStr"/>
      <c r="AA508" s="5" t="n">
        <v>3318.7</v>
      </c>
      <c r="AB508" s="5" t="n">
        <v>3205.7</v>
      </c>
      <c r="AC508" s="5" t="n">
        <v>3462.1</v>
      </c>
      <c r="AD508" s="5" t="n">
        <v>3372.7</v>
      </c>
      <c r="AE508" s="5" t="inlineStr">
        <is>
          <t>isolated_footing</t>
        </is>
      </c>
      <c r="AF508" s="5">
        <f>IF(AE508="","",IF(OR(AE508=F508,AND(AE508="crane_footing",F508="isolated_footing")),"yes","no"))</f>
        <v/>
      </c>
    </row>
    <row r="509">
      <c r="A509" s="5" t="n">
        <v>508</v>
      </c>
      <c r="B509" s="5" t="inlineStr">
        <is>
          <t>125</t>
        </is>
      </c>
      <c r="C509" s="5" t="inlineStr">
        <is>
          <t>nearest labels in its region</t>
        </is>
      </c>
      <c r="D509" s="5" t="inlineStr">
        <is>
          <t>outline</t>
        </is>
      </c>
      <c r="E509" s="5" t="n">
        <v>12</v>
      </c>
      <c r="F509" s="5" t="inlineStr">
        <is>
          <t>isolated_footing</t>
        </is>
      </c>
      <c r="G509" s="5" t="inlineStr">
        <is>
          <t>Isolated footing S2 3.50 × 2.00 m</t>
        </is>
      </c>
      <c r="H509" s="5" t="inlineStr">
        <is>
          <t>label vote</t>
        </is>
      </c>
      <c r="I509" s="5" t="inlineStr">
        <is>
          <t>S2</t>
        </is>
      </c>
      <c r="J509" s="5" t="inlineStr">
        <is>
          <t>printed label</t>
        </is>
      </c>
      <c r="K509" s="5" t="inlineStr">
        <is>
          <t>S2-</t>
        </is>
      </c>
      <c r="L509" s="5" t="n">
        <v>350</v>
      </c>
      <c r="M509" s="5" t="n">
        <v>200</v>
      </c>
      <c r="N509" s="10">
        <f>IF(AND(ISNUMBER(L509),M509&gt;0),L509/M509,"")</f>
        <v/>
      </c>
      <c r="O509" s="5" t="n">
        <v>7.002</v>
      </c>
      <c r="P509" s="5" t="n">
        <v>98</v>
      </c>
      <c r="Q509" s="5" t="n">
        <v>1</v>
      </c>
      <c r="R509" s="5" t="n">
        <v>0</v>
      </c>
      <c r="S509" s="5" t="n">
        <v>0</v>
      </c>
      <c r="T509" s="5" t="n">
        <v>0</v>
      </c>
      <c r="U509" s="5" t="n">
        <v>1</v>
      </c>
      <c r="V509" s="5" t="n">
        <v>1</v>
      </c>
      <c r="W509" s="5" t="n">
        <v>21</v>
      </c>
      <c r="X509" s="5" t="n">
        <v>3</v>
      </c>
      <c r="Y509" s="5" t="n"/>
      <c r="Z509" s="5" t="inlineStr"/>
      <c r="AA509" s="5" t="n">
        <v>3019.9</v>
      </c>
      <c r="AB509" s="5" t="n">
        <v>3021.2</v>
      </c>
      <c r="AC509" s="5" t="n">
        <v>3092.8</v>
      </c>
      <c r="AD509" s="5" t="n">
        <v>3131.7</v>
      </c>
      <c r="AE509" s="5" t="inlineStr">
        <is>
          <t>isolated_footing</t>
        </is>
      </c>
      <c r="AF509" s="5">
        <f>IF(AE509="","",IF(OR(AE509=F509,AND(AE509="crane_footing",F509="isolated_footing")),"yes","no"))</f>
        <v/>
      </c>
    </row>
    <row r="510">
      <c r="A510" s="5" t="n">
        <v>509</v>
      </c>
      <c r="B510" s="5" t="inlineStr">
        <is>
          <t>125</t>
        </is>
      </c>
      <c r="C510" s="5" t="inlineStr">
        <is>
          <t>own label</t>
        </is>
      </c>
      <c r="D510" s="5" t="inlineStr">
        <is>
          <t>outline</t>
        </is>
      </c>
      <c r="E510" s="5" t="n">
        <v>12</v>
      </c>
      <c r="F510" s="5" t="inlineStr">
        <is>
          <t>isolated_footing</t>
        </is>
      </c>
      <c r="G510" s="5" t="inlineStr">
        <is>
          <t>Isolated footing S2 3.50 × 2.00 m</t>
        </is>
      </c>
      <c r="H510" s="5" t="inlineStr">
        <is>
          <t>label vote</t>
        </is>
      </c>
      <c r="I510" s="5" t="inlineStr">
        <is>
          <t>S2</t>
        </is>
      </c>
      <c r="J510" s="5" t="inlineStr">
        <is>
          <t>printed label</t>
        </is>
      </c>
      <c r="K510" s="5" t="inlineStr">
        <is>
          <t>S2-125125</t>
        </is>
      </c>
      <c r="L510" s="5" t="n">
        <v>350</v>
      </c>
      <c r="M510" s="5" t="n">
        <v>200</v>
      </c>
      <c r="N510" s="10">
        <f>IF(AND(ISNUMBER(L510),M510&gt;0),L510/M510,"")</f>
        <v/>
      </c>
      <c r="O510" s="5" t="n">
        <v>6.997</v>
      </c>
      <c r="P510" s="5" t="n">
        <v>79.3</v>
      </c>
      <c r="Q510" s="5" t="n">
        <v>1</v>
      </c>
      <c r="R510" s="5" t="n">
        <v>0</v>
      </c>
      <c r="S510" s="5" t="n">
        <v>0</v>
      </c>
      <c r="T510" s="5" t="n">
        <v>0</v>
      </c>
      <c r="U510" s="5" t="n">
        <v>1</v>
      </c>
      <c r="V510" s="5" t="n">
        <v>1</v>
      </c>
      <c r="W510" s="5" t="n">
        <v>19</v>
      </c>
      <c r="X510" s="5" t="n">
        <v>4</v>
      </c>
      <c r="Y510" s="5" t="n"/>
      <c r="Z510" s="5" t="inlineStr"/>
      <c r="AA510" s="5" t="n">
        <v>3259.6</v>
      </c>
      <c r="AB510" s="5" t="n">
        <v>2990.3</v>
      </c>
      <c r="AC510" s="5" t="n">
        <v>3336.8</v>
      </c>
      <c r="AD510" s="5" t="n">
        <v>3102.8</v>
      </c>
      <c r="AE510" s="5" t="inlineStr">
        <is>
          <t>isolated_footing</t>
        </is>
      </c>
      <c r="AF510" s="5">
        <f>IF(AE510="","",IF(OR(AE510=F510,AND(AE510="crane_footing",F510="isolated_footing")),"yes","no"))</f>
        <v/>
      </c>
    </row>
    <row r="511">
      <c r="A511" s="5" t="n">
        <v>510</v>
      </c>
      <c r="B511" s="5" t="inlineStr">
        <is>
          <t>125</t>
        </is>
      </c>
      <c r="C511" s="5" t="inlineStr">
        <is>
          <t>own label</t>
        </is>
      </c>
      <c r="D511" s="5" t="inlineStr">
        <is>
          <t>outline</t>
        </is>
      </c>
      <c r="E511" s="5" t="n">
        <v>13</v>
      </c>
      <c r="F511" s="5" t="inlineStr">
        <is>
          <t>isolated_footing</t>
        </is>
      </c>
      <c r="G511" s="5" t="inlineStr">
        <is>
          <t>Isolated footing S7 4.50 × 3.50 m</t>
        </is>
      </c>
      <c r="H511" s="5" t="inlineStr">
        <is>
          <t>label vote</t>
        </is>
      </c>
      <c r="I511" s="5" t="inlineStr">
        <is>
          <t>S7</t>
        </is>
      </c>
      <c r="J511" s="5" t="inlineStr">
        <is>
          <t>printed label</t>
        </is>
      </c>
      <c r="K511" s="5" t="inlineStr">
        <is>
          <t>S7-125125</t>
        </is>
      </c>
      <c r="L511" s="5" t="n">
        <v>450</v>
      </c>
      <c r="M511" s="5" t="n">
        <v>350</v>
      </c>
      <c r="N511" s="10">
        <f>IF(AND(ISNUMBER(L511),M511&gt;0),L511/M511,"")</f>
        <v/>
      </c>
      <c r="O511" s="5" t="n">
        <v>15.75</v>
      </c>
      <c r="P511" s="5" t="n">
        <v>169.4</v>
      </c>
      <c r="Q511" s="5" t="n">
        <v>2</v>
      </c>
      <c r="R511" s="5" t="n">
        <v>0</v>
      </c>
      <c r="S511" s="5" t="n">
        <v>0</v>
      </c>
      <c r="T511" s="5" t="n">
        <v>0</v>
      </c>
      <c r="U511" s="5" t="n">
        <v>1</v>
      </c>
      <c r="V511" s="5" t="n">
        <v>1</v>
      </c>
      <c r="W511" s="5" t="n">
        <v>9</v>
      </c>
      <c r="X511" s="5" t="n">
        <v>4</v>
      </c>
      <c r="Y511" s="5" t="n"/>
      <c r="Z511" s="5" t="inlineStr"/>
      <c r="AA511" s="5" t="n">
        <v>3398.2</v>
      </c>
      <c r="AB511" s="5" t="n">
        <v>3428.6</v>
      </c>
      <c r="AC511" s="5" t="n">
        <v>3547.8</v>
      </c>
      <c r="AD511" s="5" t="n">
        <v>3554.6</v>
      </c>
      <c r="AE511" s="5" t="inlineStr">
        <is>
          <t>isolated_footing</t>
        </is>
      </c>
      <c r="AF511" s="5">
        <f>IF(AE511="","",IF(OR(AE511=F511,AND(AE511="crane_footing",F511="isolated_footing")),"yes","no"))</f>
        <v/>
      </c>
    </row>
    <row r="512">
      <c r="A512" s="5" t="n">
        <v>511</v>
      </c>
      <c r="B512" s="5" t="inlineStr">
        <is>
          <t>125</t>
        </is>
      </c>
      <c r="C512" s="5" t="inlineStr">
        <is>
          <t>region between joints</t>
        </is>
      </c>
      <c r="D512" s="5" t="inlineStr">
        <is>
          <t>outline</t>
        </is>
      </c>
      <c r="E512" s="5" t="n">
        <v>13</v>
      </c>
      <c r="F512" s="5" t="inlineStr">
        <is>
          <t>isolated_footing</t>
        </is>
      </c>
      <c r="G512" s="5" t="inlineStr">
        <is>
          <t>Isolated footing S7 4.50 × 3.50 m</t>
        </is>
      </c>
      <c r="H512" s="5" t="inlineStr">
        <is>
          <t>label vote</t>
        </is>
      </c>
      <c r="I512" s="5" t="inlineStr">
        <is>
          <t>S7</t>
        </is>
      </c>
      <c r="J512" s="5" t="inlineStr">
        <is>
          <t>printed label</t>
        </is>
      </c>
      <c r="K512" s="5" t="inlineStr">
        <is>
          <t>S7-</t>
        </is>
      </c>
      <c r="L512" s="5" t="n">
        <v>450</v>
      </c>
      <c r="M512" s="5" t="n">
        <v>350</v>
      </c>
      <c r="N512" s="10">
        <f>IF(AND(ISNUMBER(L512),M512&gt;0),L512/M512,"")</f>
        <v/>
      </c>
      <c r="O512" s="5" t="n">
        <v>15.746</v>
      </c>
      <c r="P512" s="5" t="n">
        <v>96.7</v>
      </c>
      <c r="Q512" s="5" t="n">
        <v>3</v>
      </c>
      <c r="R512" s="5" t="n">
        <v>0</v>
      </c>
      <c r="S512" s="5" t="n">
        <v>0</v>
      </c>
      <c r="T512" s="5" t="n">
        <v>0</v>
      </c>
      <c r="U512" s="5" t="n">
        <v>0</v>
      </c>
      <c r="V512" s="5" t="n">
        <v>1</v>
      </c>
      <c r="W512" s="5" t="n">
        <v>33</v>
      </c>
      <c r="X512" s="5" t="n">
        <v>3</v>
      </c>
      <c r="Y512" s="5" t="n"/>
      <c r="Z512" s="5" t="inlineStr"/>
      <c r="AA512" s="5" t="n">
        <v>2939.1</v>
      </c>
      <c r="AB512" s="5" t="n">
        <v>3452.9</v>
      </c>
      <c r="AC512" s="5" t="n">
        <v>3057.2</v>
      </c>
      <c r="AD512" s="5" t="n">
        <v>3596.9</v>
      </c>
      <c r="AE512" s="5" t="inlineStr">
        <is>
          <t>isolated_footing</t>
        </is>
      </c>
      <c r="AF512" s="5">
        <f>IF(AE512="","",IF(OR(AE512=F512,AND(AE512="crane_footing",F512="isolated_footing")),"yes","no"))</f>
        <v/>
      </c>
    </row>
    <row r="513">
      <c r="A513" s="5" t="n">
        <v>512</v>
      </c>
      <c r="B513" s="5" t="inlineStr">
        <is>
          <t>125</t>
        </is>
      </c>
      <c r="C513" s="5" t="inlineStr">
        <is>
          <t>nearest labels</t>
        </is>
      </c>
      <c r="D513" s="5" t="inlineStr">
        <is>
          <t>outline</t>
        </is>
      </c>
      <c r="E513" s="5" t="n">
        <v>14</v>
      </c>
      <c r="F513" s="5" t="inlineStr">
        <is>
          <t>combined_footing</t>
        </is>
      </c>
      <c r="G513" s="5" t="inlineStr">
        <is>
          <t>Combined footing SC1 5.00 × 3.50 m</t>
        </is>
      </c>
      <c r="H513" s="5" t="inlineStr">
        <is>
          <t>label vote</t>
        </is>
      </c>
      <c r="I513" s="5" t="inlineStr">
        <is>
          <t>SC1</t>
        </is>
      </c>
      <c r="J513" s="5" t="inlineStr">
        <is>
          <t>printed label</t>
        </is>
      </c>
      <c r="K513" s="5" t="inlineStr">
        <is>
          <t>SC1-</t>
        </is>
      </c>
      <c r="L513" s="5" t="n">
        <v>500</v>
      </c>
      <c r="M513" s="5" t="n">
        <v>350</v>
      </c>
      <c r="N513" s="10">
        <f>IF(AND(ISNUMBER(L513),M513&gt;0),L513/M513,"")</f>
        <v/>
      </c>
      <c r="O513" s="5" t="n">
        <v>17.505</v>
      </c>
      <c r="P513" s="5" t="n">
        <v>79.3</v>
      </c>
      <c r="Q513" s="5" t="n">
        <v>4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2</v>
      </c>
      <c r="W513" s="5" t="n">
        <v>44</v>
      </c>
      <c r="X513" s="5" t="n">
        <v>4</v>
      </c>
      <c r="Y513" s="5" t="n"/>
      <c r="Z513" s="5" t="inlineStr"/>
      <c r="AA513" s="5" t="n">
        <v>3551.6</v>
      </c>
      <c r="AB513" s="5" t="n">
        <v>3385.9</v>
      </c>
      <c r="AC513" s="5" t="n">
        <v>3680.5</v>
      </c>
      <c r="AD513" s="5" t="n">
        <v>3550.2</v>
      </c>
      <c r="AE513" s="5" t="inlineStr">
        <is>
          <t>combined_footing</t>
        </is>
      </c>
      <c r="AF513" s="5">
        <f>IF(AE513="","",IF(OR(AE513=F513,AND(AE513="crane_footing",F513="isolated_footing")),"yes","no"))</f>
        <v/>
      </c>
    </row>
    <row r="514">
      <c r="A514" s="5" t="n">
        <v>513</v>
      </c>
      <c r="B514" s="5" t="inlineStr">
        <is>
          <t>125</t>
        </is>
      </c>
      <c r="C514" s="5" t="inlineStr">
        <is>
          <t>region between joints</t>
        </is>
      </c>
      <c r="D514" s="5" t="inlineStr">
        <is>
          <t>outline</t>
        </is>
      </c>
      <c r="E514" s="5" t="n">
        <v>14</v>
      </c>
      <c r="F514" s="5" t="inlineStr">
        <is>
          <t>combined_footing</t>
        </is>
      </c>
      <c r="G514" s="5" t="inlineStr">
        <is>
          <t>Combined footing SC5 5.00 × 4.00 m</t>
        </is>
      </c>
      <c r="H514" s="5" t="inlineStr">
        <is>
          <t>label vote</t>
        </is>
      </c>
      <c r="I514" s="5" t="inlineStr">
        <is>
          <t>SC5</t>
        </is>
      </c>
      <c r="J514" s="5" t="inlineStr">
        <is>
          <t>printed label</t>
        </is>
      </c>
      <c r="K514" s="5" t="inlineStr">
        <is>
          <t>SC5-</t>
        </is>
      </c>
      <c r="L514" s="5" t="n">
        <v>500</v>
      </c>
      <c r="M514" s="5" t="n">
        <v>400</v>
      </c>
      <c r="N514" s="10">
        <f>IF(AND(ISNUMBER(L514),M514&gt;0),L514/M514,"")</f>
        <v/>
      </c>
      <c r="O514" s="5" t="n">
        <v>19.999</v>
      </c>
      <c r="P514" s="5" t="n">
        <v>79.3</v>
      </c>
      <c r="Q514" s="5" t="n">
        <v>4</v>
      </c>
      <c r="R514" s="5" t="n">
        <v>0</v>
      </c>
      <c r="S514" s="5" t="n">
        <v>0</v>
      </c>
      <c r="T514" s="5" t="n">
        <v>0</v>
      </c>
      <c r="U514" s="5" t="n">
        <v>1</v>
      </c>
      <c r="V514" s="5" t="n">
        <v>2</v>
      </c>
      <c r="W514" s="5" t="n">
        <v>27</v>
      </c>
      <c r="X514" s="5" t="n">
        <v>2</v>
      </c>
      <c r="Y514" s="5" t="n"/>
      <c r="Z514" s="5" t="inlineStr"/>
      <c r="AA514" s="5" t="n">
        <v>3578.9</v>
      </c>
      <c r="AB514" s="5" t="n">
        <v>3604.5</v>
      </c>
      <c r="AC514" s="5" t="n">
        <v>3722.4</v>
      </c>
      <c r="AD514" s="5" t="n">
        <v>3771.4</v>
      </c>
      <c r="AE514" s="5" t="inlineStr">
        <is>
          <t>combined_footing</t>
        </is>
      </c>
      <c r="AF514" s="5">
        <f>IF(AE514="","",IF(OR(AE514=F514,AND(AE514="crane_footing",F514="isolated_footing")),"yes","no"))</f>
        <v/>
      </c>
    </row>
    <row r="515">
      <c r="A515" s="5" t="n">
        <v>514</v>
      </c>
      <c r="B515" s="5" t="inlineStr">
        <is>
          <t>125</t>
        </is>
      </c>
      <c r="C515" s="5" t="inlineStr">
        <is>
          <t>region between joints</t>
        </is>
      </c>
      <c r="D515" s="5" t="inlineStr">
        <is>
          <t>band</t>
        </is>
      </c>
      <c r="E515" s="5" t="n">
        <v>5</v>
      </c>
      <c r="F515" s="5" t="inlineStr">
        <is>
          <t>strip_footing</t>
        </is>
      </c>
      <c r="G515" s="5" t="inlineStr">
        <is>
          <t>Strip footing 2.41 × 0.80 m</t>
        </is>
      </c>
      <c r="H515" s="5" t="inlineStr">
        <is>
          <t>label vote</t>
        </is>
      </c>
      <c r="I515" s="5" t="inlineStr">
        <is>
          <t>(none)</t>
        </is>
      </c>
      <c r="J515" s="5" t="inlineStr"/>
      <c r="K515" s="5" t="inlineStr"/>
      <c r="L515" s="5" t="n">
        <v>241</v>
      </c>
      <c r="M515" s="5" t="n">
        <v>80</v>
      </c>
      <c r="N515" s="10">
        <f>IF(AND(ISNUMBER(L515),M515&gt;0),L515/M515,"")</f>
        <v/>
      </c>
      <c r="O515" s="5" t="n">
        <v>1.929</v>
      </c>
      <c r="P515" s="5" t="n">
        <v>26.7</v>
      </c>
      <c r="Q515" s="5" t="n">
        <v>1</v>
      </c>
      <c r="R515" s="5" t="n">
        <v>1</v>
      </c>
      <c r="S515" s="5" t="n">
        <v>0</v>
      </c>
      <c r="T515" s="5" t="n">
        <v>0</v>
      </c>
      <c r="U515" s="5" t="n">
        <v>0</v>
      </c>
      <c r="V515" s="5" t="n">
        <v>0</v>
      </c>
      <c r="W515" s="5" t="n">
        <v>5</v>
      </c>
      <c r="X515" s="5" t="n">
        <v>1</v>
      </c>
      <c r="Y515" s="5" t="n">
        <v>0</v>
      </c>
      <c r="Z515" s="5" t="inlineStr"/>
      <c r="AA515" s="5" t="n">
        <v>2594.2</v>
      </c>
      <c r="AB515" s="5" t="n">
        <v>3378.9</v>
      </c>
      <c r="AC515" s="5" t="n">
        <v>2668.4</v>
      </c>
      <c r="AD515" s="5" t="n">
        <v>3432</v>
      </c>
      <c r="AE515" s="5" t="inlineStr"/>
      <c r="AF515" s="5">
        <f>IF(AE515="","",IF(OR(AE515=F515,AND(AE515="crane_footing",F515="isolated_footing")),"yes","no"))</f>
        <v/>
      </c>
    </row>
    <row r="516">
      <c r="A516" s="5" t="n">
        <v>515</v>
      </c>
      <c r="B516" s="5" t="inlineStr">
        <is>
          <t>125</t>
        </is>
      </c>
      <c r="C516" s="5" t="inlineStr">
        <is>
          <t>region between joints</t>
        </is>
      </c>
      <c r="D516" s="5" t="inlineStr">
        <is>
          <t>band</t>
        </is>
      </c>
      <c r="E516" s="5" t="n">
        <v>5</v>
      </c>
      <c r="F516" s="5" t="inlineStr">
        <is>
          <t>strip_footing</t>
        </is>
      </c>
      <c r="G516" s="5" t="inlineStr">
        <is>
          <t>Strip footing SF1 3.37 × 0.80 m</t>
        </is>
      </c>
      <c r="H516" s="5" t="inlineStr">
        <is>
          <t>label vote</t>
        </is>
      </c>
      <c r="I516" s="5" t="inlineStr">
        <is>
          <t>SF1</t>
        </is>
      </c>
      <c r="J516" s="5" t="inlineStr">
        <is>
          <t>printed label</t>
        </is>
      </c>
      <c r="K516" s="5" t="inlineStr">
        <is>
          <t>VP20-SF1 80x25</t>
        </is>
      </c>
      <c r="L516" s="5" t="n">
        <v>337</v>
      </c>
      <c r="M516" s="5" t="n">
        <v>80</v>
      </c>
      <c r="N516" s="10">
        <f>IF(AND(ISNUMBER(L516),M516&gt;0),L516/M516,"")</f>
        <v/>
      </c>
      <c r="O516" s="5" t="n">
        <v>2.692</v>
      </c>
      <c r="P516" s="5" t="n">
        <v>169.4</v>
      </c>
      <c r="Q516" s="5" t="n">
        <v>1</v>
      </c>
      <c r="R516" s="5" t="n">
        <v>0</v>
      </c>
      <c r="S516" s="5" t="n">
        <v>0</v>
      </c>
      <c r="T516" s="5" t="n">
        <v>0</v>
      </c>
      <c r="U516" s="5" t="n">
        <v>0</v>
      </c>
      <c r="V516" s="5" t="n">
        <v>0</v>
      </c>
      <c r="W516" s="5" t="n">
        <v>2</v>
      </c>
      <c r="X516" s="5" t="n">
        <v>1</v>
      </c>
      <c r="Y516" s="5" t="n">
        <v>3.37</v>
      </c>
      <c r="Z516" s="5" t="inlineStr"/>
      <c r="AA516" s="5" t="n">
        <v>3308</v>
      </c>
      <c r="AB516" s="5" t="n">
        <v>3492.9</v>
      </c>
      <c r="AC516" s="5" t="n">
        <v>3410</v>
      </c>
      <c r="AD516" s="5" t="n">
        <v>3534.4</v>
      </c>
      <c r="AE516" s="5" t="inlineStr"/>
      <c r="AF516" s="5">
        <f>IF(AE516="","",IF(OR(AE516=F516,AND(AE516="crane_footing",F516="isolated_footing")),"yes","no"))</f>
        <v/>
      </c>
    </row>
    <row r="517">
      <c r="A517" s="5" t="n">
        <v>516</v>
      </c>
      <c r="B517" s="5" t="inlineStr">
        <is>
          <t>125</t>
        </is>
      </c>
      <c r="C517" s="5" t="inlineStr">
        <is>
          <t>nearest labels in its region</t>
        </is>
      </c>
      <c r="D517" s="5" t="inlineStr">
        <is>
          <t>band</t>
        </is>
      </c>
      <c r="E517" s="5" t="n">
        <v>3</v>
      </c>
      <c r="F517" s="5" t="inlineStr">
        <is>
          <t>grade_beam</t>
        </is>
      </c>
      <c r="G517" s="5" t="inlineStr">
        <is>
          <t>Grade beam LG40x15 20.84 × 0.40 m</t>
        </is>
      </c>
      <c r="H517" s="5" t="inlineStr">
        <is>
          <t>label vote</t>
        </is>
      </c>
      <c r="I517" s="5" t="inlineStr">
        <is>
          <t>LG40x15</t>
        </is>
      </c>
      <c r="J517" s="5" t="inlineStr">
        <is>
          <t>printed label</t>
        </is>
      </c>
      <c r="K517" s="5" t="inlineStr">
        <is>
          <t>LG-40x15</t>
        </is>
      </c>
      <c r="L517" s="5" t="n">
        <v>2084</v>
      </c>
      <c r="M517" s="5" t="n">
        <v>40</v>
      </c>
      <c r="N517" s="10">
        <f>IF(AND(ISNUMBER(L517),M517&gt;0),L517/M517,"")</f>
        <v/>
      </c>
      <c r="O517" s="5" t="n">
        <v>8.334</v>
      </c>
      <c r="P517" s="5" t="n">
        <v>79.3</v>
      </c>
      <c r="Q517" s="5" t="n">
        <v>5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2</v>
      </c>
      <c r="W517" s="5" t="n">
        <v>13</v>
      </c>
      <c r="X517" s="5" t="n">
        <v>6</v>
      </c>
      <c r="Y517" s="5" t="n">
        <v>9.800000000000001</v>
      </c>
      <c r="Z517" s="5" t="inlineStr"/>
      <c r="AA517" s="5" t="n">
        <v>3490.6</v>
      </c>
      <c r="AB517" s="5" t="n">
        <v>2864.5</v>
      </c>
      <c r="AC517" s="5" t="n">
        <v>3616.2</v>
      </c>
      <c r="AD517" s="5" t="n">
        <v>3471.2</v>
      </c>
      <c r="AE517" s="5" t="inlineStr"/>
      <c r="AF517" s="5">
        <f>IF(AE517="","",IF(OR(AE517=F517,AND(AE517="crane_footing",F517="isolated_footing")),"yes","no"))</f>
        <v/>
      </c>
    </row>
    <row r="518">
      <c r="A518" s="5" t="n">
        <v>517</v>
      </c>
      <c r="B518" s="5" t="inlineStr">
        <is>
          <t>125</t>
        </is>
      </c>
      <c r="C518" s="5" t="inlineStr">
        <is>
          <t>region between joints</t>
        </is>
      </c>
      <c r="D518" s="5" t="inlineStr">
        <is>
          <t>band</t>
        </is>
      </c>
      <c r="E518" s="5" t="n">
        <v>3</v>
      </c>
      <c r="F518" s="5" t="inlineStr">
        <is>
          <t>grade_beam</t>
        </is>
      </c>
      <c r="G518" s="5" t="inlineStr">
        <is>
          <t>Grade beam LG40x15 18.48 × 0.40 m</t>
        </is>
      </c>
      <c r="H518" s="5" t="inlineStr">
        <is>
          <t>label vote</t>
        </is>
      </c>
      <c r="I518" s="5" t="inlineStr">
        <is>
          <t>LG40x15</t>
        </is>
      </c>
      <c r="J518" s="5" t="inlineStr">
        <is>
          <t>printed label</t>
        </is>
      </c>
      <c r="K518" s="5" t="inlineStr">
        <is>
          <t>LG-40x15</t>
        </is>
      </c>
      <c r="L518" s="5" t="n">
        <v>1848</v>
      </c>
      <c r="M518" s="5" t="n">
        <v>40</v>
      </c>
      <c r="N518" s="10">
        <f>IF(AND(ISNUMBER(L518),M518&gt;0),L518/M518,"")</f>
        <v/>
      </c>
      <c r="O518" s="5" t="n">
        <v>7.39</v>
      </c>
      <c r="P518" s="5" t="n">
        <v>169.3</v>
      </c>
      <c r="Q518" s="5" t="n">
        <v>3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38</v>
      </c>
      <c r="X518" s="5" t="n">
        <v>6</v>
      </c>
      <c r="Y518" s="5" t="n">
        <v>8.27</v>
      </c>
      <c r="Z518" s="5" t="inlineStr"/>
      <c r="AA518" s="5" t="n">
        <v>3027.2</v>
      </c>
      <c r="AB518" s="5" t="n">
        <v>3228.5</v>
      </c>
      <c r="AC518" s="5" t="n">
        <v>3565.5</v>
      </c>
      <c r="AD518" s="5" t="n">
        <v>3341.1</v>
      </c>
      <c r="AE518" s="5" t="inlineStr"/>
      <c r="AF518" s="5">
        <f>IF(AE518="","",IF(OR(AE518=F518,AND(AE518="crane_footing",F518="isolated_footing")),"yes","no"))</f>
        <v/>
      </c>
    </row>
    <row r="519">
      <c r="A519" s="5" t="n">
        <v>518</v>
      </c>
      <c r="B519" s="5" t="inlineStr">
        <is>
          <t>125</t>
        </is>
      </c>
      <c r="C519" s="5" t="inlineStr">
        <is>
          <t>region between joints</t>
        </is>
      </c>
      <c r="D519" s="5" t="inlineStr">
        <is>
          <t>band</t>
        </is>
      </c>
      <c r="E519" s="5" t="n">
        <v>3</v>
      </c>
      <c r="F519" s="5" t="inlineStr">
        <is>
          <t>grade_beam</t>
        </is>
      </c>
      <c r="G519" s="5" t="inlineStr">
        <is>
          <t>Grade beam LG40x15 16.08 × 0.40 m</t>
        </is>
      </c>
      <c r="H519" s="5" t="inlineStr">
        <is>
          <t>label vote</t>
        </is>
      </c>
      <c r="I519" s="5" t="inlineStr">
        <is>
          <t>LG40x15</t>
        </is>
      </c>
      <c r="J519" s="5" t="inlineStr">
        <is>
          <t>printed label</t>
        </is>
      </c>
      <c r="K519" s="5" t="inlineStr">
        <is>
          <t>LG-40x15</t>
        </is>
      </c>
      <c r="L519" s="5" t="n">
        <v>1608</v>
      </c>
      <c r="M519" s="5" t="n">
        <v>40</v>
      </c>
      <c r="N519" s="10">
        <f>IF(AND(ISNUMBER(L519),M519&gt;0),L519/M519,"")</f>
        <v/>
      </c>
      <c r="O519" s="5" t="n">
        <v>6.433</v>
      </c>
      <c r="P519" s="5" t="n">
        <v>79.40000000000001</v>
      </c>
      <c r="Q519" s="5" t="n">
        <v>2</v>
      </c>
      <c r="R519" s="5" t="n">
        <v>0</v>
      </c>
      <c r="S519" s="5" t="n">
        <v>0</v>
      </c>
      <c r="T519" s="5" t="n">
        <v>0</v>
      </c>
      <c r="U519" s="5" t="n">
        <v>0</v>
      </c>
      <c r="V519" s="5" t="n">
        <v>1</v>
      </c>
      <c r="W519" s="5" t="n">
        <v>13</v>
      </c>
      <c r="X519" s="5" t="n">
        <v>2</v>
      </c>
      <c r="Y519" s="5" t="n">
        <v>9.199999999999999</v>
      </c>
      <c r="Z519" s="5" t="inlineStr"/>
      <c r="AA519" s="5" t="n">
        <v>3337.1</v>
      </c>
      <c r="AB519" s="5" t="n">
        <v>3035.9</v>
      </c>
      <c r="AC519" s="5" t="n">
        <v>3435.9</v>
      </c>
      <c r="AD519" s="5" t="n">
        <v>3504.8</v>
      </c>
      <c r="AE519" s="5" t="inlineStr"/>
      <c r="AF519" s="5">
        <f>IF(AE519="","",IF(OR(AE519=F519,AND(AE519="crane_footing",F519="isolated_footing")),"yes","no"))</f>
        <v/>
      </c>
    </row>
    <row r="520">
      <c r="A520" s="5" t="n">
        <v>519</v>
      </c>
      <c r="B520" s="5" t="inlineStr">
        <is>
          <t>125</t>
        </is>
      </c>
      <c r="C520" s="5" t="inlineStr">
        <is>
          <t>nearest labels in its region</t>
        </is>
      </c>
      <c r="D520" s="5" t="inlineStr">
        <is>
          <t>band</t>
        </is>
      </c>
      <c r="E520" s="5" t="n">
        <v>3</v>
      </c>
      <c r="F520" s="5" t="inlineStr">
        <is>
          <t>grade_beam</t>
        </is>
      </c>
      <c r="G520" s="5" t="inlineStr">
        <is>
          <t>Grade beam LG40x15 8.34 × 0.40 m</t>
        </is>
      </c>
      <c r="H520" s="5" t="inlineStr">
        <is>
          <t>label vote</t>
        </is>
      </c>
      <c r="I520" s="5" t="inlineStr">
        <is>
          <t>LG40x15</t>
        </is>
      </c>
      <c r="J520" s="5" t="inlineStr">
        <is>
          <t>printed label</t>
        </is>
      </c>
      <c r="K520" s="5" t="inlineStr">
        <is>
          <t>LG-40x15</t>
        </is>
      </c>
      <c r="L520" s="5" t="n">
        <v>834</v>
      </c>
      <c r="M520" s="5" t="n">
        <v>40</v>
      </c>
      <c r="N520" s="10">
        <f>IF(AND(ISNUMBER(L520),M520&gt;0),L520/M520,"")</f>
        <v/>
      </c>
      <c r="O520" s="5" t="n">
        <v>3.336</v>
      </c>
      <c r="P520" s="5" t="n">
        <v>168.7</v>
      </c>
      <c r="Q520" s="5" t="n">
        <v>2</v>
      </c>
      <c r="R520" s="5" t="n">
        <v>0</v>
      </c>
      <c r="S520" s="5" t="n">
        <v>0</v>
      </c>
      <c r="T520" s="5" t="n">
        <v>0</v>
      </c>
      <c r="U520" s="5" t="n">
        <v>0</v>
      </c>
      <c r="V520" s="5" t="n">
        <v>0</v>
      </c>
      <c r="W520" s="5" t="n">
        <v>12</v>
      </c>
      <c r="X520" s="5" t="n">
        <v>4</v>
      </c>
      <c r="Y520" s="5" t="n">
        <v>6.3</v>
      </c>
      <c r="Z520" s="5" t="inlineStr"/>
      <c r="AA520" s="5" t="n">
        <v>3057.1</v>
      </c>
      <c r="AB520" s="5" t="n">
        <v>3033.2</v>
      </c>
      <c r="AC520" s="5" t="n">
        <v>3300.9</v>
      </c>
      <c r="AD520" s="5" t="n">
        <v>3093</v>
      </c>
      <c r="AE520" s="5" t="inlineStr"/>
      <c r="AF520" s="5">
        <f>IF(AE520="","",IF(OR(AE520=F520,AND(AE520="crane_footing",F520="isolated_footing")),"yes","no"))</f>
        <v/>
      </c>
    </row>
    <row r="521">
      <c r="A521" s="5" t="n">
        <v>520</v>
      </c>
      <c r="B521" s="5" t="inlineStr">
        <is>
          <t>125</t>
        </is>
      </c>
      <c r="C521" s="5" t="inlineStr">
        <is>
          <t>nearest labels in its region</t>
        </is>
      </c>
      <c r="D521" s="5" t="inlineStr">
        <is>
          <t>band</t>
        </is>
      </c>
      <c r="E521" s="5" t="n">
        <v>3</v>
      </c>
      <c r="F521" s="5" t="inlineStr">
        <is>
          <t>grade_beam</t>
        </is>
      </c>
      <c r="G521" s="5" t="inlineStr">
        <is>
          <t>Grade beam LG40x15 7.70 × 0.40 m</t>
        </is>
      </c>
      <c r="H521" s="5" t="inlineStr">
        <is>
          <t>label vote</t>
        </is>
      </c>
      <c r="I521" s="5" t="inlineStr">
        <is>
          <t>LG40x15</t>
        </is>
      </c>
      <c r="J521" s="5" t="inlineStr">
        <is>
          <t>printed label</t>
        </is>
      </c>
      <c r="K521" s="5" t="inlineStr">
        <is>
          <t>LG-40x15</t>
        </is>
      </c>
      <c r="L521" s="5" t="n">
        <v>770</v>
      </c>
      <c r="M521" s="5" t="n">
        <v>40</v>
      </c>
      <c r="N521" s="10">
        <f>IF(AND(ISNUMBER(L521),M521&gt;0),L521/M521,"")</f>
        <v/>
      </c>
      <c r="O521" s="5" t="n">
        <v>3.08</v>
      </c>
      <c r="P521" s="5" t="n">
        <v>81.09999999999999</v>
      </c>
      <c r="Q521" s="5" t="n">
        <v>1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4</v>
      </c>
      <c r="X521" s="5" t="n">
        <v>2</v>
      </c>
      <c r="Y521" s="5" t="n">
        <v>6.14</v>
      </c>
      <c r="Z521" s="5" t="inlineStr"/>
      <c r="AA521" s="5" t="n">
        <v>3163.1</v>
      </c>
      <c r="AB521" s="5" t="n">
        <v>3070.5</v>
      </c>
      <c r="AC521" s="5" t="n">
        <v>3209.9</v>
      </c>
      <c r="AD521" s="5" t="n">
        <v>3296.9</v>
      </c>
      <c r="AE521" s="5" t="inlineStr"/>
      <c r="AF521" s="5">
        <f>IF(AE521="","",IF(OR(AE521=F521,AND(AE521="crane_footing",F521="isolated_footing")),"yes","no"))</f>
        <v/>
      </c>
    </row>
    <row r="522">
      <c r="A522" s="5" t="n">
        <v>521</v>
      </c>
      <c r="B522" s="5" t="inlineStr">
        <is>
          <t>125</t>
        </is>
      </c>
      <c r="C522" s="5" t="inlineStr">
        <is>
          <t>nearest labels in its region</t>
        </is>
      </c>
      <c r="D522" s="5" t="inlineStr">
        <is>
          <t>band</t>
        </is>
      </c>
      <c r="E522" s="5" t="n">
        <v>3</v>
      </c>
      <c r="F522" s="5" t="inlineStr">
        <is>
          <t>grade_beam</t>
        </is>
      </c>
      <c r="G522" s="5" t="inlineStr">
        <is>
          <t>Grade beam LG40x15 7.54 × 0.40 m</t>
        </is>
      </c>
      <c r="H522" s="5" t="inlineStr">
        <is>
          <t>label vote</t>
        </is>
      </c>
      <c r="I522" s="5" t="inlineStr">
        <is>
          <t>LG40x15</t>
        </is>
      </c>
      <c r="J522" s="5" t="inlineStr">
        <is>
          <t>printed label</t>
        </is>
      </c>
      <c r="K522" s="5" t="inlineStr">
        <is>
          <t>LG-40x15</t>
        </is>
      </c>
      <c r="L522" s="5" t="n">
        <v>754</v>
      </c>
      <c r="M522" s="5" t="n">
        <v>40</v>
      </c>
      <c r="N522" s="10">
        <f>IF(AND(ISNUMBER(L522),M522&gt;0),L522/M522,"")</f>
        <v/>
      </c>
      <c r="O522" s="5" t="n">
        <v>3.017</v>
      </c>
      <c r="P522" s="5" t="n">
        <v>169.4</v>
      </c>
      <c r="Q522" s="5" t="n">
        <v>1</v>
      </c>
      <c r="R522" s="5" t="n">
        <v>0</v>
      </c>
      <c r="S522" s="5" t="n">
        <v>0</v>
      </c>
      <c r="T522" s="5" t="n">
        <v>0</v>
      </c>
      <c r="U522" s="5" t="n">
        <v>0</v>
      </c>
      <c r="V522" s="5" t="n">
        <v>0</v>
      </c>
      <c r="W522" s="5" t="n">
        <v>18</v>
      </c>
      <c r="X522" s="5" t="n">
        <v>6</v>
      </c>
      <c r="Y522" s="5" t="n">
        <v>5.96</v>
      </c>
      <c r="Z522" s="5" t="inlineStr"/>
      <c r="AA522" s="5" t="n">
        <v>3300.9</v>
      </c>
      <c r="AB522" s="5" t="n">
        <v>2991.9</v>
      </c>
      <c r="AC522" s="5" t="n">
        <v>3522</v>
      </c>
      <c r="AD522" s="5" t="n">
        <v>3044.3</v>
      </c>
      <c r="AE522" s="5" t="inlineStr"/>
      <c r="AF522" s="5">
        <f>IF(AE522="","",IF(OR(AE522=F522,AND(AE522="crane_footing",F522="isolated_footing")),"yes","no"))</f>
        <v/>
      </c>
    </row>
    <row r="523">
      <c r="A523" s="5" t="n">
        <v>522</v>
      </c>
      <c r="B523" s="5" t="inlineStr">
        <is>
          <t>125</t>
        </is>
      </c>
      <c r="C523" s="5" t="inlineStr">
        <is>
          <t>nearest labels in its region</t>
        </is>
      </c>
      <c r="D523" s="5" t="inlineStr">
        <is>
          <t>band</t>
        </is>
      </c>
      <c r="E523" s="5" t="n">
        <v>3</v>
      </c>
      <c r="F523" s="5" t="inlineStr">
        <is>
          <t>grade_beam</t>
        </is>
      </c>
      <c r="G523" s="5" t="inlineStr">
        <is>
          <t>Grade beam LG40x15 4.75 × 0.40 m</t>
        </is>
      </c>
      <c r="H523" s="5" t="inlineStr">
        <is>
          <t>label vote</t>
        </is>
      </c>
      <c r="I523" s="5" t="inlineStr">
        <is>
          <t>LG40x15</t>
        </is>
      </c>
      <c r="J523" s="5" t="inlineStr">
        <is>
          <t>printed label</t>
        </is>
      </c>
      <c r="K523" s="5" t="inlineStr">
        <is>
          <t>LG-40x15</t>
        </is>
      </c>
      <c r="L523" s="5" t="n">
        <v>475</v>
      </c>
      <c r="M523" s="5" t="n">
        <v>40</v>
      </c>
      <c r="N523" s="10">
        <f>IF(AND(ISNUMBER(L523),M523&gt;0),L523/M523,"")</f>
        <v/>
      </c>
      <c r="O523" s="5" t="n">
        <v>1.899</v>
      </c>
      <c r="P523" s="5" t="n">
        <v>79.40000000000001</v>
      </c>
      <c r="Q523" s="5" t="n">
        <v>2</v>
      </c>
      <c r="R523" s="5" t="n">
        <v>0</v>
      </c>
      <c r="S523" s="5" t="n">
        <v>0</v>
      </c>
      <c r="T523" s="5" t="n">
        <v>0</v>
      </c>
      <c r="U523" s="5" t="n">
        <v>0</v>
      </c>
      <c r="V523" s="5" t="n">
        <v>0</v>
      </c>
      <c r="W523" s="5" t="n">
        <v>3</v>
      </c>
      <c r="X523" s="5" t="n">
        <v>2</v>
      </c>
      <c r="Y523" s="5" t="n">
        <v>3.04</v>
      </c>
      <c r="Z523" s="5" t="inlineStr"/>
      <c r="AA523" s="5" t="n">
        <v>3266.4</v>
      </c>
      <c r="AB523" s="5" t="n">
        <v>2906.4</v>
      </c>
      <c r="AC523" s="5" t="n">
        <v>3303.8</v>
      </c>
      <c r="AD523" s="5" t="n">
        <v>3046.4</v>
      </c>
      <c r="AE523" s="5" t="inlineStr"/>
      <c r="AF523" s="5">
        <f>IF(AE523="","",IF(OR(AE523=F523,AND(AE523="crane_footing",F523="isolated_footing")),"yes","no"))</f>
        <v/>
      </c>
    </row>
    <row r="524">
      <c r="A524" s="5" t="n">
        <v>523</v>
      </c>
      <c r="B524" s="5" t="inlineStr">
        <is>
          <t>125</t>
        </is>
      </c>
      <c r="C524" s="5" t="inlineStr">
        <is>
          <t>region between joints</t>
        </is>
      </c>
      <c r="D524" s="5" t="inlineStr">
        <is>
          <t>band</t>
        </is>
      </c>
      <c r="E524" s="5" t="n">
        <v>3</v>
      </c>
      <c r="F524" s="5" t="inlineStr">
        <is>
          <t>grade_beam</t>
        </is>
      </c>
      <c r="G524" s="5" t="inlineStr">
        <is>
          <t>Grade beam LG40x15 3.95 × 0.40 m</t>
        </is>
      </c>
      <c r="H524" s="5" t="inlineStr">
        <is>
          <t>label vote</t>
        </is>
      </c>
      <c r="I524" s="5" t="inlineStr">
        <is>
          <t>LG40x15</t>
        </is>
      </c>
      <c r="J524" s="5" t="inlineStr">
        <is>
          <t>printed label</t>
        </is>
      </c>
      <c r="K524" s="5" t="inlineStr">
        <is>
          <t>LG-40x15</t>
        </is>
      </c>
      <c r="L524" s="5" t="n">
        <v>395</v>
      </c>
      <c r="M524" s="5" t="n">
        <v>40</v>
      </c>
      <c r="N524" s="10">
        <f>IF(AND(ISNUMBER(L524),M524&gt;0),L524/M524,"")</f>
        <v/>
      </c>
      <c r="O524" s="5" t="n">
        <v>1.578</v>
      </c>
      <c r="P524" s="5" t="n">
        <v>8.6</v>
      </c>
      <c r="Q524" s="5" t="n">
        <v>0</v>
      </c>
      <c r="R524" s="5" t="n">
        <v>0</v>
      </c>
      <c r="S524" s="5" t="n">
        <v>0</v>
      </c>
      <c r="T524" s="5" t="n">
        <v>0</v>
      </c>
      <c r="U524" s="5" t="n">
        <v>0</v>
      </c>
      <c r="V524" s="5" t="n">
        <v>0</v>
      </c>
      <c r="W524" s="5" t="n">
        <v>3</v>
      </c>
      <c r="X524" s="5" t="n">
        <v>1</v>
      </c>
      <c r="Y524" s="5" t="n">
        <v>2.5</v>
      </c>
      <c r="Z524" s="5" t="inlineStr"/>
      <c r="AA524" s="5" t="n">
        <v>2876</v>
      </c>
      <c r="AB524" s="5" t="n">
        <v>3476.8</v>
      </c>
      <c r="AC524" s="5" t="n">
        <v>2992.9</v>
      </c>
      <c r="AD524" s="5" t="n">
        <v>3506</v>
      </c>
      <c r="AE524" s="5" t="inlineStr"/>
      <c r="AF524" s="5">
        <f>IF(AE524="","",IF(OR(AE524=F524,AND(AE524="crane_footing",F524="isolated_footing")),"yes","no"))</f>
        <v/>
      </c>
    </row>
    <row r="525">
      <c r="A525" s="5" t="n">
        <v>524</v>
      </c>
      <c r="B525" s="5" t="inlineStr">
        <is>
          <t>125</t>
        </is>
      </c>
      <c r="C525" s="5" t="inlineStr">
        <is>
          <t>region between joints</t>
        </is>
      </c>
      <c r="D525" s="5" t="inlineStr">
        <is>
          <t>band</t>
        </is>
      </c>
      <c r="E525" s="5" t="n">
        <v>3</v>
      </c>
      <c r="F525" s="5" t="inlineStr">
        <is>
          <t>grade_beam</t>
        </is>
      </c>
      <c r="G525" s="5" t="inlineStr">
        <is>
          <t>Grade beam LG40x15 3.93 × 0.40 m</t>
        </is>
      </c>
      <c r="H525" s="5" t="inlineStr">
        <is>
          <t>label vote</t>
        </is>
      </c>
      <c r="I525" s="5" t="inlineStr">
        <is>
          <t>LG40x15</t>
        </is>
      </c>
      <c r="J525" s="5" t="inlineStr">
        <is>
          <t>printed label</t>
        </is>
      </c>
      <c r="K525" s="5" t="inlineStr">
        <is>
          <t>LG-40x15</t>
        </is>
      </c>
      <c r="L525" s="5" t="n">
        <v>393</v>
      </c>
      <c r="M525" s="5" t="n">
        <v>40</v>
      </c>
      <c r="N525" s="10">
        <f>IF(AND(ISNUMBER(L525),M525&gt;0),L525/M525,"")</f>
        <v/>
      </c>
      <c r="O525" s="5" t="n">
        <v>1.572</v>
      </c>
      <c r="P525" s="5" t="n">
        <v>8.699999999999999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2</v>
      </c>
      <c r="X525" s="5" t="n">
        <v>1</v>
      </c>
      <c r="Y525" s="5" t="n">
        <v>2.28</v>
      </c>
      <c r="Z525" s="5" t="inlineStr"/>
      <c r="AA525" s="5" t="n">
        <v>3003</v>
      </c>
      <c r="AB525" s="5" t="n">
        <v>3495.9</v>
      </c>
      <c r="AC525" s="5" t="n">
        <v>3119.5</v>
      </c>
      <c r="AD525" s="5" t="n">
        <v>3525.1</v>
      </c>
      <c r="AE525" s="5" t="inlineStr"/>
      <c r="AF525" s="5">
        <f>IF(AE525="","",IF(OR(AE525=F525,AND(AE525="crane_footing",F525="isolated_footing")),"yes","no"))</f>
        <v/>
      </c>
    </row>
    <row r="526">
      <c r="A526" s="5" t="n">
        <v>525</v>
      </c>
      <c r="B526" s="5" t="inlineStr">
        <is>
          <t>125</t>
        </is>
      </c>
      <c r="C526" s="5" t="inlineStr">
        <is>
          <t>region between joints</t>
        </is>
      </c>
      <c r="D526" s="5" t="inlineStr">
        <is>
          <t>stamped_region</t>
        </is>
      </c>
      <c r="E526" s="5" t="n">
        <v>39</v>
      </c>
      <c r="F526" s="5" t="inlineStr">
        <is>
          <t>raft</t>
        </is>
      </c>
      <c r="G526" s="5" t="inlineStr">
        <is>
          <t>Raft Radier 90 14.02 × 6.87 m</t>
        </is>
      </c>
      <c r="H526" s="5" t="inlineStr">
        <is>
          <t>label vote</t>
        </is>
      </c>
      <c r="I526" s="5" t="inlineStr">
        <is>
          <t>Radier 90</t>
        </is>
      </c>
      <c r="J526" s="5" t="inlineStr">
        <is>
          <t>printed label</t>
        </is>
      </c>
      <c r="K526" s="5" t="inlineStr">
        <is>
          <t>Radier</t>
        </is>
      </c>
      <c r="L526" s="5" t="n">
        <v>1402</v>
      </c>
      <c r="M526" s="5" t="n">
        <v>687</v>
      </c>
      <c r="N526" s="10">
        <f>IF(AND(ISNUMBER(L526),M526&gt;0),L526/M526,"")</f>
        <v/>
      </c>
      <c r="O526" s="5" t="n">
        <v>96.009</v>
      </c>
      <c r="P526" s="5" t="n">
        <v>79.40000000000001</v>
      </c>
      <c r="Q526" s="5" t="n">
        <v>18</v>
      </c>
      <c r="R526" s="5" t="n">
        <v>0</v>
      </c>
      <c r="S526" s="5" t="n">
        <v>0</v>
      </c>
      <c r="T526" s="5" t="n">
        <v>0</v>
      </c>
      <c r="U526" s="5" t="n">
        <v>0</v>
      </c>
      <c r="V526" s="5" t="n">
        <v>16</v>
      </c>
      <c r="W526" s="5" t="n">
        <v>87</v>
      </c>
      <c r="X526" s="5" t="n">
        <v>2</v>
      </c>
      <c r="Y526" s="5" t="n"/>
      <c r="Z526" s="5" t="inlineStr">
        <is>
          <t>traced outline</t>
        </is>
      </c>
      <c r="AA526" s="5" t="n">
        <v>3086.2</v>
      </c>
      <c r="AB526" s="5" t="n">
        <v>3388.9</v>
      </c>
      <c r="AC526" s="5" t="n">
        <v>3360.8</v>
      </c>
      <c r="AD526" s="5" t="n">
        <v>3832.5</v>
      </c>
      <c r="AE526" s="5" t="inlineStr"/>
      <c r="AF526" s="5">
        <f>IF(AE526="","",IF(OR(AE526=F526,AND(AE526="crane_footing",F526="isolated_footing")),"yes","no"))</f>
        <v/>
      </c>
    </row>
    <row r="527">
      <c r="A527" s="5" t="n">
        <v>526</v>
      </c>
      <c r="B527" s="5" t="inlineStr">
        <is>
          <t>125</t>
        </is>
      </c>
      <c r="C527" s="5" t="inlineStr">
        <is>
          <t>region between joints</t>
        </is>
      </c>
      <c r="D527" s="5" t="inlineStr">
        <is>
          <t>stamped_region</t>
        </is>
      </c>
      <c r="E527" s="5" t="n">
        <v>39</v>
      </c>
      <c r="F527" s="5" t="inlineStr">
        <is>
          <t>raft</t>
        </is>
      </c>
      <c r="G527" s="5" t="inlineStr">
        <is>
          <t>Raft Radier 90 14.00 × 6.50 m</t>
        </is>
      </c>
      <c r="H527" s="5" t="inlineStr">
        <is>
          <t>label vote</t>
        </is>
      </c>
      <c r="I527" s="5" t="inlineStr">
        <is>
          <t>Radier 90</t>
        </is>
      </c>
      <c r="J527" s="5" t="inlineStr">
        <is>
          <t>printed label</t>
        </is>
      </c>
      <c r="K527" s="5" t="inlineStr">
        <is>
          <t>Radier</t>
        </is>
      </c>
      <c r="L527" s="5" t="n">
        <v>1400</v>
      </c>
      <c r="M527" s="5" t="n">
        <v>650</v>
      </c>
      <c r="N527" s="10">
        <f>IF(AND(ISNUMBER(L527),M527&gt;0),L527/M527,"")</f>
        <v/>
      </c>
      <c r="O527" s="5" t="n">
        <v>91.026</v>
      </c>
      <c r="P527" s="5" t="n">
        <v>116.6</v>
      </c>
      <c r="Q527" s="5" t="n">
        <v>13</v>
      </c>
      <c r="R527" s="5" t="n">
        <v>0</v>
      </c>
      <c r="S527" s="5" t="n">
        <v>0</v>
      </c>
      <c r="T527" s="5" t="n">
        <v>0</v>
      </c>
      <c r="U527" s="5" t="n">
        <v>0</v>
      </c>
      <c r="V527" s="5" t="n">
        <v>11</v>
      </c>
      <c r="W527" s="5" t="n">
        <v>117</v>
      </c>
      <c r="X527" s="5" t="n">
        <v>3</v>
      </c>
      <c r="Y527" s="5" t="n"/>
      <c r="Z527" s="5" t="inlineStr">
        <is>
          <t>diagonals' rectangle (no closed outline drawn)</t>
        </is>
      </c>
      <c r="AA527" s="5" t="n">
        <v>2589.9</v>
      </c>
      <c r="AB527" s="5" t="n">
        <v>3325.5</v>
      </c>
      <c r="AC527" s="5" t="n">
        <v>2946.9</v>
      </c>
      <c r="AD527" s="5" t="n">
        <v>3781</v>
      </c>
      <c r="AE527" s="5" t="inlineStr"/>
      <c r="AF527" s="5">
        <f>IF(AE527="","",IF(OR(AE527=F527,AND(AE527="crane_footing",F527="isolated_footing")),"yes","no"))</f>
        <v/>
      </c>
    </row>
    <row r="528">
      <c r="A528" s="5" t="n">
        <v>527</v>
      </c>
      <c r="B528" s="5" t="inlineStr">
        <is>
          <t>126</t>
        </is>
      </c>
      <c r="C528" s="5" t="inlineStr">
        <is>
          <t>own label (region says 125)</t>
        </is>
      </c>
      <c r="D528" s="5" t="inlineStr">
        <is>
          <t>solid</t>
        </is>
      </c>
      <c r="E528" s="5" t="n">
        <v>25</v>
      </c>
      <c r="F528" s="5" t="inlineStr">
        <is>
          <t>column</t>
        </is>
      </c>
      <c r="G528" s="5" t="inlineStr">
        <is>
          <t>Column P1/126 0.80 × 0.30 m</t>
        </is>
      </c>
      <c r="H528" s="5" t="inlineStr">
        <is>
          <t>label vote</t>
        </is>
      </c>
      <c r="I528" s="5" t="inlineStr">
        <is>
          <t>P1/126</t>
        </is>
      </c>
      <c r="J528" s="5" t="inlineStr">
        <is>
          <t>printed label</t>
        </is>
      </c>
      <c r="K528" s="5" t="inlineStr">
        <is>
          <t>P1/126/126</t>
        </is>
      </c>
      <c r="L528" s="5" t="n">
        <v>80</v>
      </c>
      <c r="M528" s="5" t="n">
        <v>30</v>
      </c>
      <c r="N528" s="10">
        <f>IF(AND(ISNUMBER(L528),M528&gt;0),L528/M528,"")</f>
        <v/>
      </c>
      <c r="O528" s="5" t="n">
        <v>0.24</v>
      </c>
      <c r="P528" s="5" t="n">
        <v>116.7</v>
      </c>
      <c r="Q528" s="5" t="n">
        <v>0</v>
      </c>
      <c r="R528" s="5" t="n">
        <v>0</v>
      </c>
      <c r="S528" s="5" t="n">
        <v>0</v>
      </c>
      <c r="T528" s="5" t="n">
        <v>1</v>
      </c>
      <c r="U528" s="5" t="n">
        <v>0</v>
      </c>
      <c r="V528" s="5" t="n">
        <v>0</v>
      </c>
      <c r="W528" s="5" t="n">
        <v>0</v>
      </c>
      <c r="X528" s="5" t="n">
        <v>0</v>
      </c>
      <c r="Y528" s="5" t="n"/>
      <c r="Z528" s="5" t="inlineStr"/>
      <c r="AA528" s="5" t="n">
        <v>2841.2</v>
      </c>
      <c r="AB528" s="5" t="n">
        <v>3393.6</v>
      </c>
      <c r="AC528" s="5" t="n">
        <v>2859.7</v>
      </c>
      <c r="AD528" s="5" t="n">
        <v>3418.7</v>
      </c>
      <c r="AE528" s="5" t="inlineStr">
        <is>
          <t>column</t>
        </is>
      </c>
      <c r="AF528" s="5">
        <f>IF(AE528="","",IF(OR(AE528=F528,AND(AE528="crane_footing",F528="isolated_footing")),"yes","no"))</f>
        <v/>
      </c>
    </row>
    <row r="529">
      <c r="A529" s="5" t="n">
        <v>528</v>
      </c>
      <c r="B529" s="5" t="inlineStr">
        <is>
          <t>126</t>
        </is>
      </c>
      <c r="C529" s="5" t="inlineStr">
        <is>
          <t>own label (region says 125)</t>
        </is>
      </c>
      <c r="D529" s="5" t="inlineStr">
        <is>
          <t>solid</t>
        </is>
      </c>
      <c r="E529" s="5" t="n">
        <v>25</v>
      </c>
      <c r="F529" s="5" t="inlineStr">
        <is>
          <t>column</t>
        </is>
      </c>
      <c r="G529" s="5" t="inlineStr">
        <is>
          <t>Column P1/126 0.80 × 0.30 m</t>
        </is>
      </c>
      <c r="H529" s="5" t="inlineStr">
        <is>
          <t>label vote</t>
        </is>
      </c>
      <c r="I529" s="5" t="inlineStr">
        <is>
          <t>P1/126</t>
        </is>
      </c>
      <c r="J529" s="5" t="inlineStr">
        <is>
          <t>printed label</t>
        </is>
      </c>
      <c r="K529" s="5" t="inlineStr">
        <is>
          <t>P1/126/126</t>
        </is>
      </c>
      <c r="L529" s="5" t="n">
        <v>80</v>
      </c>
      <c r="M529" s="5" t="n">
        <v>30</v>
      </c>
      <c r="N529" s="10">
        <f>IF(AND(ISNUMBER(L529),M529&gt;0),L529/M529,"")</f>
        <v/>
      </c>
      <c r="O529" s="5" t="n">
        <v>0.24</v>
      </c>
      <c r="P529" s="5" t="n">
        <v>116.7</v>
      </c>
      <c r="Q529" s="5" t="n">
        <v>0</v>
      </c>
      <c r="R529" s="5" t="n">
        <v>0</v>
      </c>
      <c r="S529" s="5" t="n">
        <v>0</v>
      </c>
      <c r="T529" s="5" t="n">
        <v>1</v>
      </c>
      <c r="U529" s="5" t="n">
        <v>0</v>
      </c>
      <c r="V529" s="5" t="n">
        <v>0</v>
      </c>
      <c r="W529" s="5" t="n">
        <v>0</v>
      </c>
      <c r="X529" s="5" t="n">
        <v>1</v>
      </c>
      <c r="Y529" s="5" t="n"/>
      <c r="Z529" s="5" t="inlineStr"/>
      <c r="AA529" s="5" t="n">
        <v>2780.5</v>
      </c>
      <c r="AB529" s="5" t="n">
        <v>3363.1</v>
      </c>
      <c r="AC529" s="5" t="n">
        <v>2799</v>
      </c>
      <c r="AD529" s="5" t="n">
        <v>3388.2</v>
      </c>
      <c r="AE529" s="5" t="inlineStr">
        <is>
          <t>column</t>
        </is>
      </c>
      <c r="AF529" s="5">
        <f>IF(AE529="","",IF(OR(AE529=F529,AND(AE529="crane_footing",F529="isolated_footing")),"yes","no"))</f>
        <v/>
      </c>
    </row>
    <row r="530">
      <c r="A530" s="5" t="n">
        <v>529</v>
      </c>
      <c r="B530" s="5" t="inlineStr">
        <is>
          <t>126</t>
        </is>
      </c>
      <c r="C530" s="5" t="inlineStr">
        <is>
          <t>own label</t>
        </is>
      </c>
      <c r="D530" s="5" t="inlineStr">
        <is>
          <t>solid</t>
        </is>
      </c>
      <c r="E530" s="5" t="n">
        <v>38</v>
      </c>
      <c r="F530" s="5" t="inlineStr">
        <is>
          <t>shear_wall</t>
        </is>
      </c>
      <c r="G530" s="5" t="inlineStr">
        <is>
          <t>Shear wall V1/126 1.25 × 0.30 m</t>
        </is>
      </c>
      <c r="H530" s="5" t="inlineStr">
        <is>
          <t>label vote</t>
        </is>
      </c>
      <c r="I530" s="5" t="inlineStr">
        <is>
          <t>V1/126</t>
        </is>
      </c>
      <c r="J530" s="5" t="inlineStr">
        <is>
          <t>printed label</t>
        </is>
      </c>
      <c r="K530" s="5" t="inlineStr">
        <is>
          <t>V1/126/126</t>
        </is>
      </c>
      <c r="L530" s="5" t="n">
        <v>125</v>
      </c>
      <c r="M530" s="5" t="n">
        <v>30</v>
      </c>
      <c r="N530" s="10">
        <f>IF(AND(ISNUMBER(L530),M530&gt;0),L530/M530,"")</f>
        <v/>
      </c>
      <c r="O530" s="5" t="n">
        <v>0.375</v>
      </c>
      <c r="P530" s="5" t="n">
        <v>116.7</v>
      </c>
      <c r="Q530" s="5" t="n">
        <v>0</v>
      </c>
      <c r="R530" s="5" t="n">
        <v>1</v>
      </c>
      <c r="S530" s="5" t="n">
        <v>0</v>
      </c>
      <c r="T530" s="5" t="n">
        <v>0</v>
      </c>
      <c r="U530" s="5" t="n">
        <v>0</v>
      </c>
      <c r="V530" s="5" t="n">
        <v>0</v>
      </c>
      <c r="W530" s="5" t="n">
        <v>2</v>
      </c>
      <c r="X530" s="5" t="n">
        <v>3</v>
      </c>
      <c r="Y530" s="5" t="n"/>
      <c r="Z530" s="5" t="inlineStr"/>
      <c r="AA530" s="5" t="n">
        <v>2507.6</v>
      </c>
      <c r="AB530" s="5" t="n">
        <v>3073.9</v>
      </c>
      <c r="AC530" s="5" t="n">
        <v>2532.1</v>
      </c>
      <c r="AD530" s="5" t="n">
        <v>3110.9</v>
      </c>
      <c r="AE530" s="5" t="inlineStr">
        <is>
          <t>shear_wall</t>
        </is>
      </c>
      <c r="AF530" s="5">
        <f>IF(AE530="","",IF(OR(AE530=F530,AND(AE530="crane_footing",F530="isolated_footing")),"yes","no"))</f>
        <v/>
      </c>
    </row>
    <row r="531">
      <c r="A531" s="5" t="n">
        <v>530</v>
      </c>
      <c r="B531" s="5" t="inlineStr">
        <is>
          <t>126</t>
        </is>
      </c>
      <c r="C531" s="5" t="inlineStr">
        <is>
          <t>own label</t>
        </is>
      </c>
      <c r="D531" s="5" t="inlineStr">
        <is>
          <t>solid</t>
        </is>
      </c>
      <c r="E531" s="5" t="n">
        <v>33</v>
      </c>
      <c r="F531" s="5" t="inlineStr">
        <is>
          <t>shear_wall</t>
        </is>
      </c>
      <c r="G531" s="5" t="inlineStr">
        <is>
          <t>Shear wall V1/126 1.25 × 0.30 m</t>
        </is>
      </c>
      <c r="H531" s="5" t="inlineStr">
        <is>
          <t>label vote</t>
        </is>
      </c>
      <c r="I531" s="5" t="inlineStr">
        <is>
          <t>V1/126</t>
        </is>
      </c>
      <c r="J531" s="5" t="inlineStr">
        <is>
          <t>printed label</t>
        </is>
      </c>
      <c r="K531" s="5" t="inlineStr">
        <is>
          <t>V1/126/126</t>
        </is>
      </c>
      <c r="L531" s="5" t="n">
        <v>125</v>
      </c>
      <c r="M531" s="5" t="n">
        <v>30</v>
      </c>
      <c r="N531" s="10">
        <f>IF(AND(ISNUMBER(L531),M531&gt;0),L531/M531,"")</f>
        <v/>
      </c>
      <c r="O531" s="5" t="n">
        <v>0.374</v>
      </c>
      <c r="P531" s="5" t="n">
        <v>116.7</v>
      </c>
      <c r="Q531" s="5" t="n">
        <v>1</v>
      </c>
      <c r="R531" s="5" t="n">
        <v>1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2</v>
      </c>
      <c r="X531" s="5" t="n">
        <v>2</v>
      </c>
      <c r="Y531" s="5" t="n"/>
      <c r="Z531" s="5" t="inlineStr"/>
      <c r="AA531" s="5" t="n">
        <v>2399.4</v>
      </c>
      <c r="AB531" s="5" t="n">
        <v>3289.7</v>
      </c>
      <c r="AC531" s="5" t="n">
        <v>2423.8</v>
      </c>
      <c r="AD531" s="5" t="n">
        <v>3326.7</v>
      </c>
      <c r="AE531" s="5" t="inlineStr"/>
      <c r="AF531" s="5">
        <f>IF(AE531="","",IF(OR(AE531=F531,AND(AE531="crane_footing",F531="isolated_footing")),"yes","no"))</f>
        <v/>
      </c>
    </row>
    <row r="532">
      <c r="A532" s="5" t="n">
        <v>531</v>
      </c>
      <c r="B532" s="5" t="inlineStr">
        <is>
          <t>126</t>
        </is>
      </c>
      <c r="C532" s="5" t="inlineStr">
        <is>
          <t>own label</t>
        </is>
      </c>
      <c r="D532" s="5" t="inlineStr">
        <is>
          <t>solid</t>
        </is>
      </c>
      <c r="E532" s="5" t="n">
        <v>38</v>
      </c>
      <c r="F532" s="5" t="inlineStr">
        <is>
          <t>shear_wall</t>
        </is>
      </c>
      <c r="G532" s="5" t="inlineStr">
        <is>
          <t>Shear wall V3/126 2.00 × 0.30 m</t>
        </is>
      </c>
      <c r="H532" s="5" t="inlineStr">
        <is>
          <t>label vote</t>
        </is>
      </c>
      <c r="I532" s="5" t="inlineStr">
        <is>
          <t>V3/126</t>
        </is>
      </c>
      <c r="J532" s="5" t="inlineStr">
        <is>
          <t>printed label</t>
        </is>
      </c>
      <c r="K532" s="5" t="inlineStr">
        <is>
          <t>V3/126/126</t>
        </is>
      </c>
      <c r="L532" s="5" t="n">
        <v>200</v>
      </c>
      <c r="M532" s="5" t="n">
        <v>30</v>
      </c>
      <c r="N532" s="10">
        <f>IF(AND(ISNUMBER(L532),M532&gt;0),L532/M532,"")</f>
        <v/>
      </c>
      <c r="O532" s="5" t="n">
        <v>0.6</v>
      </c>
      <c r="P532" s="5" t="n">
        <v>116.6</v>
      </c>
      <c r="Q532" s="5" t="n">
        <v>0</v>
      </c>
      <c r="R532" s="5" t="n">
        <v>1</v>
      </c>
      <c r="S532" s="5" t="n">
        <v>0</v>
      </c>
      <c r="T532" s="5" t="n">
        <v>0</v>
      </c>
      <c r="U532" s="5" t="n">
        <v>0</v>
      </c>
      <c r="V532" s="5" t="n">
        <v>0</v>
      </c>
      <c r="W532" s="5" t="n">
        <v>1</v>
      </c>
      <c r="X532" s="5" t="n">
        <v>4</v>
      </c>
      <c r="Y532" s="5" t="n"/>
      <c r="Z532" s="5" t="inlineStr"/>
      <c r="AA532" s="5" t="n">
        <v>2661.4</v>
      </c>
      <c r="AB532" s="5" t="n">
        <v>3160.5</v>
      </c>
      <c r="AC532" s="5" t="n">
        <v>2695.8</v>
      </c>
      <c r="AD532" s="5" t="n">
        <v>3217.4</v>
      </c>
      <c r="AE532" s="5" t="inlineStr">
        <is>
          <t>shear_wall</t>
        </is>
      </c>
      <c r="AF532" s="5">
        <f>IF(AE532="","",IF(OR(AE532=F532,AND(AE532="crane_footing",F532="isolated_footing")),"yes","no"))</f>
        <v/>
      </c>
    </row>
    <row r="533">
      <c r="A533" s="5" t="n">
        <v>532</v>
      </c>
      <c r="B533" s="5" t="inlineStr">
        <is>
          <t>126</t>
        </is>
      </c>
      <c r="C533" s="5" t="inlineStr">
        <is>
          <t>own label</t>
        </is>
      </c>
      <c r="D533" s="5" t="inlineStr">
        <is>
          <t>solid</t>
        </is>
      </c>
      <c r="E533" s="5" t="n">
        <v>38</v>
      </c>
      <c r="F533" s="5" t="inlineStr">
        <is>
          <t>shear_wall</t>
        </is>
      </c>
      <c r="G533" s="5" t="inlineStr">
        <is>
          <t>Shear wall V4/126 2.00 × 0.30 m</t>
        </is>
      </c>
      <c r="H533" s="5" t="inlineStr">
        <is>
          <t>label vote</t>
        </is>
      </c>
      <c r="I533" s="5" t="inlineStr">
        <is>
          <t>V4/126</t>
        </is>
      </c>
      <c r="J533" s="5" t="inlineStr">
        <is>
          <t>printed label</t>
        </is>
      </c>
      <c r="K533" s="5" t="inlineStr">
        <is>
          <t>V4/126/126</t>
        </is>
      </c>
      <c r="L533" s="5" t="n">
        <v>200</v>
      </c>
      <c r="M533" s="5" t="n">
        <v>30</v>
      </c>
      <c r="N533" s="10">
        <f>IF(AND(ISNUMBER(L533),M533&gt;0),L533/M533,"")</f>
        <v/>
      </c>
      <c r="O533" s="5" t="n">
        <v>0.601</v>
      </c>
      <c r="P533" s="5" t="n">
        <v>116.6</v>
      </c>
      <c r="Q533" s="5" t="n">
        <v>0</v>
      </c>
      <c r="R533" s="5" t="n">
        <v>1</v>
      </c>
      <c r="S533" s="5" t="n">
        <v>0</v>
      </c>
      <c r="T533" s="5" t="n">
        <v>0</v>
      </c>
      <c r="U533" s="5" t="n">
        <v>0</v>
      </c>
      <c r="V533" s="5" t="n">
        <v>0</v>
      </c>
      <c r="W533" s="5" t="n">
        <v>9</v>
      </c>
      <c r="X533" s="5" t="n">
        <v>2</v>
      </c>
      <c r="Y533" s="5" t="n"/>
      <c r="Z533" s="5" t="inlineStr"/>
      <c r="AA533" s="5" t="n">
        <v>2828.1</v>
      </c>
      <c r="AB533" s="5" t="n">
        <v>3236.4</v>
      </c>
      <c r="AC533" s="5" t="n">
        <v>2862.6</v>
      </c>
      <c r="AD533" s="5" t="n">
        <v>3293.2</v>
      </c>
      <c r="AE533" s="5" t="inlineStr">
        <is>
          <t>shear_wall</t>
        </is>
      </c>
      <c r="AF533" s="5">
        <f>IF(AE533="","",IF(OR(AE533=F533,AND(AE533="crane_footing",F533="isolated_footing")),"yes","no"))</f>
        <v/>
      </c>
    </row>
    <row r="534">
      <c r="A534" s="5" t="n">
        <v>533</v>
      </c>
      <c r="B534" s="5" t="inlineStr">
        <is>
          <t>126</t>
        </is>
      </c>
      <c r="C534" s="5" t="inlineStr">
        <is>
          <t>own label</t>
        </is>
      </c>
      <c r="D534" s="5" t="inlineStr">
        <is>
          <t>solid</t>
        </is>
      </c>
      <c r="E534" s="5" t="n">
        <v>29</v>
      </c>
      <c r="F534" s="5" t="inlineStr">
        <is>
          <t>shear_wall</t>
        </is>
      </c>
      <c r="G534" s="5" t="inlineStr">
        <is>
          <t>Shear wall V5/126 2.50 × 0.30 m</t>
        </is>
      </c>
      <c r="H534" s="5" t="inlineStr">
        <is>
          <t>label vote</t>
        </is>
      </c>
      <c r="I534" s="5" t="inlineStr">
        <is>
          <t>V5/126</t>
        </is>
      </c>
      <c r="J534" s="5" t="inlineStr">
        <is>
          <t>printed label</t>
        </is>
      </c>
      <c r="K534" s="5" t="inlineStr">
        <is>
          <t>V5/126/126</t>
        </is>
      </c>
      <c r="L534" s="5" t="n">
        <v>250</v>
      </c>
      <c r="M534" s="5" t="n">
        <v>30</v>
      </c>
      <c r="N534" s="10">
        <f>IF(AND(ISNUMBER(L534),M534&gt;0),L534/M534,"")</f>
        <v/>
      </c>
      <c r="O534" s="5" t="n">
        <v>0.749</v>
      </c>
      <c r="P534" s="5" t="n">
        <v>26.6</v>
      </c>
      <c r="Q534" s="5" t="n">
        <v>1</v>
      </c>
      <c r="R534" s="5" t="n">
        <v>1</v>
      </c>
      <c r="S534" s="5" t="n">
        <v>0</v>
      </c>
      <c r="T534" s="5" t="n">
        <v>0</v>
      </c>
      <c r="U534" s="5" t="n">
        <v>1</v>
      </c>
      <c r="V534" s="5" t="n">
        <v>0</v>
      </c>
      <c r="W534" s="5" t="n">
        <v>3</v>
      </c>
      <c r="X534" s="5" t="n">
        <v>1</v>
      </c>
      <c r="Y534" s="5" t="n"/>
      <c r="Z534" s="5" t="inlineStr"/>
      <c r="AA534" s="5" t="n">
        <v>2505.6</v>
      </c>
      <c r="AB534" s="5" t="n">
        <v>3338.3</v>
      </c>
      <c r="AC534" s="5" t="n">
        <v>2575.5</v>
      </c>
      <c r="AD534" s="5" t="n">
        <v>3379.3</v>
      </c>
      <c r="AE534" s="5" t="inlineStr"/>
      <c r="AF534" s="5">
        <f>IF(AE534="","",IF(OR(AE534=F534,AND(AE534="crane_footing",F534="isolated_footing")),"yes","no"))</f>
        <v/>
      </c>
    </row>
    <row r="535">
      <c r="A535" s="5" t="n">
        <v>534</v>
      </c>
      <c r="B535" s="5" t="inlineStr">
        <is>
          <t>126</t>
        </is>
      </c>
      <c r="C535" s="5" t="inlineStr">
        <is>
          <t>own label</t>
        </is>
      </c>
      <c r="D535" s="5" t="inlineStr">
        <is>
          <t>solid</t>
        </is>
      </c>
      <c r="E535" s="5" t="n">
        <v>35</v>
      </c>
      <c r="F535" s="5" t="inlineStr">
        <is>
          <t>shear_wall</t>
        </is>
      </c>
      <c r="G535" s="5" t="inlineStr">
        <is>
          <t>Shear wall V8/126 1.25 × 0.25 m</t>
        </is>
      </c>
      <c r="H535" s="5" t="inlineStr">
        <is>
          <t>similar to cluster 31 (distance 2.05)</t>
        </is>
      </c>
      <c r="I535" s="5" t="inlineStr">
        <is>
          <t>V8/126</t>
        </is>
      </c>
      <c r="J535" s="5" t="inlineStr">
        <is>
          <t>printed label</t>
        </is>
      </c>
      <c r="K535" s="5" t="inlineStr">
        <is>
          <t>V8/126/126</t>
        </is>
      </c>
      <c r="L535" s="5" t="n">
        <v>125</v>
      </c>
      <c r="M535" s="5" t="n">
        <v>25</v>
      </c>
      <c r="N535" s="10">
        <f>IF(AND(ISNUMBER(L535),M535&gt;0),L535/M535,"")</f>
        <v/>
      </c>
      <c r="O535" s="5" t="n">
        <v>0.314</v>
      </c>
      <c r="P535" s="5" t="n">
        <v>116.7</v>
      </c>
      <c r="Q535" s="5" t="n">
        <v>0</v>
      </c>
      <c r="R535" s="5" t="n">
        <v>1</v>
      </c>
      <c r="S535" s="5" t="n">
        <v>0</v>
      </c>
      <c r="T535" s="5" t="n">
        <v>0</v>
      </c>
      <c r="U535" s="5" t="n">
        <v>1</v>
      </c>
      <c r="V535" s="5" t="n">
        <v>0</v>
      </c>
      <c r="W535" s="5" t="n">
        <v>1</v>
      </c>
      <c r="X535" s="5" t="n">
        <v>3</v>
      </c>
      <c r="Y535" s="5" t="n"/>
      <c r="Z535" s="5" t="inlineStr"/>
      <c r="AA535" s="5" t="n">
        <v>2820.6</v>
      </c>
      <c r="AB535" s="5" t="n">
        <v>2972.2</v>
      </c>
      <c r="AC535" s="5" t="n">
        <v>2843.8</v>
      </c>
      <c r="AD535" s="5" t="n">
        <v>3008.5</v>
      </c>
      <c r="AE535" s="5" t="inlineStr">
        <is>
          <t>shear_wall</t>
        </is>
      </c>
      <c r="AF535" s="5">
        <f>IF(AE535="","",IF(OR(AE535=F535,AND(AE535="crane_footing",F535="isolated_footing")),"yes","no"))</f>
        <v/>
      </c>
    </row>
    <row r="536">
      <c r="A536" s="5" t="n">
        <v>535</v>
      </c>
      <c r="B536" s="5" t="inlineStr">
        <is>
          <t>126</t>
        </is>
      </c>
      <c r="C536" s="5" t="inlineStr">
        <is>
          <t>own label</t>
        </is>
      </c>
      <c r="D536" s="5" t="inlineStr">
        <is>
          <t>solid</t>
        </is>
      </c>
      <c r="E536" s="5" t="n">
        <v>31</v>
      </c>
      <c r="F536" s="5" t="inlineStr">
        <is>
          <t>shear_wall</t>
        </is>
      </c>
      <c r="G536" s="5" t="inlineStr">
        <is>
          <t>Shear wall V8/126 1.25 × 0.25 m</t>
        </is>
      </c>
      <c r="H536" s="5" t="inlineStr">
        <is>
          <t>label vote</t>
        </is>
      </c>
      <c r="I536" s="5" t="inlineStr">
        <is>
          <t>V8/126</t>
        </is>
      </c>
      <c r="J536" s="5" t="inlineStr">
        <is>
          <t>printed label</t>
        </is>
      </c>
      <c r="K536" s="5" t="inlineStr">
        <is>
          <t>V8/126/126</t>
        </is>
      </c>
      <c r="L536" s="5" t="n">
        <v>125</v>
      </c>
      <c r="M536" s="5" t="n">
        <v>25</v>
      </c>
      <c r="N536" s="10">
        <f>IF(AND(ISNUMBER(L536),M536&gt;0),L536/M536,"")</f>
        <v/>
      </c>
      <c r="O536" s="5" t="n">
        <v>0.311</v>
      </c>
      <c r="P536" s="5" t="n">
        <v>116.6</v>
      </c>
      <c r="Q536" s="5" t="n">
        <v>0</v>
      </c>
      <c r="R536" s="5" t="n">
        <v>1</v>
      </c>
      <c r="S536" s="5" t="n">
        <v>0</v>
      </c>
      <c r="T536" s="5" t="n">
        <v>0</v>
      </c>
      <c r="U536" s="5" t="n">
        <v>0</v>
      </c>
      <c r="V536" s="5" t="n">
        <v>0</v>
      </c>
      <c r="W536" s="5" t="n">
        <v>1</v>
      </c>
      <c r="X536" s="5" t="n">
        <v>4</v>
      </c>
      <c r="Y536" s="5" t="n"/>
      <c r="Z536" s="5" t="inlineStr"/>
      <c r="AA536" s="5" t="n">
        <v>2618.1</v>
      </c>
      <c r="AB536" s="5" t="n">
        <v>2853.8</v>
      </c>
      <c r="AC536" s="5" t="n">
        <v>2641.1</v>
      </c>
      <c r="AD536" s="5" t="n">
        <v>2890.1</v>
      </c>
      <c r="AE536" s="5" t="inlineStr">
        <is>
          <t>shear_wall</t>
        </is>
      </c>
      <c r="AF536" s="5">
        <f>IF(AE536="","",IF(OR(AE536=F536,AND(AE536="crane_footing",F536="isolated_footing")),"yes","no"))</f>
        <v/>
      </c>
    </row>
    <row r="537">
      <c r="A537" s="5" t="n">
        <v>536</v>
      </c>
      <c r="B537" s="5" t="inlineStr">
        <is>
          <t>126</t>
        </is>
      </c>
      <c r="C537" s="5" t="inlineStr">
        <is>
          <t>nearest labels in its region</t>
        </is>
      </c>
      <c r="D537" s="5" t="inlineStr">
        <is>
          <t>solid</t>
        </is>
      </c>
      <c r="E537" s="5" t="n">
        <v>30</v>
      </c>
      <c r="F537" s="5" t="inlineStr">
        <is>
          <t>retaining_wall</t>
        </is>
      </c>
      <c r="G537" s="5" t="inlineStr">
        <is>
          <t>Retaining wall ~VP20 9.77 × 0.20 m</t>
        </is>
      </c>
      <c r="H537" s="5" t="inlineStr">
        <is>
          <t>rule: unlabelled wall along the building edge or on a strip footing</t>
        </is>
      </c>
      <c r="I537" s="5" t="inlineStr">
        <is>
          <t>VP20</t>
        </is>
      </c>
      <c r="J537" s="5" t="inlineStr">
        <is>
          <t>inferred: the thickness of this retaining-wall type</t>
        </is>
      </c>
      <c r="K537" s="5" t="inlineStr"/>
      <c r="L537" s="5" t="n">
        <v>977</v>
      </c>
      <c r="M537" s="5" t="n">
        <v>20</v>
      </c>
      <c r="N537" s="10">
        <f>IF(AND(ISNUMBER(L537),M537&gt;0),L537/M537,"")</f>
        <v/>
      </c>
      <c r="O537" s="5" t="n">
        <v>1.951</v>
      </c>
      <c r="P537" s="5" t="n">
        <v>26.6</v>
      </c>
      <c r="Q537" s="5" t="n">
        <v>3</v>
      </c>
      <c r="R537" s="5" t="n">
        <v>0</v>
      </c>
      <c r="S537" s="5" t="n">
        <v>0</v>
      </c>
      <c r="T537" s="5" t="n">
        <v>0</v>
      </c>
      <c r="U537" s="5" t="n">
        <v>1</v>
      </c>
      <c r="V537" s="5" t="n">
        <v>1</v>
      </c>
      <c r="W537" s="5" t="n">
        <v>10</v>
      </c>
      <c r="X537" s="5" t="n">
        <v>3</v>
      </c>
      <c r="Y537" s="5" t="n"/>
      <c r="Z537" s="5" t="inlineStr"/>
      <c r="AA537" s="5" t="n">
        <v>2411.3</v>
      </c>
      <c r="AB537" s="5" t="n">
        <v>3293.6</v>
      </c>
      <c r="AC537" s="5" t="n">
        <v>2671.8</v>
      </c>
      <c r="AD537" s="5" t="n">
        <v>3428.2</v>
      </c>
      <c r="AE537" s="5" t="inlineStr"/>
      <c r="AF537" s="5">
        <f>IF(AE537="","",IF(OR(AE537=F537,AND(AE537="crane_footing",F537="isolated_footing")),"yes","no"))</f>
        <v/>
      </c>
    </row>
    <row r="538">
      <c r="A538" s="5" t="n">
        <v>537</v>
      </c>
      <c r="B538" s="5" t="inlineStr">
        <is>
          <t>126</t>
        </is>
      </c>
      <c r="C538" s="5" t="inlineStr">
        <is>
          <t>nearest labels in its region</t>
        </is>
      </c>
      <c r="D538" s="5" t="inlineStr">
        <is>
          <t>solid</t>
        </is>
      </c>
      <c r="E538" s="5" t="n">
        <v>32</v>
      </c>
      <c r="F538" s="5" t="inlineStr">
        <is>
          <t>retaining_wall</t>
        </is>
      </c>
      <c r="G538" s="5" t="inlineStr">
        <is>
          <t>Retaining wall VP20 14.54 × 0.20 m</t>
        </is>
      </c>
      <c r="H538" s="5" t="inlineStr">
        <is>
          <t>label vote</t>
        </is>
      </c>
      <c r="I538" s="5" t="inlineStr">
        <is>
          <t>VP20</t>
        </is>
      </c>
      <c r="J538" s="5" t="inlineStr">
        <is>
          <t>printed label</t>
        </is>
      </c>
      <c r="K538" s="5" t="inlineStr">
        <is>
          <t>VP20/SF1-80x25</t>
        </is>
      </c>
      <c r="L538" s="5" t="n">
        <v>1454</v>
      </c>
      <c r="M538" s="5" t="n">
        <v>20</v>
      </c>
      <c r="N538" s="10">
        <f>IF(AND(ISNUMBER(L538),M538&gt;0),L538/M538,"")</f>
        <v/>
      </c>
      <c r="O538" s="5" t="n">
        <v>2.918</v>
      </c>
      <c r="P538" s="5" t="n">
        <v>26.6</v>
      </c>
      <c r="Q538" s="5" t="n">
        <v>1</v>
      </c>
      <c r="R538" s="5" t="n">
        <v>0</v>
      </c>
      <c r="S538" s="5" t="n">
        <v>1</v>
      </c>
      <c r="T538" s="5" t="n">
        <v>0</v>
      </c>
      <c r="U538" s="5" t="n">
        <v>1</v>
      </c>
      <c r="V538" s="5" t="n">
        <v>0</v>
      </c>
      <c r="W538" s="5" t="n">
        <v>9</v>
      </c>
      <c r="X538" s="5" t="n">
        <v>4</v>
      </c>
      <c r="Y538" s="5" t="n"/>
      <c r="Z538" s="5" t="inlineStr"/>
      <c r="AA538" s="5" t="n">
        <v>2685.7</v>
      </c>
      <c r="AB538" s="5" t="n">
        <v>2746.6</v>
      </c>
      <c r="AC538" s="5" t="n">
        <v>3072.4</v>
      </c>
      <c r="AD538" s="5" t="n">
        <v>2944</v>
      </c>
      <c r="AE538" s="5" t="inlineStr"/>
      <c r="AF538" s="5">
        <f>IF(AE538="","",IF(OR(AE538=F538,AND(AE538="crane_footing",F538="isolated_footing")),"yes","no"))</f>
        <v/>
      </c>
    </row>
    <row r="539">
      <c r="A539" s="5" t="n">
        <v>538</v>
      </c>
      <c r="B539" s="5" t="inlineStr">
        <is>
          <t>126</t>
        </is>
      </c>
      <c r="C539" s="5" t="inlineStr">
        <is>
          <t>own label</t>
        </is>
      </c>
      <c r="D539" s="5" t="inlineStr">
        <is>
          <t>outline</t>
        </is>
      </c>
      <c r="E539" s="5" t="n">
        <v>13</v>
      </c>
      <c r="F539" s="5" t="inlineStr">
        <is>
          <t>isolated_footing</t>
        </is>
      </c>
      <c r="G539" s="5" t="inlineStr">
        <is>
          <t>Isolated footing S10 4.50 × 3.00 m</t>
        </is>
      </c>
      <c r="H539" s="5" t="inlineStr">
        <is>
          <t>label vote</t>
        </is>
      </c>
      <c r="I539" s="5" t="inlineStr">
        <is>
          <t>S10</t>
        </is>
      </c>
      <c r="J539" s="5" t="inlineStr">
        <is>
          <t>printed label</t>
        </is>
      </c>
      <c r="K539" s="5" t="inlineStr">
        <is>
          <t>S10-126126</t>
        </is>
      </c>
      <c r="L539" s="5" t="n">
        <v>450</v>
      </c>
      <c r="M539" s="5" t="n">
        <v>300</v>
      </c>
      <c r="N539" s="10">
        <f>IF(AND(ISNUMBER(L539),M539&gt;0),L539/M539,"")</f>
        <v/>
      </c>
      <c r="O539" s="5" t="n">
        <v>13.5</v>
      </c>
      <c r="P539" s="5" t="n">
        <v>116.8</v>
      </c>
      <c r="Q539" s="5" t="n">
        <v>1</v>
      </c>
      <c r="R539" s="5" t="n">
        <v>0</v>
      </c>
      <c r="S539" s="5" t="n">
        <v>0</v>
      </c>
      <c r="T539" s="5" t="n">
        <v>0</v>
      </c>
      <c r="U539" s="5" t="n">
        <v>0</v>
      </c>
      <c r="V539" s="5" t="n">
        <v>1</v>
      </c>
      <c r="W539" s="5" t="n">
        <v>28</v>
      </c>
      <c r="X539" s="5" t="n">
        <v>3</v>
      </c>
      <c r="Y539" s="5" t="n"/>
      <c r="Z539" s="5" t="inlineStr"/>
      <c r="AA539" s="5" t="n">
        <v>2774.8</v>
      </c>
      <c r="AB539" s="5" t="n">
        <v>3185</v>
      </c>
      <c r="AC539" s="5" t="n">
        <v>2913.8</v>
      </c>
      <c r="AD539" s="5" t="n">
        <v>3343.5</v>
      </c>
      <c r="AE539" s="5" t="inlineStr">
        <is>
          <t>isolated_footing</t>
        </is>
      </c>
      <c r="AF539" s="5">
        <f>IF(AE539="","",IF(OR(AE539=F539,AND(AE539="crane_footing",F539="isolated_footing")),"yes","no"))</f>
        <v/>
      </c>
    </row>
    <row r="540">
      <c r="A540" s="5" t="n">
        <v>539</v>
      </c>
      <c r="B540" s="5" t="inlineStr">
        <is>
          <t>126</t>
        </is>
      </c>
      <c r="C540" s="5" t="inlineStr">
        <is>
          <t>own label</t>
        </is>
      </c>
      <c r="D540" s="5" t="inlineStr">
        <is>
          <t>outline</t>
        </is>
      </c>
      <c r="E540" s="5" t="n">
        <v>13</v>
      </c>
      <c r="F540" s="5" t="inlineStr">
        <is>
          <t>isolated_footing</t>
        </is>
      </c>
      <c r="G540" s="5" t="inlineStr">
        <is>
          <t>Isolated footing S11 5.00 × 4.00 m</t>
        </is>
      </c>
      <c r="H540" s="5" t="inlineStr">
        <is>
          <t>label vote</t>
        </is>
      </c>
      <c r="I540" s="5" t="inlineStr">
        <is>
          <t>S11</t>
        </is>
      </c>
      <c r="J540" s="5" t="inlineStr">
        <is>
          <t>printed label</t>
        </is>
      </c>
      <c r="K540" s="5" t="inlineStr">
        <is>
          <t>S11-126126</t>
        </is>
      </c>
      <c r="L540" s="5" t="n">
        <v>500</v>
      </c>
      <c r="M540" s="5" t="n">
        <v>400</v>
      </c>
      <c r="N540" s="10">
        <f>IF(AND(ISNUMBER(L540),M540&gt;0),L540/M540,"")</f>
        <v/>
      </c>
      <c r="O540" s="5" t="n">
        <v>20.003</v>
      </c>
      <c r="P540" s="5" t="n">
        <v>116.6</v>
      </c>
      <c r="Q540" s="5" t="n">
        <v>1</v>
      </c>
      <c r="R540" s="5" t="n">
        <v>0</v>
      </c>
      <c r="S540" s="5" t="n">
        <v>0</v>
      </c>
      <c r="T540" s="5" t="n">
        <v>0</v>
      </c>
      <c r="U540" s="5" t="n">
        <v>0</v>
      </c>
      <c r="V540" s="5" t="n">
        <v>1</v>
      </c>
      <c r="W540" s="5" t="n">
        <v>44</v>
      </c>
      <c r="X540" s="5" t="n">
        <v>4</v>
      </c>
      <c r="Y540" s="5" t="n"/>
      <c r="Z540" s="5" t="inlineStr"/>
      <c r="AA540" s="5" t="n">
        <v>2592.8</v>
      </c>
      <c r="AB540" s="5" t="n">
        <v>3096.5</v>
      </c>
      <c r="AC540" s="5" t="n">
        <v>2764.5</v>
      </c>
      <c r="AD540" s="5" t="n">
        <v>3281.4</v>
      </c>
      <c r="AE540" s="5" t="inlineStr">
        <is>
          <t>isolated_footing</t>
        </is>
      </c>
      <c r="AF540" s="5">
        <f>IF(AE540="","",IF(OR(AE540=F540,AND(AE540="crane_footing",F540="isolated_footing")),"yes","no"))</f>
        <v/>
      </c>
    </row>
    <row r="541">
      <c r="A541" s="5" t="n">
        <v>540</v>
      </c>
      <c r="B541" s="5" t="inlineStr">
        <is>
          <t>126</t>
        </is>
      </c>
      <c r="C541" s="5" t="inlineStr">
        <is>
          <t>own label</t>
        </is>
      </c>
      <c r="D541" s="5" t="inlineStr">
        <is>
          <t>outline</t>
        </is>
      </c>
      <c r="E541" s="5" t="n">
        <v>12</v>
      </c>
      <c r="F541" s="5" t="inlineStr">
        <is>
          <t>isolated_footing</t>
        </is>
      </c>
      <c r="G541" s="5" t="inlineStr">
        <is>
          <t>Isolated footing S2 3.50 × 2.00 m</t>
        </is>
      </c>
      <c r="H541" s="5" t="inlineStr">
        <is>
          <t>label vote</t>
        </is>
      </c>
      <c r="I541" s="5" t="inlineStr">
        <is>
          <t>S2</t>
        </is>
      </c>
      <c r="J541" s="5" t="inlineStr">
        <is>
          <t>printed label</t>
        </is>
      </c>
      <c r="K541" s="5" t="inlineStr">
        <is>
          <t>S2-126126</t>
        </is>
      </c>
      <c r="L541" s="5" t="n">
        <v>350</v>
      </c>
      <c r="M541" s="5" t="n">
        <v>200</v>
      </c>
      <c r="N541" s="10">
        <f>IF(AND(ISNUMBER(L541),M541&gt;0),L541/M541,"")</f>
        <v/>
      </c>
      <c r="O541" s="5" t="n">
        <v>6.997</v>
      </c>
      <c r="P541" s="5" t="n">
        <v>116.6</v>
      </c>
      <c r="Q541" s="5" t="n">
        <v>1</v>
      </c>
      <c r="R541" s="5" t="n">
        <v>0</v>
      </c>
      <c r="S541" s="5" t="n">
        <v>0</v>
      </c>
      <c r="T541" s="5" t="n">
        <v>0</v>
      </c>
      <c r="U541" s="5" t="n">
        <v>1</v>
      </c>
      <c r="V541" s="5" t="n">
        <v>1</v>
      </c>
      <c r="W541" s="5" t="n">
        <v>37</v>
      </c>
      <c r="X541" s="5" t="n">
        <v>4</v>
      </c>
      <c r="Y541" s="5" t="n"/>
      <c r="Z541" s="5" t="inlineStr"/>
      <c r="AA541" s="5" t="n">
        <v>2782.7</v>
      </c>
      <c r="AB541" s="5" t="n">
        <v>2930.9</v>
      </c>
      <c r="AC541" s="5" t="n">
        <v>2881.7</v>
      </c>
      <c r="AD541" s="5" t="n">
        <v>3049.8</v>
      </c>
      <c r="AE541" s="5" t="inlineStr">
        <is>
          <t>isolated_footing</t>
        </is>
      </c>
      <c r="AF541" s="5">
        <f>IF(AE541="","",IF(OR(AE541=F541,AND(AE541="crane_footing",F541="isolated_footing")),"yes","no"))</f>
        <v/>
      </c>
    </row>
    <row r="542">
      <c r="A542" s="5" t="n">
        <v>541</v>
      </c>
      <c r="B542" s="5" t="inlineStr">
        <is>
          <t>126</t>
        </is>
      </c>
      <c r="C542" s="5" t="inlineStr">
        <is>
          <t>own label</t>
        </is>
      </c>
      <c r="D542" s="5" t="inlineStr">
        <is>
          <t>outline</t>
        </is>
      </c>
      <c r="E542" s="5" t="n">
        <v>13</v>
      </c>
      <c r="F542" s="5" t="inlineStr">
        <is>
          <t>isolated_footing</t>
        </is>
      </c>
      <c r="G542" s="5" t="inlineStr">
        <is>
          <t>Isolated footing S7 4.50 × 3.50 m</t>
        </is>
      </c>
      <c r="H542" s="5" t="inlineStr">
        <is>
          <t>label vote</t>
        </is>
      </c>
      <c r="I542" s="5" t="inlineStr">
        <is>
          <t>S7</t>
        </is>
      </c>
      <c r="J542" s="5" t="inlineStr">
        <is>
          <t>printed label</t>
        </is>
      </c>
      <c r="K542" s="5" t="inlineStr">
        <is>
          <t>S7-126126</t>
        </is>
      </c>
      <c r="L542" s="5" t="n">
        <v>450</v>
      </c>
      <c r="M542" s="5" t="n">
        <v>350</v>
      </c>
      <c r="N542" s="10">
        <f>IF(AND(ISNUMBER(L542),M542&gt;0),L542/M542,"")</f>
        <v/>
      </c>
      <c r="O542" s="5" t="n">
        <v>15.747</v>
      </c>
      <c r="P542" s="5" t="n">
        <v>26.6</v>
      </c>
      <c r="Q542" s="5" t="n">
        <v>2</v>
      </c>
      <c r="R542" s="5" t="n">
        <v>0</v>
      </c>
      <c r="S542" s="5" t="n">
        <v>0</v>
      </c>
      <c r="T542" s="5" t="n">
        <v>0</v>
      </c>
      <c r="U542" s="5" t="n">
        <v>1</v>
      </c>
      <c r="V542" s="5" t="n">
        <v>1</v>
      </c>
      <c r="W542" s="5" t="n">
        <v>31</v>
      </c>
      <c r="X542" s="5" t="n">
        <v>4</v>
      </c>
      <c r="Y542" s="5" t="n"/>
      <c r="Z542" s="5" t="inlineStr"/>
      <c r="AA542" s="5" t="n">
        <v>2457.7</v>
      </c>
      <c r="AB542" s="5" t="n">
        <v>3283.5</v>
      </c>
      <c r="AC542" s="5" t="n">
        <v>2622.7</v>
      </c>
      <c r="AD542" s="5" t="n">
        <v>3435.4</v>
      </c>
      <c r="AE542" s="5" t="inlineStr">
        <is>
          <t>isolated_footing</t>
        </is>
      </c>
      <c r="AF542" s="5">
        <f>IF(AE542="","",IF(OR(AE542=F542,AND(AE542="crane_footing",F542="isolated_footing")),"yes","no"))</f>
        <v/>
      </c>
    </row>
    <row r="543">
      <c r="A543" s="5" t="n">
        <v>542</v>
      </c>
      <c r="B543" s="5" t="inlineStr">
        <is>
          <t>126</t>
        </is>
      </c>
      <c r="C543" s="5" t="inlineStr">
        <is>
          <t>nearest labels</t>
        </is>
      </c>
      <c r="D543" s="5" t="inlineStr">
        <is>
          <t>outline</t>
        </is>
      </c>
      <c r="E543" s="5" t="n">
        <v>14</v>
      </c>
      <c r="F543" s="5" t="inlineStr">
        <is>
          <t>combined_footing</t>
        </is>
      </c>
      <c r="G543" s="5" t="inlineStr">
        <is>
          <t>Combined footing SC1 5.00 × 3.50 m</t>
        </is>
      </c>
      <c r="H543" s="5" t="inlineStr">
        <is>
          <t>label vote</t>
        </is>
      </c>
      <c r="I543" s="5" t="inlineStr">
        <is>
          <t>SC1</t>
        </is>
      </c>
      <c r="J543" s="5" t="inlineStr">
        <is>
          <t>printed label</t>
        </is>
      </c>
      <c r="K543" s="5" t="inlineStr">
        <is>
          <t>SC1-</t>
        </is>
      </c>
      <c r="L543" s="5" t="n">
        <v>500</v>
      </c>
      <c r="M543" s="5" t="n">
        <v>350</v>
      </c>
      <c r="N543" s="10">
        <f>IF(AND(ISNUMBER(L543),M543&gt;0),L543/M543,"")</f>
        <v/>
      </c>
      <c r="O543" s="5" t="n">
        <v>17.502</v>
      </c>
      <c r="P543" s="5" t="n">
        <v>116.6</v>
      </c>
      <c r="Q543" s="5" t="n">
        <v>4</v>
      </c>
      <c r="R543" s="5" t="n">
        <v>0</v>
      </c>
      <c r="S543" s="5" t="n">
        <v>0</v>
      </c>
      <c r="T543" s="5" t="n">
        <v>0</v>
      </c>
      <c r="U543" s="5" t="n">
        <v>0</v>
      </c>
      <c r="V543" s="5" t="n">
        <v>2</v>
      </c>
      <c r="W543" s="5" t="n">
        <v>30</v>
      </c>
      <c r="X543" s="5" t="n">
        <v>2</v>
      </c>
      <c r="Y543" s="5" t="n"/>
      <c r="Z543" s="5" t="inlineStr"/>
      <c r="AA543" s="5" t="n">
        <v>2325.7</v>
      </c>
      <c r="AB543" s="5" t="n">
        <v>3215.8</v>
      </c>
      <c r="AC543" s="5" t="n">
        <v>2484.3</v>
      </c>
      <c r="AD543" s="5" t="n">
        <v>3394.1</v>
      </c>
      <c r="AE543" s="5" t="inlineStr">
        <is>
          <t>combined_footing</t>
        </is>
      </c>
      <c r="AF543" s="5">
        <f>IF(AE543="","",IF(OR(AE543=F543,AND(AE543="crane_footing",F543="isolated_footing")),"yes","no"))</f>
        <v/>
      </c>
    </row>
    <row r="544">
      <c r="A544" s="5" t="n">
        <v>543</v>
      </c>
      <c r="B544" s="5" t="inlineStr">
        <is>
          <t>126</t>
        </is>
      </c>
      <c r="C544" s="5" t="inlineStr">
        <is>
          <t>nearest labels</t>
        </is>
      </c>
      <c r="D544" s="5" t="inlineStr">
        <is>
          <t>outline</t>
        </is>
      </c>
      <c r="E544" s="5" t="n">
        <v>15</v>
      </c>
      <c r="F544" s="5" t="inlineStr">
        <is>
          <t>combined_footing</t>
        </is>
      </c>
      <c r="G544" s="5" t="inlineStr">
        <is>
          <t>Combined footing SC2 3.50 × 2.00 m</t>
        </is>
      </c>
      <c r="H544" s="5" t="inlineStr">
        <is>
          <t>label vote</t>
        </is>
      </c>
      <c r="I544" s="5" t="inlineStr">
        <is>
          <t>SC2</t>
        </is>
      </c>
      <c r="J544" s="5" t="inlineStr">
        <is>
          <t>printed label</t>
        </is>
      </c>
      <c r="K544" s="5" t="inlineStr">
        <is>
          <t>SC2-</t>
        </is>
      </c>
      <c r="L544" s="5" t="n">
        <v>350</v>
      </c>
      <c r="M544" s="5" t="n">
        <v>200</v>
      </c>
      <c r="N544" s="10">
        <f>IF(AND(ISNUMBER(L544),M544&gt;0),L544/M544,"")</f>
        <v/>
      </c>
      <c r="O544" s="5" t="n">
        <v>7.004</v>
      </c>
      <c r="P544" s="5" t="n">
        <v>116.6</v>
      </c>
      <c r="Q544" s="5" t="n">
        <v>2</v>
      </c>
      <c r="R544" s="5" t="n">
        <v>0</v>
      </c>
      <c r="S544" s="5" t="n">
        <v>0</v>
      </c>
      <c r="T544" s="5" t="n">
        <v>0</v>
      </c>
      <c r="U544" s="5" t="n">
        <v>1</v>
      </c>
      <c r="V544" s="5" t="n">
        <v>2</v>
      </c>
      <c r="W544" s="5" t="n">
        <v>20</v>
      </c>
      <c r="X544" s="5" t="n">
        <v>4</v>
      </c>
      <c r="Y544" s="5" t="n"/>
      <c r="Z544" s="5" t="inlineStr"/>
      <c r="AA544" s="5" t="n">
        <v>2575.5</v>
      </c>
      <c r="AB544" s="5" t="n">
        <v>2810.2</v>
      </c>
      <c r="AC544" s="5" t="n">
        <v>2674.6</v>
      </c>
      <c r="AD544" s="5" t="n">
        <v>2929.1</v>
      </c>
      <c r="AE544" s="5" t="inlineStr">
        <is>
          <t>combined_footing</t>
        </is>
      </c>
      <c r="AF544" s="5">
        <f>IF(AE544="","",IF(OR(AE544=F544,AND(AE544="crane_footing",F544="isolated_footing")),"yes","no"))</f>
        <v/>
      </c>
    </row>
    <row r="545">
      <c r="A545" s="5" t="n">
        <v>544</v>
      </c>
      <c r="B545" s="5" t="inlineStr">
        <is>
          <t>126</t>
        </is>
      </c>
      <c r="C545" s="5" t="inlineStr">
        <is>
          <t>nearest labels in its region</t>
        </is>
      </c>
      <c r="D545" s="5" t="inlineStr">
        <is>
          <t>band</t>
        </is>
      </c>
      <c r="E545" s="5" t="n">
        <v>5</v>
      </c>
      <c r="F545" s="5" t="inlineStr">
        <is>
          <t>strip_footing</t>
        </is>
      </c>
      <c r="G545" s="5" t="inlineStr">
        <is>
          <t>Strip footing SF1 2.32 × 0.80 m</t>
        </is>
      </c>
      <c r="H545" s="5" t="inlineStr">
        <is>
          <t>label vote</t>
        </is>
      </c>
      <c r="I545" s="5" t="inlineStr">
        <is>
          <t>SF1</t>
        </is>
      </c>
      <c r="J545" s="5" t="inlineStr">
        <is>
          <t>printed label</t>
        </is>
      </c>
      <c r="K545" s="5" t="inlineStr">
        <is>
          <t>VP20-SF1 80x25</t>
        </is>
      </c>
      <c r="L545" s="5" t="n">
        <v>232</v>
      </c>
      <c r="M545" s="5" t="n">
        <v>80</v>
      </c>
      <c r="N545" s="10">
        <f>IF(AND(ISNUMBER(L545),M545&gt;0),L545/M545,"")</f>
        <v/>
      </c>
      <c r="O545" s="5" t="n">
        <v>1.858</v>
      </c>
      <c r="P545" s="5" t="n">
        <v>26.6</v>
      </c>
      <c r="Q545" s="5" t="n">
        <v>2</v>
      </c>
      <c r="R545" s="5" t="n">
        <v>1</v>
      </c>
      <c r="S545" s="5" t="n">
        <v>0</v>
      </c>
      <c r="T545" s="5" t="n">
        <v>0</v>
      </c>
      <c r="U545" s="5" t="n">
        <v>0</v>
      </c>
      <c r="V545" s="5" t="n">
        <v>0</v>
      </c>
      <c r="W545" s="5" t="n">
        <v>7</v>
      </c>
      <c r="X545" s="5" t="n">
        <v>2</v>
      </c>
      <c r="Y545" s="5" t="n">
        <v>0.92</v>
      </c>
      <c r="Z545" s="5" t="inlineStr"/>
      <c r="AA545" s="5" t="n">
        <v>2414.1</v>
      </c>
      <c r="AB545" s="5" t="n">
        <v>3288.6</v>
      </c>
      <c r="AC545" s="5" t="n">
        <v>2486</v>
      </c>
      <c r="AD545" s="5" t="n">
        <v>3340.5</v>
      </c>
      <c r="AE545" s="5" t="inlineStr"/>
      <c r="AF545" s="5">
        <f>IF(AE545="","",IF(OR(AE545=F545,AND(AE545="crane_footing",F545="isolated_footing")),"yes","no"))</f>
        <v/>
      </c>
    </row>
    <row r="546">
      <c r="A546" s="5" t="n">
        <v>545</v>
      </c>
      <c r="B546" s="5" t="inlineStr">
        <is>
          <t>126</t>
        </is>
      </c>
      <c r="C546" s="5" t="inlineStr">
        <is>
          <t>nearest labels in its region</t>
        </is>
      </c>
      <c r="D546" s="5" t="inlineStr">
        <is>
          <t>band</t>
        </is>
      </c>
      <c r="E546" s="5" t="n">
        <v>3</v>
      </c>
      <c r="F546" s="5" t="inlineStr">
        <is>
          <t>grade_beam</t>
        </is>
      </c>
      <c r="G546" s="5" t="inlineStr">
        <is>
          <t>Grade beam LG40x15 21.86 × 0.40 m</t>
        </is>
      </c>
      <c r="H546" s="5" t="inlineStr">
        <is>
          <t>label vote</t>
        </is>
      </c>
      <c r="I546" s="5" t="inlineStr">
        <is>
          <t>LG40x15</t>
        </is>
      </c>
      <c r="J546" s="5" t="inlineStr">
        <is>
          <t>printed label</t>
        </is>
      </c>
      <c r="K546" s="5" t="inlineStr">
        <is>
          <t>LG-40x15</t>
        </is>
      </c>
      <c r="L546" s="5" t="n">
        <v>2186</v>
      </c>
      <c r="M546" s="5" t="n">
        <v>40</v>
      </c>
      <c r="N546" s="10">
        <f>IF(AND(ISNUMBER(L546),M546&gt;0),L546/M546,"")</f>
        <v/>
      </c>
      <c r="O546" s="5" t="n">
        <v>8.742000000000001</v>
      </c>
      <c r="P546" s="5" t="n">
        <v>97.7</v>
      </c>
      <c r="Q546" s="5" t="n">
        <v>6</v>
      </c>
      <c r="R546" s="5" t="n">
        <v>0</v>
      </c>
      <c r="S546" s="5" t="n">
        <v>0</v>
      </c>
      <c r="T546" s="5" t="n">
        <v>0</v>
      </c>
      <c r="U546" s="5" t="n">
        <v>0</v>
      </c>
      <c r="V546" s="5" t="n">
        <v>3</v>
      </c>
      <c r="W546" s="5" t="n">
        <v>36</v>
      </c>
      <c r="X546" s="5" t="n">
        <v>6</v>
      </c>
      <c r="Y546" s="5" t="n">
        <v>9.75</v>
      </c>
      <c r="Z546" s="5" t="inlineStr"/>
      <c r="AA546" s="5" t="n">
        <v>2981.6</v>
      </c>
      <c r="AB546" s="5" t="n">
        <v>2938.4</v>
      </c>
      <c r="AC546" s="5" t="n">
        <v>3080.3</v>
      </c>
      <c r="AD546" s="5" t="n">
        <v>3579.4</v>
      </c>
      <c r="AE546" s="5" t="inlineStr"/>
      <c r="AF546" s="5">
        <f>IF(AE546="","",IF(OR(AE546=F546,AND(AE546="crane_footing",F546="isolated_footing")),"yes","no"))</f>
        <v/>
      </c>
    </row>
    <row r="547">
      <c r="A547" s="5" t="n">
        <v>546</v>
      </c>
      <c r="B547" s="5" t="inlineStr">
        <is>
          <t>126</t>
        </is>
      </c>
      <c r="C547" s="5" t="inlineStr">
        <is>
          <t>nearest labels in its region</t>
        </is>
      </c>
      <c r="D547" s="5" t="inlineStr">
        <is>
          <t>band</t>
        </is>
      </c>
      <c r="E547" s="5" t="n">
        <v>3</v>
      </c>
      <c r="F547" s="5" t="inlineStr">
        <is>
          <t>grade_beam</t>
        </is>
      </c>
      <c r="G547" s="5" t="inlineStr">
        <is>
          <t>Grade beam LG40x15 20.47 × 0.40 m</t>
        </is>
      </c>
      <c r="H547" s="5" t="inlineStr">
        <is>
          <t>label vote</t>
        </is>
      </c>
      <c r="I547" s="5" t="inlineStr">
        <is>
          <t>LG40x15</t>
        </is>
      </c>
      <c r="J547" s="5" t="inlineStr">
        <is>
          <t>printed label</t>
        </is>
      </c>
      <c r="K547" s="5" t="inlineStr">
        <is>
          <t>LG-40x15</t>
        </is>
      </c>
      <c r="L547" s="5" t="n">
        <v>2047</v>
      </c>
      <c r="M547" s="5" t="n">
        <v>40</v>
      </c>
      <c r="N547" s="10">
        <f>IF(AND(ISNUMBER(L547),M547&gt;0),L547/M547,"")</f>
        <v/>
      </c>
      <c r="O547" s="5" t="n">
        <v>8.188000000000001</v>
      </c>
      <c r="P547" s="5" t="n">
        <v>116.6</v>
      </c>
      <c r="Q547" s="5" t="n">
        <v>4</v>
      </c>
      <c r="R547" s="5" t="n">
        <v>0</v>
      </c>
      <c r="S547" s="5" t="n">
        <v>0</v>
      </c>
      <c r="T547" s="5" t="n">
        <v>0</v>
      </c>
      <c r="U547" s="5" t="n">
        <v>0</v>
      </c>
      <c r="V547" s="5" t="n">
        <v>2</v>
      </c>
      <c r="W547" s="5" t="n">
        <v>13</v>
      </c>
      <c r="X547" s="5" t="n">
        <v>7</v>
      </c>
      <c r="Y547" s="5" t="n">
        <v>9.960000000000001</v>
      </c>
      <c r="Z547" s="5" t="inlineStr"/>
      <c r="AA547" s="5" t="n">
        <v>2414.1</v>
      </c>
      <c r="AB547" s="5" t="n">
        <v>2753</v>
      </c>
      <c r="AC547" s="5" t="n">
        <v>2695.7</v>
      </c>
      <c r="AD547" s="5" t="n">
        <v>3298.5</v>
      </c>
      <c r="AE547" s="5" t="inlineStr"/>
      <c r="AF547" s="5">
        <f>IF(AE547="","",IF(OR(AE547=F547,AND(AE547="crane_footing",F547="isolated_footing")),"yes","no"))</f>
        <v/>
      </c>
    </row>
    <row r="548">
      <c r="A548" s="5" t="n">
        <v>547</v>
      </c>
      <c r="B548" s="5" t="inlineStr">
        <is>
          <t>126</t>
        </is>
      </c>
      <c r="C548" s="5" t="inlineStr">
        <is>
          <t>nearest labels in its region</t>
        </is>
      </c>
      <c r="D548" s="5" t="inlineStr">
        <is>
          <t>band</t>
        </is>
      </c>
      <c r="E548" s="5" t="n">
        <v>3</v>
      </c>
      <c r="F548" s="5" t="inlineStr">
        <is>
          <t>grade_beam</t>
        </is>
      </c>
      <c r="G548" s="5" t="inlineStr">
        <is>
          <t>Grade beam LG40x15 18.68 × 0.40 m</t>
        </is>
      </c>
      <c r="H548" s="5" t="inlineStr">
        <is>
          <t>label vote</t>
        </is>
      </c>
      <c r="I548" s="5" t="inlineStr">
        <is>
          <t>LG40x15</t>
        </is>
      </c>
      <c r="J548" s="5" t="inlineStr">
        <is>
          <t>printed label</t>
        </is>
      </c>
      <c r="K548" s="5" t="inlineStr">
        <is>
          <t>LG-40x15</t>
        </is>
      </c>
      <c r="L548" s="5" t="n">
        <v>1868</v>
      </c>
      <c r="M548" s="5" t="n">
        <v>40</v>
      </c>
      <c r="N548" s="10">
        <f>IF(AND(ISNUMBER(L548),M548&gt;0),L548/M548,"")</f>
        <v/>
      </c>
      <c r="O548" s="5" t="n">
        <v>7.471</v>
      </c>
      <c r="P548" s="5" t="n">
        <v>26.6</v>
      </c>
      <c r="Q548" s="5" t="n">
        <v>3</v>
      </c>
      <c r="R548" s="5" t="n">
        <v>0</v>
      </c>
      <c r="S548" s="5" t="n">
        <v>0</v>
      </c>
      <c r="T548" s="5" t="n">
        <v>0</v>
      </c>
      <c r="U548" s="5" t="n">
        <v>0</v>
      </c>
      <c r="V548" s="5" t="n">
        <v>0</v>
      </c>
      <c r="W548" s="5" t="n">
        <v>5</v>
      </c>
      <c r="X548" s="5" t="n">
        <v>5</v>
      </c>
      <c r="Y548" s="5" t="n">
        <v>8.43</v>
      </c>
      <c r="Z548" s="5" t="inlineStr"/>
      <c r="AA548" s="5" t="n">
        <v>2514.9</v>
      </c>
      <c r="AB548" s="5" t="n">
        <v>3098.4</v>
      </c>
      <c r="AC548" s="5" t="n">
        <v>3013.1</v>
      </c>
      <c r="AD548" s="5" t="n">
        <v>3356.2</v>
      </c>
      <c r="AE548" s="5" t="inlineStr"/>
      <c r="AF548" s="5">
        <f>IF(AE548="","",IF(OR(AE548=F548,AND(AE548="crane_footing",F548="isolated_footing")),"yes","no"))</f>
        <v/>
      </c>
    </row>
    <row r="549">
      <c r="A549" s="5" t="n">
        <v>548</v>
      </c>
      <c r="B549" s="5" t="inlineStr">
        <is>
          <t>126</t>
        </is>
      </c>
      <c r="C549" s="5" t="inlineStr">
        <is>
          <t>nearest labels in its region</t>
        </is>
      </c>
      <c r="D549" s="5" t="inlineStr">
        <is>
          <t>band</t>
        </is>
      </c>
      <c r="E549" s="5" t="n">
        <v>3</v>
      </c>
      <c r="F549" s="5" t="inlineStr">
        <is>
          <t>grade_beam</t>
        </is>
      </c>
      <c r="G549" s="5" t="inlineStr">
        <is>
          <t>Grade beam LG40x15 15.40 × 0.40 m</t>
        </is>
      </c>
      <c r="H549" s="5" t="inlineStr">
        <is>
          <t>label vote</t>
        </is>
      </c>
      <c r="I549" s="5" t="inlineStr">
        <is>
          <t>LG40x15</t>
        </is>
      </c>
      <c r="J549" s="5" t="inlineStr">
        <is>
          <t>printed label</t>
        </is>
      </c>
      <c r="K549" s="5" t="inlineStr">
        <is>
          <t>LG-40x15</t>
        </is>
      </c>
      <c r="L549" s="5" t="n">
        <v>1540</v>
      </c>
      <c r="M549" s="5" t="n">
        <v>40</v>
      </c>
      <c r="N549" s="10">
        <f>IF(AND(ISNUMBER(L549),M549&gt;0),L549/M549,"")</f>
        <v/>
      </c>
      <c r="O549" s="5" t="n">
        <v>6.161</v>
      </c>
      <c r="P549" s="5" t="n">
        <v>116.6</v>
      </c>
      <c r="Q549" s="5" t="n">
        <v>2</v>
      </c>
      <c r="R549" s="5" t="n">
        <v>0</v>
      </c>
      <c r="S549" s="5" t="n">
        <v>0</v>
      </c>
      <c r="T549" s="5" t="n">
        <v>0</v>
      </c>
      <c r="U549" s="5" t="n">
        <v>0</v>
      </c>
      <c r="V549" s="5" t="n">
        <v>1</v>
      </c>
      <c r="W549" s="5" t="n">
        <v>29</v>
      </c>
      <c r="X549" s="5" t="n">
        <v>4</v>
      </c>
      <c r="Y549" s="5" t="n">
        <v>8.74</v>
      </c>
      <c r="Z549" s="5" t="inlineStr"/>
      <c r="AA549" s="5" t="n">
        <v>2578.4</v>
      </c>
      <c r="AB549" s="5" t="n">
        <v>2969.1</v>
      </c>
      <c r="AC549" s="5" t="n">
        <v>2792.8</v>
      </c>
      <c r="AD549" s="5" t="n">
        <v>3380.9</v>
      </c>
      <c r="AE549" s="5" t="inlineStr"/>
      <c r="AF549" s="5">
        <f>IF(AE549="","",IF(OR(AE549=F549,AND(AE549="crane_footing",F549="isolated_footing")),"yes","no"))</f>
        <v/>
      </c>
    </row>
    <row r="550">
      <c r="A550" s="5" t="n">
        <v>549</v>
      </c>
      <c r="B550" s="5" t="inlineStr">
        <is>
          <t>126</t>
        </is>
      </c>
      <c r="C550" s="5" t="inlineStr">
        <is>
          <t>nearest labels in its region</t>
        </is>
      </c>
      <c r="D550" s="5" t="inlineStr">
        <is>
          <t>band</t>
        </is>
      </c>
      <c r="E550" s="5" t="n">
        <v>3</v>
      </c>
      <c r="F550" s="5" t="inlineStr">
        <is>
          <t>grade_beam</t>
        </is>
      </c>
      <c r="G550" s="5" t="inlineStr">
        <is>
          <t>Grade beam LG40x15 7.93 × 0.40 m</t>
        </is>
      </c>
      <c r="H550" s="5" t="inlineStr">
        <is>
          <t>label vote</t>
        </is>
      </c>
      <c r="I550" s="5" t="inlineStr">
        <is>
          <t>LG40x15</t>
        </is>
      </c>
      <c r="J550" s="5" t="inlineStr">
        <is>
          <t>printed label</t>
        </is>
      </c>
      <c r="K550" s="5" t="inlineStr">
        <is>
          <t>LG-40x15</t>
        </is>
      </c>
      <c r="L550" s="5" t="n">
        <v>793</v>
      </c>
      <c r="M550" s="5" t="n">
        <v>40</v>
      </c>
      <c r="N550" s="10">
        <f>IF(AND(ISNUMBER(L550),M550&gt;0),L550/M550,"")</f>
        <v/>
      </c>
      <c r="O550" s="5" t="n">
        <v>3.171</v>
      </c>
      <c r="P550" s="5" t="n">
        <v>21.5</v>
      </c>
      <c r="Q550" s="5" t="n">
        <v>2</v>
      </c>
      <c r="R550" s="5" t="n">
        <v>0</v>
      </c>
      <c r="S550" s="5" t="n">
        <v>0</v>
      </c>
      <c r="T550" s="5" t="n">
        <v>0</v>
      </c>
      <c r="U550" s="5" t="n">
        <v>0</v>
      </c>
      <c r="V550" s="5" t="n">
        <v>0</v>
      </c>
      <c r="W550" s="5" t="n">
        <v>35</v>
      </c>
      <c r="X550" s="5" t="n">
        <v>4</v>
      </c>
      <c r="Y550" s="5" t="n">
        <v>5.61</v>
      </c>
      <c r="Z550" s="5" t="inlineStr"/>
      <c r="AA550" s="5" t="n">
        <v>2830</v>
      </c>
      <c r="AB550" s="5" t="n">
        <v>2994.4</v>
      </c>
      <c r="AC550" s="5" t="n">
        <v>3052.1</v>
      </c>
      <c r="AD550" s="5" t="n">
        <v>3091.1</v>
      </c>
      <c r="AE550" s="5" t="inlineStr"/>
      <c r="AF550" s="5">
        <f>IF(AE550="","",IF(OR(AE550=F550,AND(AE550="crane_footing",F550="isolated_footing")),"yes","no"))</f>
        <v/>
      </c>
    </row>
    <row r="551">
      <c r="A551" s="5" t="n">
        <v>550</v>
      </c>
      <c r="B551" s="5" t="inlineStr">
        <is>
          <t>126</t>
        </is>
      </c>
      <c r="C551" s="5" t="inlineStr">
        <is>
          <t>nearest labels in its region</t>
        </is>
      </c>
      <c r="D551" s="5" t="inlineStr">
        <is>
          <t>band</t>
        </is>
      </c>
      <c r="E551" s="5" t="n">
        <v>3</v>
      </c>
      <c r="F551" s="5" t="inlineStr">
        <is>
          <t>grade_beam</t>
        </is>
      </c>
      <c r="G551" s="5" t="inlineStr">
        <is>
          <t>Grade beam LG40x15 7.87 × 0.40 m</t>
        </is>
      </c>
      <c r="H551" s="5" t="inlineStr">
        <is>
          <t>label vote</t>
        </is>
      </c>
      <c r="I551" s="5" t="inlineStr">
        <is>
          <t>LG40x15</t>
        </is>
      </c>
      <c r="J551" s="5" t="inlineStr">
        <is>
          <t>printed label</t>
        </is>
      </c>
      <c r="K551" s="5" t="inlineStr">
        <is>
          <t>LG-40x15</t>
        </is>
      </c>
      <c r="L551" s="5" t="n">
        <v>787</v>
      </c>
      <c r="M551" s="5" t="n">
        <v>40</v>
      </c>
      <c r="N551" s="10">
        <f>IF(AND(ISNUMBER(L551),M551&gt;0),L551/M551,"")</f>
        <v/>
      </c>
      <c r="O551" s="5" t="n">
        <v>3.148</v>
      </c>
      <c r="P551" s="5" t="n">
        <v>116.6</v>
      </c>
      <c r="Q551" s="5" t="n">
        <v>1</v>
      </c>
      <c r="R551" s="5" t="n">
        <v>0</v>
      </c>
      <c r="S551" s="5" t="n">
        <v>0</v>
      </c>
      <c r="T551" s="5" t="n">
        <v>0</v>
      </c>
      <c r="U551" s="5" t="n">
        <v>0</v>
      </c>
      <c r="V551" s="5" t="n">
        <v>0</v>
      </c>
      <c r="W551" s="5" t="n">
        <v>18</v>
      </c>
      <c r="X551" s="5" t="n">
        <v>2</v>
      </c>
      <c r="Y551" s="5" t="n">
        <v>5.65</v>
      </c>
      <c r="Z551" s="5" t="inlineStr"/>
      <c r="AA551" s="5" t="n">
        <v>2840.8</v>
      </c>
      <c r="AB551" s="5" t="n">
        <v>3051.4</v>
      </c>
      <c r="AC551" s="5" t="n">
        <v>2955.5</v>
      </c>
      <c r="AD551" s="5" t="n">
        <v>3264.4</v>
      </c>
      <c r="AE551" s="5" t="inlineStr"/>
      <c r="AF551" s="5">
        <f>IF(AE551="","",IF(OR(AE551=F551,AND(AE551="crane_footing",F551="isolated_footing")),"yes","no"))</f>
        <v/>
      </c>
    </row>
    <row r="552">
      <c r="A552" s="5" t="n">
        <v>551</v>
      </c>
      <c r="B552" s="5" t="inlineStr">
        <is>
          <t>126</t>
        </is>
      </c>
      <c r="C552" s="5" t="inlineStr">
        <is>
          <t>nearest labels in its region</t>
        </is>
      </c>
      <c r="D552" s="5" t="inlineStr">
        <is>
          <t>band</t>
        </is>
      </c>
      <c r="E552" s="5" t="n">
        <v>3</v>
      </c>
      <c r="F552" s="5" t="inlineStr">
        <is>
          <t>grade_beam</t>
        </is>
      </c>
      <c r="G552" s="5" t="inlineStr">
        <is>
          <t>Grade beam LG40x15 7.81 × 0.40 m</t>
        </is>
      </c>
      <c r="H552" s="5" t="inlineStr">
        <is>
          <t>label vote</t>
        </is>
      </c>
      <c r="I552" s="5" t="inlineStr">
        <is>
          <t>LG40x15</t>
        </is>
      </c>
      <c r="J552" s="5" t="inlineStr">
        <is>
          <t>printed label</t>
        </is>
      </c>
      <c r="K552" s="5" t="inlineStr">
        <is>
          <t>LG-40x15</t>
        </is>
      </c>
      <c r="L552" s="5" t="n">
        <v>781</v>
      </c>
      <c r="M552" s="5" t="n">
        <v>40</v>
      </c>
      <c r="N552" s="10">
        <f>IF(AND(ISNUMBER(L552),M552&gt;0),L552/M552,"")</f>
        <v/>
      </c>
      <c r="O552" s="5" t="n">
        <v>3.123</v>
      </c>
      <c r="P552" s="5" t="n">
        <v>26.6</v>
      </c>
      <c r="Q552" s="5" t="n">
        <v>2</v>
      </c>
      <c r="R552" s="5" t="n">
        <v>0</v>
      </c>
      <c r="S552" s="5" t="n">
        <v>0</v>
      </c>
      <c r="T552" s="5" t="n">
        <v>0</v>
      </c>
      <c r="U552" s="5" t="n">
        <v>0</v>
      </c>
      <c r="V552" s="5" t="n">
        <v>0</v>
      </c>
      <c r="W552" s="5" t="n">
        <v>4</v>
      </c>
      <c r="X552" s="5" t="n">
        <v>5</v>
      </c>
      <c r="Y552" s="5" t="n">
        <v>6.1</v>
      </c>
      <c r="Z552" s="5" t="inlineStr"/>
      <c r="AA552" s="5" t="n">
        <v>2624.6</v>
      </c>
      <c r="AB552" s="5" t="n">
        <v>2879.5</v>
      </c>
      <c r="AC552" s="5" t="n">
        <v>2836</v>
      </c>
      <c r="AD552" s="5" t="n">
        <v>2993.4</v>
      </c>
      <c r="AE552" s="5" t="inlineStr"/>
      <c r="AF552" s="5">
        <f>IF(AE552="","",IF(OR(AE552=F552,AND(AE552="crane_footing",F552="isolated_footing")),"yes","no"))</f>
        <v/>
      </c>
    </row>
    <row r="553">
      <c r="A553" s="5" t="n">
        <v>552</v>
      </c>
      <c r="B553" s="5" t="inlineStr">
        <is>
          <t>126</t>
        </is>
      </c>
      <c r="C553" s="5" t="inlineStr">
        <is>
          <t>nearest labels in its region</t>
        </is>
      </c>
      <c r="D553" s="5" t="inlineStr">
        <is>
          <t>band</t>
        </is>
      </c>
      <c r="E553" s="5" t="n">
        <v>3</v>
      </c>
      <c r="F553" s="5" t="inlineStr">
        <is>
          <t>grade_beam</t>
        </is>
      </c>
      <c r="G553" s="5" t="inlineStr">
        <is>
          <t>Grade beam LG40x15 5.03 × 0.40 m</t>
        </is>
      </c>
      <c r="H553" s="5" t="inlineStr">
        <is>
          <t>label vote</t>
        </is>
      </c>
      <c r="I553" s="5" t="inlineStr">
        <is>
          <t>LG40x15</t>
        </is>
      </c>
      <c r="J553" s="5" t="inlineStr">
        <is>
          <t>printed label</t>
        </is>
      </c>
      <c r="K553" s="5" t="inlineStr">
        <is>
          <t>LG-40x15</t>
        </is>
      </c>
      <c r="L553" s="5" t="n">
        <v>503</v>
      </c>
      <c r="M553" s="5" t="n">
        <v>40</v>
      </c>
      <c r="N553" s="10">
        <f>IF(AND(ISNUMBER(L553),M553&gt;0),L553/M553,"")</f>
        <v/>
      </c>
      <c r="O553" s="5" t="n">
        <v>2.014</v>
      </c>
      <c r="P553" s="5" t="n">
        <v>116.6</v>
      </c>
      <c r="Q553" s="5" t="n">
        <v>1</v>
      </c>
      <c r="R553" s="5" t="n">
        <v>0</v>
      </c>
      <c r="S553" s="5" t="n">
        <v>0</v>
      </c>
      <c r="T553" s="5" t="n">
        <v>0</v>
      </c>
      <c r="U553" s="5" t="n">
        <v>0</v>
      </c>
      <c r="V553" s="5" t="n">
        <v>1</v>
      </c>
      <c r="W553" s="5" t="n">
        <v>5</v>
      </c>
      <c r="X553" s="5" t="n">
        <v>2</v>
      </c>
      <c r="Y553" s="5" t="n">
        <v>3.2</v>
      </c>
      <c r="Z553" s="5" t="inlineStr"/>
      <c r="AA553" s="5" t="n">
        <v>2825.8</v>
      </c>
      <c r="AB553" s="5" t="n">
        <v>2857.1</v>
      </c>
      <c r="AC553" s="5" t="n">
        <v>2903</v>
      </c>
      <c r="AD553" s="5" t="n">
        <v>2995.2</v>
      </c>
      <c r="AE553" s="5" t="inlineStr"/>
      <c r="AF553" s="5">
        <f>IF(AE553="","",IF(OR(AE553=F553,AND(AE553="crane_footing",F553="isolated_footing")),"yes","no"))</f>
        <v/>
      </c>
    </row>
    <row r="554">
      <c r="A554" s="5" t="n">
        <v>553</v>
      </c>
      <c r="B554" s="5" t="inlineStr">
        <is>
          <t>126</t>
        </is>
      </c>
      <c r="C554" s="5" t="inlineStr">
        <is>
          <t>nearest labels in its region</t>
        </is>
      </c>
      <c r="D554" s="5" t="inlineStr">
        <is>
          <t>outline</t>
        </is>
      </c>
      <c r="E554" s="5" t="n">
        <v>11</v>
      </c>
      <c r="F554" s="5" t="inlineStr">
        <is>
          <t>sump_pit</t>
        </is>
      </c>
      <c r="G554" s="5" t="inlineStr">
        <is>
          <t>Sump pit Fosse 2.90 × 2.40 m</t>
        </is>
      </c>
      <c r="H554" s="5" t="inlineStr">
        <is>
          <t>label vote</t>
        </is>
      </c>
      <c r="I554" s="5" t="inlineStr">
        <is>
          <t>Fosse</t>
        </is>
      </c>
      <c r="J554" s="5" t="inlineStr">
        <is>
          <t>printed label</t>
        </is>
      </c>
      <c r="K554" s="5" t="inlineStr">
        <is>
          <t>FOSSE DE RELEVAGE2.00x1.50x1.50</t>
        </is>
      </c>
      <c r="L554" s="5" t="n">
        <v>290</v>
      </c>
      <c r="M554" s="5" t="n">
        <v>240</v>
      </c>
      <c r="N554" s="10">
        <f>IF(AND(ISNUMBER(L554),M554&gt;0),L554/M554,"")</f>
        <v/>
      </c>
      <c r="O554" s="5" t="n">
        <v>6.962</v>
      </c>
      <c r="P554" s="5" t="n">
        <v>26.6</v>
      </c>
      <c r="Q554" s="5" t="n">
        <v>1</v>
      </c>
      <c r="R554" s="5" t="n">
        <v>0</v>
      </c>
      <c r="S554" s="5" t="n">
        <v>0</v>
      </c>
      <c r="T554" s="5" t="n">
        <v>0</v>
      </c>
      <c r="U554" s="5" t="n">
        <v>0</v>
      </c>
      <c r="V554" s="5" t="n">
        <v>0</v>
      </c>
      <c r="W554" s="5" t="n">
        <v>45</v>
      </c>
      <c r="X554" s="5" t="n">
        <v>2</v>
      </c>
      <c r="Y554" s="5" t="n"/>
      <c r="Z554" s="5" t="inlineStr"/>
      <c r="AA554" s="5" t="n">
        <v>2588.1</v>
      </c>
      <c r="AB554" s="5" t="n">
        <v>3332.5</v>
      </c>
      <c r="AC554" s="5" t="n">
        <v>2696.4</v>
      </c>
      <c r="AD554" s="5" t="n">
        <v>3434.2</v>
      </c>
      <c r="AE554" s="5" t="inlineStr"/>
      <c r="AF554" s="5">
        <f>IF(AE554="","",IF(OR(AE554=F554,AND(AE554="crane_footing",F554="isolated_footing")),"yes","no"))</f>
        <v/>
      </c>
    </row>
    <row r="555">
      <c r="A555" s="5" t="n">
        <v>554</v>
      </c>
      <c r="B555" s="5" t="inlineStr">
        <is>
          <t>126</t>
        </is>
      </c>
      <c r="C555" s="5" t="inlineStr">
        <is>
          <t>nearest labels in its region</t>
        </is>
      </c>
      <c r="D555" s="5" t="inlineStr">
        <is>
          <t>outline</t>
        </is>
      </c>
      <c r="E555" s="5" t="n">
        <v>20</v>
      </c>
      <c r="F555" s="5" t="inlineStr">
        <is>
          <t>unidentified</t>
        </is>
      </c>
      <c r="G555" s="5" t="inlineStr">
        <is>
          <t>C20</t>
        </is>
      </c>
      <c r="H555" s="5" t="inlineStr">
        <is>
          <t>no label votes</t>
        </is>
      </c>
      <c r="I555" s="5" t="inlineStr">
        <is>
          <t>(none)</t>
        </is>
      </c>
      <c r="J555" s="5" t="inlineStr"/>
      <c r="K555" s="5" t="inlineStr"/>
      <c r="L555" s="5" t="n">
        <v>60</v>
      </c>
      <c r="M555" s="5" t="n">
        <v>60</v>
      </c>
      <c r="N555" s="10">
        <f>IF(AND(ISNUMBER(L555),M555&gt;0),L555/M555,"")</f>
        <v/>
      </c>
      <c r="O555" s="5" t="n">
        <v>0.361</v>
      </c>
      <c r="P555" s="5" t="n">
        <v>21.4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0</v>
      </c>
      <c r="V555" s="5" t="n">
        <v>0</v>
      </c>
      <c r="W555" s="5" t="n">
        <v>52</v>
      </c>
      <c r="X555" s="5" t="n">
        <v>2</v>
      </c>
      <c r="Y555" s="5" t="n"/>
      <c r="Z555" s="5" t="inlineStr"/>
      <c r="AA555" s="5" t="n">
        <v>2939.2</v>
      </c>
      <c r="AB555" s="5" t="n">
        <v>3035.6</v>
      </c>
      <c r="AC555" s="5" t="n">
        <v>2962.3</v>
      </c>
      <c r="AD555" s="5" t="n">
        <v>3058.6</v>
      </c>
      <c r="AE555" s="5" t="inlineStr">
        <is>
          <t>mass_concrete_pad</t>
        </is>
      </c>
      <c r="AF555" s="5">
        <f>IF(AE555="","",IF(OR(AE555=F555,AND(AE555="crane_footing",F555="isolated_footing")),"yes","no"))</f>
        <v/>
      </c>
    </row>
    <row r="556">
      <c r="A556" s="5" t="n">
        <v>555</v>
      </c>
      <c r="B556" s="5" t="inlineStr">
        <is>
          <t>127</t>
        </is>
      </c>
      <c r="C556" s="5" t="inlineStr">
        <is>
          <t>own label</t>
        </is>
      </c>
      <c r="D556" s="5" t="inlineStr">
        <is>
          <t>solid</t>
        </is>
      </c>
      <c r="E556" s="5" t="n">
        <v>25</v>
      </c>
      <c r="F556" s="5" t="inlineStr">
        <is>
          <t>column</t>
        </is>
      </c>
      <c r="G556" s="5" t="inlineStr">
        <is>
          <t>Column P1/127 1.00 × 0.25 m</t>
        </is>
      </c>
      <c r="H556" s="5" t="inlineStr">
        <is>
          <t>label vote</t>
        </is>
      </c>
      <c r="I556" s="5" t="inlineStr">
        <is>
          <t>P1/127</t>
        </is>
      </c>
      <c r="J556" s="5" t="inlineStr">
        <is>
          <t>printed label</t>
        </is>
      </c>
      <c r="K556" s="5" t="inlineStr">
        <is>
          <t>P1/127/127</t>
        </is>
      </c>
      <c r="L556" s="5" t="n">
        <v>100</v>
      </c>
      <c r="M556" s="5" t="n">
        <v>25</v>
      </c>
      <c r="N556" s="10">
        <f>IF(AND(ISNUMBER(L556),M556&gt;0),L556/M556,"")</f>
        <v/>
      </c>
      <c r="O556" s="5" t="n">
        <v>0.251</v>
      </c>
      <c r="P556" s="5" t="n">
        <v>116.7</v>
      </c>
      <c r="Q556" s="5" t="n">
        <v>0</v>
      </c>
      <c r="R556" s="5" t="n">
        <v>1</v>
      </c>
      <c r="S556" s="5" t="n">
        <v>0</v>
      </c>
      <c r="T556" s="5" t="n">
        <v>0</v>
      </c>
      <c r="U556" s="5" t="n">
        <v>0</v>
      </c>
      <c r="V556" s="5" t="n">
        <v>0</v>
      </c>
      <c r="W556" s="5" t="n">
        <v>1</v>
      </c>
      <c r="X556" s="5" t="n">
        <v>2</v>
      </c>
      <c r="Y556" s="5" t="n"/>
      <c r="Z556" s="5" t="inlineStr"/>
      <c r="AA556" s="5" t="n">
        <v>2286.8</v>
      </c>
      <c r="AB556" s="5" t="n">
        <v>3044.9</v>
      </c>
      <c r="AC556" s="5" t="n">
        <v>2306.7</v>
      </c>
      <c r="AD556" s="5" t="n">
        <v>3074.6</v>
      </c>
      <c r="AE556" s="5" t="inlineStr">
        <is>
          <t>column</t>
        </is>
      </c>
      <c r="AF556" s="5">
        <f>IF(AE556="","",IF(OR(AE556=F556,AND(AE556="crane_footing",F556="isolated_footing")),"yes","no"))</f>
        <v/>
      </c>
    </row>
    <row r="557">
      <c r="A557" s="5" t="n">
        <v>556</v>
      </c>
      <c r="B557" s="5" t="inlineStr">
        <is>
          <t>127</t>
        </is>
      </c>
      <c r="C557" s="5" t="inlineStr">
        <is>
          <t>own label</t>
        </is>
      </c>
      <c r="D557" s="5" t="inlineStr">
        <is>
          <t>solid</t>
        </is>
      </c>
      <c r="E557" s="5" t="n">
        <v>25</v>
      </c>
      <c r="F557" s="5" t="inlineStr">
        <is>
          <t>column</t>
        </is>
      </c>
      <c r="G557" s="5" t="inlineStr">
        <is>
          <t>Column P1/127 1.00 × 0.25 m</t>
        </is>
      </c>
      <c r="H557" s="5" t="inlineStr">
        <is>
          <t>label vote</t>
        </is>
      </c>
      <c r="I557" s="5" t="inlineStr">
        <is>
          <t>P1/127</t>
        </is>
      </c>
      <c r="J557" s="5" t="inlineStr">
        <is>
          <t>printed label</t>
        </is>
      </c>
      <c r="K557" s="5" t="inlineStr">
        <is>
          <t>P1/127/127</t>
        </is>
      </c>
      <c r="L557" s="5" t="n">
        <v>100</v>
      </c>
      <c r="M557" s="5" t="n">
        <v>25</v>
      </c>
      <c r="N557" s="10">
        <f>IF(AND(ISNUMBER(L557),M557&gt;0),L557/M557,"")</f>
        <v/>
      </c>
      <c r="O557" s="5" t="n">
        <v>0.25</v>
      </c>
      <c r="P557" s="5" t="n">
        <v>116.6</v>
      </c>
      <c r="Q557" s="5" t="n">
        <v>0</v>
      </c>
      <c r="R557" s="5" t="n">
        <v>0</v>
      </c>
      <c r="S557" s="5" t="n">
        <v>0</v>
      </c>
      <c r="T557" s="5" t="n">
        <v>1</v>
      </c>
      <c r="U557" s="5" t="n">
        <v>0</v>
      </c>
      <c r="V557" s="5" t="n">
        <v>0</v>
      </c>
      <c r="W557" s="5" t="n">
        <v>5</v>
      </c>
      <c r="X557" s="5" t="n">
        <v>0</v>
      </c>
      <c r="Y557" s="5" t="n"/>
      <c r="Z557" s="5" t="inlineStr"/>
      <c r="AA557" s="5" t="n">
        <v>2239.9</v>
      </c>
      <c r="AB557" s="5" t="n">
        <v>3138.6</v>
      </c>
      <c r="AC557" s="5" t="n">
        <v>2259.7</v>
      </c>
      <c r="AD557" s="5" t="n">
        <v>3168.4</v>
      </c>
      <c r="AE557" s="5" t="inlineStr">
        <is>
          <t>column</t>
        </is>
      </c>
      <c r="AF557" s="5">
        <f>IF(AE557="","",IF(OR(AE557=F557,AND(AE557="crane_footing",F557="isolated_footing")),"yes","no"))</f>
        <v/>
      </c>
    </row>
    <row r="558">
      <c r="A558" s="5" t="n">
        <v>557</v>
      </c>
      <c r="B558" s="5" t="inlineStr">
        <is>
          <t>127</t>
        </is>
      </c>
      <c r="C558" s="5" t="inlineStr">
        <is>
          <t>own label</t>
        </is>
      </c>
      <c r="D558" s="5" t="inlineStr">
        <is>
          <t>solid</t>
        </is>
      </c>
      <c r="E558" s="5" t="n">
        <v>25</v>
      </c>
      <c r="F558" s="5" t="inlineStr">
        <is>
          <t>column</t>
        </is>
      </c>
      <c r="G558" s="5" t="inlineStr">
        <is>
          <t>Column P1/127 1.00 × 0.25 m</t>
        </is>
      </c>
      <c r="H558" s="5" t="inlineStr">
        <is>
          <t>label vote</t>
        </is>
      </c>
      <c r="I558" s="5" t="inlineStr">
        <is>
          <t>P1/127</t>
        </is>
      </c>
      <c r="J558" s="5" t="inlineStr">
        <is>
          <t>printed label</t>
        </is>
      </c>
      <c r="K558" s="5" t="inlineStr">
        <is>
          <t>P1/127/127</t>
        </is>
      </c>
      <c r="L558" s="5" t="n">
        <v>100</v>
      </c>
      <c r="M558" s="5" t="n">
        <v>25</v>
      </c>
      <c r="N558" s="10">
        <f>IF(AND(ISNUMBER(L558),M558&gt;0),L558/M558,"")</f>
        <v/>
      </c>
      <c r="O558" s="5" t="n">
        <v>0.249</v>
      </c>
      <c r="P558" s="5" t="n">
        <v>116.6</v>
      </c>
      <c r="Q558" s="5" t="n">
        <v>0</v>
      </c>
      <c r="R558" s="5" t="n">
        <v>0</v>
      </c>
      <c r="S558" s="5" t="n">
        <v>0</v>
      </c>
      <c r="T558" s="5" t="n">
        <v>1</v>
      </c>
      <c r="U558" s="5" t="n">
        <v>0</v>
      </c>
      <c r="V558" s="5" t="n">
        <v>0</v>
      </c>
      <c r="W558" s="5" t="n">
        <v>4</v>
      </c>
      <c r="X558" s="5" t="n">
        <v>1</v>
      </c>
      <c r="Y558" s="5" t="n"/>
      <c r="Z558" s="5" t="inlineStr"/>
      <c r="AA558" s="5" t="n">
        <v>2162</v>
      </c>
      <c r="AB558" s="5" t="n">
        <v>3099.6</v>
      </c>
      <c r="AC558" s="5" t="n">
        <v>2181.8</v>
      </c>
      <c r="AD558" s="5" t="n">
        <v>3129.3</v>
      </c>
      <c r="AE558" s="5" t="inlineStr">
        <is>
          <t>column</t>
        </is>
      </c>
      <c r="AF558" s="5">
        <f>IF(AE558="","",IF(OR(AE558=F558,AND(AE558="crane_footing",F558="isolated_footing")),"yes","no"))</f>
        <v/>
      </c>
    </row>
    <row r="559">
      <c r="A559" s="5" t="n">
        <v>558</v>
      </c>
      <c r="B559" s="5" t="inlineStr">
        <is>
          <t>127</t>
        </is>
      </c>
      <c r="C559" s="5" t="inlineStr">
        <is>
          <t>own label</t>
        </is>
      </c>
      <c r="D559" s="5" t="inlineStr">
        <is>
          <t>solid</t>
        </is>
      </c>
      <c r="E559" s="5" t="n">
        <v>33</v>
      </c>
      <c r="F559" s="5" t="inlineStr">
        <is>
          <t>shear_wall</t>
        </is>
      </c>
      <c r="G559" s="5" t="inlineStr">
        <is>
          <t>Shear wall V1/127 1.25 × 0.25 m</t>
        </is>
      </c>
      <c r="H559" s="5" t="inlineStr">
        <is>
          <t>label vote</t>
        </is>
      </c>
      <c r="I559" s="5" t="inlineStr">
        <is>
          <t>V1/127</t>
        </is>
      </c>
      <c r="J559" s="5" t="inlineStr">
        <is>
          <t>printed label</t>
        </is>
      </c>
      <c r="K559" s="5" t="inlineStr">
        <is>
          <t>V1/127/127</t>
        </is>
      </c>
      <c r="L559" s="5" t="n">
        <v>125</v>
      </c>
      <c r="M559" s="5" t="n">
        <v>25</v>
      </c>
      <c r="N559" s="10">
        <f>IF(AND(ISNUMBER(L559),M559&gt;0),L559/M559,"")</f>
        <v/>
      </c>
      <c r="O559" s="5" t="n">
        <v>0.311</v>
      </c>
      <c r="P559" s="5" t="n">
        <v>116.7</v>
      </c>
      <c r="Q559" s="5" t="n">
        <v>1</v>
      </c>
      <c r="R559" s="5" t="n">
        <v>1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1</v>
      </c>
      <c r="X559" s="5" t="n">
        <v>2</v>
      </c>
      <c r="Y559" s="5" t="n"/>
      <c r="Z559" s="5" t="inlineStr"/>
      <c r="AA559" s="5" t="n">
        <v>1735.6</v>
      </c>
      <c r="AB559" s="5" t="n">
        <v>2951.9</v>
      </c>
      <c r="AC559" s="5" t="n">
        <v>1758.7</v>
      </c>
      <c r="AD559" s="5" t="n">
        <v>2988.1</v>
      </c>
      <c r="AE559" s="5" t="inlineStr"/>
      <c r="AF559" s="5">
        <f>IF(AE559="","",IF(OR(AE559=F559,AND(AE559="crane_footing",F559="isolated_footing")),"yes","no"))</f>
        <v/>
      </c>
    </row>
    <row r="560">
      <c r="A560" s="5" t="n">
        <v>559</v>
      </c>
      <c r="B560" s="5" t="inlineStr">
        <is>
          <t>127</t>
        </is>
      </c>
      <c r="C560" s="5" t="inlineStr">
        <is>
          <t>own label</t>
        </is>
      </c>
      <c r="D560" s="5" t="inlineStr">
        <is>
          <t>solid</t>
        </is>
      </c>
      <c r="E560" s="5" t="n">
        <v>33</v>
      </c>
      <c r="F560" s="5" t="inlineStr">
        <is>
          <t>shear_wall</t>
        </is>
      </c>
      <c r="G560" s="5" t="inlineStr">
        <is>
          <t>Shear wall V1/127 1.25 × 0.25 m</t>
        </is>
      </c>
      <c r="H560" s="5" t="inlineStr">
        <is>
          <t>label vote</t>
        </is>
      </c>
      <c r="I560" s="5" t="inlineStr">
        <is>
          <t>V1/127</t>
        </is>
      </c>
      <c r="J560" s="5" t="inlineStr">
        <is>
          <t>printed label</t>
        </is>
      </c>
      <c r="K560" s="5" t="inlineStr">
        <is>
          <t>V1/127/127</t>
        </is>
      </c>
      <c r="L560" s="5" t="n">
        <v>125</v>
      </c>
      <c r="M560" s="5" t="n">
        <v>25</v>
      </c>
      <c r="N560" s="10">
        <f>IF(AND(ISNUMBER(L560),M560&gt;0),L560/M560,"")</f>
        <v/>
      </c>
      <c r="O560" s="5" t="n">
        <v>0.308</v>
      </c>
      <c r="P560" s="5" t="n">
        <v>116.6</v>
      </c>
      <c r="Q560" s="5" t="n">
        <v>1</v>
      </c>
      <c r="R560" s="5" t="n">
        <v>1</v>
      </c>
      <c r="S560" s="5" t="n">
        <v>0</v>
      </c>
      <c r="T560" s="5" t="n">
        <v>0</v>
      </c>
      <c r="U560" s="5" t="n">
        <v>0</v>
      </c>
      <c r="V560" s="5" t="n">
        <v>0</v>
      </c>
      <c r="W560" s="5" t="n">
        <v>1</v>
      </c>
      <c r="X560" s="5" t="n">
        <v>2</v>
      </c>
      <c r="Y560" s="5" t="n"/>
      <c r="Z560" s="5" t="inlineStr"/>
      <c r="AA560" s="5" t="n">
        <v>2390.2</v>
      </c>
      <c r="AB560" s="5" t="n">
        <v>3285.2</v>
      </c>
      <c r="AC560" s="5" t="n">
        <v>2413.2</v>
      </c>
      <c r="AD560" s="5" t="n">
        <v>3321.4</v>
      </c>
      <c r="AE560" s="5" t="inlineStr"/>
      <c r="AF560" s="5">
        <f>IF(AE560="","",IF(OR(AE560=F560,AND(AE560="crane_footing",F560="isolated_footing")),"yes","no"))</f>
        <v/>
      </c>
    </row>
    <row r="561">
      <c r="A561" s="5" t="n">
        <v>560</v>
      </c>
      <c r="B561" s="5" t="inlineStr">
        <is>
          <t>127</t>
        </is>
      </c>
      <c r="C561" s="5" t="inlineStr">
        <is>
          <t>own label</t>
        </is>
      </c>
      <c r="D561" s="5" t="inlineStr">
        <is>
          <t>solid</t>
        </is>
      </c>
      <c r="E561" s="5" t="n">
        <v>31</v>
      </c>
      <c r="F561" s="5" t="inlineStr">
        <is>
          <t>shear_wall</t>
        </is>
      </c>
      <c r="G561" s="5" t="inlineStr">
        <is>
          <t>Shear wall V3/127 2.00 × 0.25 m</t>
        </is>
      </c>
      <c r="H561" s="5" t="inlineStr">
        <is>
          <t>label vote</t>
        </is>
      </c>
      <c r="I561" s="5" t="inlineStr">
        <is>
          <t>V3/127</t>
        </is>
      </c>
      <c r="J561" s="5" t="inlineStr">
        <is>
          <t>printed label</t>
        </is>
      </c>
      <c r="K561" s="5" t="inlineStr">
        <is>
          <t>V3/127/127</t>
        </is>
      </c>
      <c r="L561" s="5" t="n">
        <v>200</v>
      </c>
      <c r="M561" s="5" t="n">
        <v>25</v>
      </c>
      <c r="N561" s="10">
        <f>IF(AND(ISNUMBER(L561),M561&gt;0),L561/M561,"")</f>
        <v/>
      </c>
      <c r="O561" s="5" t="n">
        <v>0.5</v>
      </c>
      <c r="P561" s="5" t="n">
        <v>116.6</v>
      </c>
      <c r="Q561" s="5" t="n">
        <v>0</v>
      </c>
      <c r="R561" s="5" t="n">
        <v>0</v>
      </c>
      <c r="S561" s="5" t="n">
        <v>0</v>
      </c>
      <c r="T561" s="5" t="n">
        <v>1</v>
      </c>
      <c r="U561" s="5" t="n">
        <v>0</v>
      </c>
      <c r="V561" s="5" t="n">
        <v>0</v>
      </c>
      <c r="W561" s="5" t="n">
        <v>2</v>
      </c>
      <c r="X561" s="5" t="n">
        <v>3</v>
      </c>
      <c r="Y561" s="5" t="n"/>
      <c r="Z561" s="5" t="inlineStr"/>
      <c r="AA561" s="5" t="n">
        <v>1833.2</v>
      </c>
      <c r="AB561" s="5" t="n">
        <v>2737.4</v>
      </c>
      <c r="AC561" s="5" t="n">
        <v>1866.3</v>
      </c>
      <c r="AD561" s="5" t="n">
        <v>2793.5</v>
      </c>
      <c r="AE561" s="5" t="inlineStr">
        <is>
          <t>shear_wall</t>
        </is>
      </c>
      <c r="AF561" s="5">
        <f>IF(AE561="","",IF(OR(AE561=F561,AND(AE561="crane_footing",F561="isolated_footing")),"yes","no"))</f>
        <v/>
      </c>
    </row>
    <row r="562">
      <c r="A562" s="5" t="n">
        <v>561</v>
      </c>
      <c r="B562" s="5" t="inlineStr">
        <is>
          <t>127</t>
        </is>
      </c>
      <c r="C562" s="5" t="inlineStr">
        <is>
          <t>own label</t>
        </is>
      </c>
      <c r="D562" s="5" t="inlineStr">
        <is>
          <t>solid</t>
        </is>
      </c>
      <c r="E562" s="5" t="n">
        <v>31</v>
      </c>
      <c r="F562" s="5" t="inlineStr">
        <is>
          <t>shear_wall</t>
        </is>
      </c>
      <c r="G562" s="5" t="inlineStr">
        <is>
          <t>Shear wall V3/127 2.00 × 0.25 m</t>
        </is>
      </c>
      <c r="H562" s="5" t="inlineStr">
        <is>
          <t>label vote</t>
        </is>
      </c>
      <c r="I562" s="5" t="inlineStr">
        <is>
          <t>V3/127</t>
        </is>
      </c>
      <c r="J562" s="5" t="inlineStr">
        <is>
          <t>printed label</t>
        </is>
      </c>
      <c r="K562" s="5" t="inlineStr">
        <is>
          <t>V3/127/127</t>
        </is>
      </c>
      <c r="L562" s="5" t="n">
        <v>200</v>
      </c>
      <c r="M562" s="5" t="n">
        <v>25</v>
      </c>
      <c r="N562" s="10">
        <f>IF(AND(ISNUMBER(L562),M562&gt;0),L562/M562,"")</f>
        <v/>
      </c>
      <c r="O562" s="5" t="n">
        <v>0.5</v>
      </c>
      <c r="P562" s="5" t="n">
        <v>116.6</v>
      </c>
      <c r="Q562" s="5" t="n">
        <v>0</v>
      </c>
      <c r="R562" s="5" t="n">
        <v>1</v>
      </c>
      <c r="S562" s="5" t="n">
        <v>0</v>
      </c>
      <c r="T562" s="5" t="n">
        <v>0</v>
      </c>
      <c r="U562" s="5" t="n">
        <v>0</v>
      </c>
      <c r="V562" s="5" t="n">
        <v>0</v>
      </c>
      <c r="W562" s="5" t="n">
        <v>1</v>
      </c>
      <c r="X562" s="5" t="n">
        <v>4</v>
      </c>
      <c r="Y562" s="5" t="n"/>
      <c r="Z562" s="5" t="inlineStr"/>
      <c r="AA562" s="5" t="n">
        <v>2488.4</v>
      </c>
      <c r="AB562" s="5" t="n">
        <v>3069.4</v>
      </c>
      <c r="AC562" s="5" t="n">
        <v>2521.4</v>
      </c>
      <c r="AD562" s="5" t="n">
        <v>3125.5</v>
      </c>
      <c r="AE562" s="5" t="inlineStr">
        <is>
          <t>shear_wall</t>
        </is>
      </c>
      <c r="AF562" s="5">
        <f>IF(AE562="","",IF(OR(AE562=F562,AND(AE562="crane_footing",F562="isolated_footing")),"yes","no"))</f>
        <v/>
      </c>
    </row>
    <row r="563">
      <c r="A563" s="5" t="n">
        <v>562</v>
      </c>
      <c r="B563" s="5" t="inlineStr">
        <is>
          <t>127</t>
        </is>
      </c>
      <c r="C563" s="5" t="inlineStr">
        <is>
          <t>own label</t>
        </is>
      </c>
      <c r="D563" s="5" t="inlineStr">
        <is>
          <t>solid</t>
        </is>
      </c>
      <c r="E563" s="5" t="n">
        <v>29</v>
      </c>
      <c r="F563" s="5" t="inlineStr">
        <is>
          <t>shear_wall</t>
        </is>
      </c>
      <c r="G563" s="5" t="inlineStr">
        <is>
          <t>Shear wall V4/127 2.50 × 0.30 m</t>
        </is>
      </c>
      <c r="H563" s="5" t="inlineStr">
        <is>
          <t>label vote</t>
        </is>
      </c>
      <c r="I563" s="5" t="inlineStr">
        <is>
          <t>V4/127</t>
        </is>
      </c>
      <c r="J563" s="5" t="inlineStr">
        <is>
          <t>printed label; size differs from the other V4/127 (conflict, check)</t>
        </is>
      </c>
      <c r="K563" s="5" t="inlineStr">
        <is>
          <t>V4/127/127</t>
        </is>
      </c>
      <c r="L563" s="5" t="n">
        <v>250</v>
      </c>
      <c r="M563" s="5" t="n">
        <v>30</v>
      </c>
      <c r="N563" s="10">
        <f>IF(AND(ISNUMBER(L563),M563&gt;0),L563/M563,"")</f>
        <v/>
      </c>
      <c r="O563" s="5" t="n">
        <v>0.749</v>
      </c>
      <c r="P563" s="5" t="n">
        <v>26.6</v>
      </c>
      <c r="Q563" s="5" t="n">
        <v>1</v>
      </c>
      <c r="R563" s="5" t="n">
        <v>0</v>
      </c>
      <c r="S563" s="5" t="n">
        <v>0</v>
      </c>
      <c r="T563" s="5" t="n">
        <v>1</v>
      </c>
      <c r="U563" s="5" t="n">
        <v>1</v>
      </c>
      <c r="V563" s="5" t="n">
        <v>0</v>
      </c>
      <c r="W563" s="5" t="n">
        <v>5</v>
      </c>
      <c r="X563" s="5" t="n">
        <v>0</v>
      </c>
      <c r="Y563" s="5" t="n"/>
      <c r="Z563" s="5" t="inlineStr"/>
      <c r="AA563" s="5" t="n">
        <v>2042.5</v>
      </c>
      <c r="AB563" s="5" t="n">
        <v>3106.1</v>
      </c>
      <c r="AC563" s="5" t="n">
        <v>2112.4</v>
      </c>
      <c r="AD563" s="5" t="n">
        <v>3147.1</v>
      </c>
      <c r="AE563" s="5" t="inlineStr"/>
      <c r="AF563" s="5">
        <f>IF(AE563="","",IF(OR(AE563=F563,AND(AE563="crane_footing",F563="isolated_footing")),"yes","no"))</f>
        <v/>
      </c>
    </row>
    <row r="564">
      <c r="A564" s="5" t="n">
        <v>563</v>
      </c>
      <c r="B564" s="5" t="inlineStr">
        <is>
          <t>127</t>
        </is>
      </c>
      <c r="C564" s="5" t="inlineStr">
        <is>
          <t>own label</t>
        </is>
      </c>
      <c r="D564" s="5" t="inlineStr">
        <is>
          <t>solid</t>
        </is>
      </c>
      <c r="E564" s="5" t="n">
        <v>29</v>
      </c>
      <c r="F564" s="5" t="inlineStr">
        <is>
          <t>shear_wall</t>
        </is>
      </c>
      <c r="G564" s="5" t="inlineStr">
        <is>
          <t>Shear wall V4/127 2.50 × 0.25 m</t>
        </is>
      </c>
      <c r="H564" s="5" t="inlineStr">
        <is>
          <t>label vote</t>
        </is>
      </c>
      <c r="I564" s="5" t="inlineStr">
        <is>
          <t>V4/127</t>
        </is>
      </c>
      <c r="J564" s="5" t="inlineStr">
        <is>
          <t>printed label; size differs from the other V4/127 (conflict, check)</t>
        </is>
      </c>
      <c r="K564" s="5" t="inlineStr">
        <is>
          <t>V4/127/127</t>
        </is>
      </c>
      <c r="L564" s="5" t="n">
        <v>250</v>
      </c>
      <c r="M564" s="5" t="n">
        <v>25</v>
      </c>
      <c r="N564" s="10">
        <f>IF(AND(ISNUMBER(L564),M564&gt;0),L564/M564,"")</f>
        <v/>
      </c>
      <c r="O564" s="5" t="n">
        <v>0.625</v>
      </c>
      <c r="P564" s="5" t="n">
        <v>26.7</v>
      </c>
      <c r="Q564" s="5" t="n">
        <v>1</v>
      </c>
      <c r="R564" s="5" t="n">
        <v>1</v>
      </c>
      <c r="S564" s="5" t="n">
        <v>0</v>
      </c>
      <c r="T564" s="5" t="n">
        <v>0</v>
      </c>
      <c r="U564" s="5" t="n">
        <v>1</v>
      </c>
      <c r="V564" s="5" t="n">
        <v>0</v>
      </c>
      <c r="W564" s="5" t="n">
        <v>3</v>
      </c>
      <c r="X564" s="5" t="n">
        <v>2</v>
      </c>
      <c r="Y564" s="5" t="n"/>
      <c r="Z564" s="5" t="inlineStr"/>
      <c r="AA564" s="5" t="n">
        <v>1841.9</v>
      </c>
      <c r="AB564" s="5" t="n">
        <v>3006.8</v>
      </c>
      <c r="AC564" s="5" t="n">
        <v>1911.2</v>
      </c>
      <c r="AD564" s="5" t="n">
        <v>3046.5</v>
      </c>
      <c r="AE564" s="5" t="inlineStr"/>
      <c r="AF564" s="5">
        <f>IF(AE564="","",IF(OR(AE564=F564,AND(AE564="crane_footing",F564="isolated_footing")),"yes","no"))</f>
        <v/>
      </c>
    </row>
    <row r="565">
      <c r="A565" s="5" t="n">
        <v>564</v>
      </c>
      <c r="B565" s="5" t="inlineStr">
        <is>
          <t>127</t>
        </is>
      </c>
      <c r="C565" s="5" t="inlineStr">
        <is>
          <t>own label</t>
        </is>
      </c>
      <c r="D565" s="5" t="inlineStr">
        <is>
          <t>solid</t>
        </is>
      </c>
      <c r="E565" s="5" t="n">
        <v>35</v>
      </c>
      <c r="F565" s="5" t="inlineStr">
        <is>
          <t>shear_wall</t>
        </is>
      </c>
      <c r="G565" s="5" t="inlineStr">
        <is>
          <t>Shear wall V5/127 2.50 × 0.30 m</t>
        </is>
      </c>
      <c r="H565" s="5" t="inlineStr">
        <is>
          <t>similar to cluster 31 (distance 2.05)</t>
        </is>
      </c>
      <c r="I565" s="5" t="inlineStr">
        <is>
          <t>V5/127</t>
        </is>
      </c>
      <c r="J565" s="5" t="inlineStr">
        <is>
          <t>printed label</t>
        </is>
      </c>
      <c r="K565" s="5" t="inlineStr">
        <is>
          <t>V5/127/127</t>
        </is>
      </c>
      <c r="L565" s="5" t="n">
        <v>250</v>
      </c>
      <c r="M565" s="5" t="n">
        <v>30</v>
      </c>
      <c r="N565" s="10">
        <f>IF(AND(ISNUMBER(L565),M565&gt;0),L565/M565,"")</f>
        <v/>
      </c>
      <c r="O565" s="5" t="n">
        <v>0.752</v>
      </c>
      <c r="P565" s="5" t="n">
        <v>116.6</v>
      </c>
      <c r="Q565" s="5" t="n">
        <v>0</v>
      </c>
      <c r="R565" s="5" t="n">
        <v>1</v>
      </c>
      <c r="S565" s="5" t="n">
        <v>0</v>
      </c>
      <c r="T565" s="5" t="n">
        <v>0</v>
      </c>
      <c r="U565" s="5" t="n">
        <v>1</v>
      </c>
      <c r="V565" s="5" t="n">
        <v>0</v>
      </c>
      <c r="W565" s="5" t="n">
        <v>1</v>
      </c>
      <c r="X565" s="5" t="n">
        <v>3</v>
      </c>
      <c r="Y565" s="5" t="n"/>
      <c r="Z565" s="5" t="inlineStr"/>
      <c r="AA565" s="5" t="n">
        <v>2222.5</v>
      </c>
      <c r="AB565" s="5" t="n">
        <v>2936</v>
      </c>
      <c r="AC565" s="5" t="n">
        <v>2263.6</v>
      </c>
      <c r="AD565" s="5" t="n">
        <v>3006</v>
      </c>
      <c r="AE565" s="5" t="inlineStr">
        <is>
          <t>shear_wall</t>
        </is>
      </c>
      <c r="AF565" s="5">
        <f>IF(AE565="","",IF(OR(AE565=F565,AND(AE565="crane_footing",F565="isolated_footing")),"yes","no"))</f>
        <v/>
      </c>
    </row>
    <row r="566">
      <c r="A566" s="5" t="n">
        <v>565</v>
      </c>
      <c r="B566" s="5" t="inlineStr">
        <is>
          <t>127</t>
        </is>
      </c>
      <c r="C566" s="5" t="inlineStr">
        <is>
          <t>own label</t>
        </is>
      </c>
      <c r="D566" s="5" t="inlineStr">
        <is>
          <t>solid</t>
        </is>
      </c>
      <c r="E566" s="5" t="n">
        <v>35</v>
      </c>
      <c r="F566" s="5" t="inlineStr">
        <is>
          <t>shear_wall</t>
        </is>
      </c>
      <c r="G566" s="5" t="inlineStr">
        <is>
          <t>Shear wall V5/127 2.50 × 0.30 m</t>
        </is>
      </c>
      <c r="H566" s="5" t="inlineStr">
        <is>
          <t>similar to cluster 31 (distance 2.05)</t>
        </is>
      </c>
      <c r="I566" s="5" t="inlineStr">
        <is>
          <t>V5/127</t>
        </is>
      </c>
      <c r="J566" s="5" t="inlineStr">
        <is>
          <t>printed label</t>
        </is>
      </c>
      <c r="K566" s="5" t="inlineStr">
        <is>
          <t>V5/127/127</t>
        </is>
      </c>
      <c r="L566" s="5" t="n">
        <v>250</v>
      </c>
      <c r="M566" s="5" t="n">
        <v>30</v>
      </c>
      <c r="N566" s="10">
        <f>IF(AND(ISNUMBER(L566),M566&gt;0),L566/M566,"")</f>
        <v/>
      </c>
      <c r="O566" s="5" t="n">
        <v>0.747</v>
      </c>
      <c r="P566" s="5" t="n">
        <v>116.6</v>
      </c>
      <c r="Q566" s="5" t="n">
        <v>0</v>
      </c>
      <c r="R566" s="5" t="n">
        <v>1</v>
      </c>
      <c r="S566" s="5" t="n">
        <v>0</v>
      </c>
      <c r="T566" s="5" t="n">
        <v>0</v>
      </c>
      <c r="U566" s="5" t="n">
        <v>1</v>
      </c>
      <c r="V566" s="5" t="n">
        <v>0</v>
      </c>
      <c r="W566" s="5" t="n">
        <v>1</v>
      </c>
      <c r="X566" s="5" t="n">
        <v>5</v>
      </c>
      <c r="Y566" s="5" t="n"/>
      <c r="Z566" s="5" t="inlineStr"/>
      <c r="AA566" s="5" t="n">
        <v>1999.4</v>
      </c>
      <c r="AB566" s="5" t="n">
        <v>2831.9</v>
      </c>
      <c r="AC566" s="5" t="n">
        <v>2040.4</v>
      </c>
      <c r="AD566" s="5" t="n">
        <v>2901.9</v>
      </c>
      <c r="AE566" s="5" t="inlineStr">
        <is>
          <t>shear_wall</t>
        </is>
      </c>
      <c r="AF566" s="5">
        <f>IF(AE566="","",IF(OR(AE566=F566,AND(AE566="crane_footing",F566="isolated_footing")),"yes","no"))</f>
        <v/>
      </c>
    </row>
    <row r="567">
      <c r="A567" s="5" t="n">
        <v>566</v>
      </c>
      <c r="B567" s="5" t="inlineStr">
        <is>
          <t>127</t>
        </is>
      </c>
      <c r="C567" s="5" t="inlineStr">
        <is>
          <t>own label</t>
        </is>
      </c>
      <c r="D567" s="5" t="inlineStr">
        <is>
          <t>solid</t>
        </is>
      </c>
      <c r="E567" s="5" t="n">
        <v>35</v>
      </c>
      <c r="F567" s="5" t="inlineStr">
        <is>
          <t>shear_wall</t>
        </is>
      </c>
      <c r="G567" s="5" t="inlineStr">
        <is>
          <t>Shear wall V6/127 1.25 × 0.25 m</t>
        </is>
      </c>
      <c r="H567" s="5" t="inlineStr">
        <is>
          <t>similar to cluster 31 (distance 2.05)</t>
        </is>
      </c>
      <c r="I567" s="5" t="inlineStr">
        <is>
          <t>V6/127</t>
        </is>
      </c>
      <c r="J567" s="5" t="inlineStr">
        <is>
          <t>printed label</t>
        </is>
      </c>
      <c r="K567" s="5" t="inlineStr">
        <is>
          <t>V6/127/127</t>
        </is>
      </c>
      <c r="L567" s="5" t="n">
        <v>125</v>
      </c>
      <c r="M567" s="5" t="n">
        <v>25</v>
      </c>
      <c r="N567" s="10">
        <f>IF(AND(ISNUMBER(L567),M567&gt;0),L567/M567,"")</f>
        <v/>
      </c>
      <c r="O567" s="5" t="n">
        <v>0.316</v>
      </c>
      <c r="P567" s="5" t="n">
        <v>116.7</v>
      </c>
      <c r="Q567" s="5" t="n">
        <v>0</v>
      </c>
      <c r="R567" s="5" t="n">
        <v>1</v>
      </c>
      <c r="S567" s="5" t="n">
        <v>0</v>
      </c>
      <c r="T567" s="5" t="n">
        <v>0</v>
      </c>
      <c r="U567" s="5" t="n">
        <v>1</v>
      </c>
      <c r="V567" s="5" t="n">
        <v>0</v>
      </c>
      <c r="W567" s="5" t="n">
        <v>1</v>
      </c>
      <c r="X567" s="5" t="n">
        <v>4</v>
      </c>
      <c r="Y567" s="5" t="n"/>
      <c r="Z567" s="5" t="inlineStr"/>
      <c r="AA567" s="5" t="n">
        <v>2608.9</v>
      </c>
      <c r="AB567" s="5" t="n">
        <v>2849.2</v>
      </c>
      <c r="AC567" s="5" t="n">
        <v>2632.1</v>
      </c>
      <c r="AD567" s="5" t="n">
        <v>2885.5</v>
      </c>
      <c r="AE567" s="5" t="inlineStr">
        <is>
          <t>shear_wall</t>
        </is>
      </c>
      <c r="AF567" s="5">
        <f>IF(AE567="","",IF(OR(AE567=F567,AND(AE567="crane_footing",F567="isolated_footing")),"yes","no"))</f>
        <v/>
      </c>
    </row>
    <row r="568">
      <c r="A568" s="5" t="n">
        <v>567</v>
      </c>
      <c r="B568" s="5" t="inlineStr">
        <is>
          <t>127</t>
        </is>
      </c>
      <c r="C568" s="5" t="inlineStr">
        <is>
          <t>own label</t>
        </is>
      </c>
      <c r="D568" s="5" t="inlineStr">
        <is>
          <t>solid</t>
        </is>
      </c>
      <c r="E568" s="5" t="n">
        <v>35</v>
      </c>
      <c r="F568" s="5" t="inlineStr">
        <is>
          <t>shear_wall</t>
        </is>
      </c>
      <c r="G568" s="5" t="inlineStr">
        <is>
          <t>Shear wall V6/127 1.25 × 0.25 m</t>
        </is>
      </c>
      <c r="H568" s="5" t="inlineStr">
        <is>
          <t>similar to cluster 31 (distance 2.05)</t>
        </is>
      </c>
      <c r="I568" s="5" t="inlineStr">
        <is>
          <t>V6/127</t>
        </is>
      </c>
      <c r="J568" s="5" t="inlineStr">
        <is>
          <t>printed label</t>
        </is>
      </c>
      <c r="K568" s="5" t="inlineStr">
        <is>
          <t>V6/127/127</t>
        </is>
      </c>
      <c r="L568" s="5" t="n">
        <v>125</v>
      </c>
      <c r="M568" s="5" t="n">
        <v>25</v>
      </c>
      <c r="N568" s="10">
        <f>IF(AND(ISNUMBER(L568),M568&gt;0),L568/M568,"")</f>
        <v/>
      </c>
      <c r="O568" s="5" t="n">
        <v>0.314</v>
      </c>
      <c r="P568" s="5" t="n">
        <v>116.7</v>
      </c>
      <c r="Q568" s="5" t="n">
        <v>0</v>
      </c>
      <c r="R568" s="5" t="n">
        <v>1</v>
      </c>
      <c r="S568" s="5" t="n">
        <v>0</v>
      </c>
      <c r="T568" s="5" t="n">
        <v>0</v>
      </c>
      <c r="U568" s="5" t="n">
        <v>1</v>
      </c>
      <c r="V568" s="5" t="n">
        <v>0</v>
      </c>
      <c r="W568" s="5" t="n">
        <v>1</v>
      </c>
      <c r="X568" s="5" t="n">
        <v>4</v>
      </c>
      <c r="Y568" s="5" t="n"/>
      <c r="Z568" s="5" t="inlineStr"/>
      <c r="AA568" s="5" t="n">
        <v>2377</v>
      </c>
      <c r="AB568" s="5" t="n">
        <v>2732.6</v>
      </c>
      <c r="AC568" s="5" t="n">
        <v>2400.2</v>
      </c>
      <c r="AD568" s="5" t="n">
        <v>2768.9</v>
      </c>
      <c r="AE568" s="5" t="inlineStr">
        <is>
          <t>shear_wall</t>
        </is>
      </c>
      <c r="AF568" s="5">
        <f>IF(AE568="","",IF(OR(AE568=F568,AND(AE568="crane_footing",F568="isolated_footing")),"yes","no"))</f>
        <v/>
      </c>
    </row>
    <row r="569">
      <c r="A569" s="5" t="n">
        <v>568</v>
      </c>
      <c r="B569" s="5" t="inlineStr">
        <is>
          <t>127</t>
        </is>
      </c>
      <c r="C569" s="5" t="inlineStr">
        <is>
          <t>own label</t>
        </is>
      </c>
      <c r="D569" s="5" t="inlineStr">
        <is>
          <t>solid</t>
        </is>
      </c>
      <c r="E569" s="5" t="n">
        <v>35</v>
      </c>
      <c r="F569" s="5" t="inlineStr">
        <is>
          <t>shear_wall</t>
        </is>
      </c>
      <c r="G569" s="5" t="inlineStr">
        <is>
          <t>Shear wall V6/127 1.25 × 0.25 m</t>
        </is>
      </c>
      <c r="H569" s="5" t="inlineStr">
        <is>
          <t>similar to cluster 31 (distance 2.05)</t>
        </is>
      </c>
      <c r="I569" s="5" t="inlineStr">
        <is>
          <t>V6/127</t>
        </is>
      </c>
      <c r="J569" s="5" t="inlineStr">
        <is>
          <t>printed label</t>
        </is>
      </c>
      <c r="K569" s="5" t="inlineStr">
        <is>
          <t>V6/127/127</t>
        </is>
      </c>
      <c r="L569" s="5" t="n">
        <v>125</v>
      </c>
      <c r="M569" s="5" t="n">
        <v>25</v>
      </c>
      <c r="N569" s="10">
        <f>IF(AND(ISNUMBER(L569),M569&gt;0),L569/M569,"")</f>
        <v/>
      </c>
      <c r="O569" s="5" t="n">
        <v>0.312</v>
      </c>
      <c r="P569" s="5" t="n">
        <v>116.7</v>
      </c>
      <c r="Q569" s="5" t="n">
        <v>0</v>
      </c>
      <c r="R569" s="5" t="n">
        <v>1</v>
      </c>
      <c r="S569" s="5" t="n">
        <v>0</v>
      </c>
      <c r="T569" s="5" t="n">
        <v>0</v>
      </c>
      <c r="U569" s="5" t="n">
        <v>1</v>
      </c>
      <c r="V569" s="5" t="n">
        <v>0</v>
      </c>
      <c r="W569" s="5" t="n">
        <v>1</v>
      </c>
      <c r="X569" s="5" t="n">
        <v>4</v>
      </c>
      <c r="Y569" s="5" t="n"/>
      <c r="Z569" s="5" t="inlineStr"/>
      <c r="AA569" s="5" t="n">
        <v>1952.7</v>
      </c>
      <c r="AB569" s="5" t="n">
        <v>2519.1</v>
      </c>
      <c r="AC569" s="5" t="n">
        <v>1975.8</v>
      </c>
      <c r="AD569" s="5" t="n">
        <v>2555.4</v>
      </c>
      <c r="AE569" s="5" t="inlineStr">
        <is>
          <t>shear_wall</t>
        </is>
      </c>
      <c r="AF569" s="5">
        <f>IF(AE569="","",IF(OR(AE569=F569,AND(AE569="crane_footing",F569="isolated_footing")),"yes","no"))</f>
        <v/>
      </c>
    </row>
    <row r="570">
      <c r="A570" s="5" t="n">
        <v>569</v>
      </c>
      <c r="B570" s="5" t="inlineStr">
        <is>
          <t>127</t>
        </is>
      </c>
      <c r="C570" s="5" t="inlineStr">
        <is>
          <t>own label</t>
        </is>
      </c>
      <c r="D570" s="5" t="inlineStr">
        <is>
          <t>solid</t>
        </is>
      </c>
      <c r="E570" s="5" t="n">
        <v>35</v>
      </c>
      <c r="F570" s="5" t="inlineStr">
        <is>
          <t>shear_wall</t>
        </is>
      </c>
      <c r="G570" s="5" t="inlineStr">
        <is>
          <t>Shear wall V6/127 1.25 × 0.25 m</t>
        </is>
      </c>
      <c r="H570" s="5" t="inlineStr">
        <is>
          <t>similar to cluster 31 (distance 2.05)</t>
        </is>
      </c>
      <c r="I570" s="5" t="inlineStr">
        <is>
          <t>V6/127</t>
        </is>
      </c>
      <c r="J570" s="5" t="inlineStr">
        <is>
          <t>printed label</t>
        </is>
      </c>
      <c r="K570" s="5" t="inlineStr">
        <is>
          <t>V6/127/127</t>
        </is>
      </c>
      <c r="L570" s="5" t="n">
        <v>125</v>
      </c>
      <c r="M570" s="5" t="n">
        <v>25</v>
      </c>
      <c r="N570" s="10">
        <f>IF(AND(ISNUMBER(L570),M570&gt;0),L570/M570,"")</f>
        <v/>
      </c>
      <c r="O570" s="5" t="n">
        <v>0.312</v>
      </c>
      <c r="P570" s="5" t="n">
        <v>116.7</v>
      </c>
      <c r="Q570" s="5" t="n">
        <v>0</v>
      </c>
      <c r="R570" s="5" t="n">
        <v>1</v>
      </c>
      <c r="S570" s="5" t="n">
        <v>0</v>
      </c>
      <c r="T570" s="5" t="n">
        <v>0</v>
      </c>
      <c r="U570" s="5" t="n">
        <v>1</v>
      </c>
      <c r="V570" s="5" t="n">
        <v>0</v>
      </c>
      <c r="W570" s="5" t="n">
        <v>1</v>
      </c>
      <c r="X570" s="5" t="n">
        <v>2</v>
      </c>
      <c r="Y570" s="5" t="n"/>
      <c r="Z570" s="5" t="inlineStr"/>
      <c r="AA570" s="5" t="n">
        <v>2171.3</v>
      </c>
      <c r="AB570" s="5" t="n">
        <v>2629.1</v>
      </c>
      <c r="AC570" s="5" t="n">
        <v>2194.4</v>
      </c>
      <c r="AD570" s="5" t="n">
        <v>2665.4</v>
      </c>
      <c r="AE570" s="5" t="inlineStr">
        <is>
          <t>shear_wall</t>
        </is>
      </c>
      <c r="AF570" s="5">
        <f>IF(AE570="","",IF(OR(AE570=F570,AND(AE570="crane_footing",F570="isolated_footing")),"yes","no"))</f>
        <v/>
      </c>
    </row>
    <row r="571">
      <c r="A571" s="5" t="n">
        <v>570</v>
      </c>
      <c r="B571" s="5" t="inlineStr">
        <is>
          <t>127</t>
        </is>
      </c>
      <c r="C571" s="5" t="inlineStr">
        <is>
          <t>region between joints</t>
        </is>
      </c>
      <c r="D571" s="5" t="inlineStr">
        <is>
          <t>solid</t>
        </is>
      </c>
      <c r="E571" s="5" t="n">
        <v>26</v>
      </c>
      <c r="F571" s="5" t="inlineStr">
        <is>
          <t>core_wall</t>
        </is>
      </c>
      <c r="G571" s="5" t="inlineStr">
        <is>
          <t>Core wall 3.36 × 0.25 m</t>
        </is>
      </c>
      <c r="H571" s="5" t="inlineStr">
        <is>
          <t>rule: unlabelled interior wall, no V type of its size</t>
        </is>
      </c>
      <c r="I571" s="5" t="inlineStr">
        <is>
          <t>(none)</t>
        </is>
      </c>
      <c r="J571" s="5" t="inlineStr"/>
      <c r="K571" s="5" t="inlineStr"/>
      <c r="L571" s="5" t="n">
        <v>336</v>
      </c>
      <c r="M571" s="5" t="n">
        <v>25</v>
      </c>
      <c r="N571" s="10">
        <f>IF(AND(ISNUMBER(L571),M571&gt;0),L571/M571,"")</f>
        <v/>
      </c>
      <c r="O571" s="5" t="n">
        <v>0.842</v>
      </c>
      <c r="P571" s="5" t="n">
        <v>116.6</v>
      </c>
      <c r="Q571" s="5" t="n">
        <v>1</v>
      </c>
      <c r="R571" s="5" t="n">
        <v>0</v>
      </c>
      <c r="S571" s="5" t="n">
        <v>0</v>
      </c>
      <c r="T571" s="5" t="n">
        <v>1</v>
      </c>
      <c r="U571" s="5" t="n">
        <v>0</v>
      </c>
      <c r="V571" s="5" t="n">
        <v>0</v>
      </c>
      <c r="W571" s="5" t="n">
        <v>3</v>
      </c>
      <c r="X571" s="5" t="n">
        <v>0</v>
      </c>
      <c r="Y571" s="5" t="n"/>
      <c r="Z571" s="5" t="inlineStr"/>
      <c r="AA571" s="5" t="n">
        <v>2183.9</v>
      </c>
      <c r="AB571" s="5" t="n">
        <v>3207.6</v>
      </c>
      <c r="AC571" s="5" t="n">
        <v>2235</v>
      </c>
      <c r="AD571" s="5" t="n">
        <v>3299.6</v>
      </c>
      <c r="AE571" s="5" t="inlineStr"/>
      <c r="AF571" s="5">
        <f>IF(AE571="","",IF(OR(AE571=F571,AND(AE571="crane_footing",F571="isolated_footing")),"yes","no"))</f>
        <v/>
      </c>
    </row>
    <row r="572">
      <c r="A572" s="5" t="n">
        <v>571</v>
      </c>
      <c r="B572" s="5" t="inlineStr">
        <is>
          <t>127</t>
        </is>
      </c>
      <c r="C572" s="5" t="inlineStr">
        <is>
          <t>region between joints</t>
        </is>
      </c>
      <c r="D572" s="5" t="inlineStr">
        <is>
          <t>solid</t>
        </is>
      </c>
      <c r="E572" s="5" t="n">
        <v>26</v>
      </c>
      <c r="F572" s="5" t="inlineStr">
        <is>
          <t>core_wall</t>
        </is>
      </c>
      <c r="G572" s="5" t="inlineStr">
        <is>
          <t>Core wall 1.75 × 0.25 m</t>
        </is>
      </c>
      <c r="H572" s="5" t="inlineStr">
        <is>
          <t>rule: unlabelled interior wall, no V type of its size</t>
        </is>
      </c>
      <c r="I572" s="5" t="inlineStr">
        <is>
          <t>(none)</t>
        </is>
      </c>
      <c r="J572" s="5" t="inlineStr"/>
      <c r="K572" s="5" t="inlineStr"/>
      <c r="L572" s="5" t="n">
        <v>175</v>
      </c>
      <c r="M572" s="5" t="n">
        <v>25</v>
      </c>
      <c r="N572" s="10">
        <f>IF(AND(ISNUMBER(L572),M572&gt;0),L572/M572,"")</f>
        <v/>
      </c>
      <c r="O572" s="5" t="n">
        <v>0.444</v>
      </c>
      <c r="P572" s="5" t="n">
        <v>26.6</v>
      </c>
      <c r="Q572" s="5" t="n">
        <v>1</v>
      </c>
      <c r="R572" s="5" t="n">
        <v>0</v>
      </c>
      <c r="S572" s="5" t="n">
        <v>0</v>
      </c>
      <c r="T572" s="5" t="n">
        <v>1</v>
      </c>
      <c r="U572" s="5" t="n">
        <v>0</v>
      </c>
      <c r="V572" s="5" t="n">
        <v>0</v>
      </c>
      <c r="W572" s="5" t="n">
        <v>2</v>
      </c>
      <c r="X572" s="5" t="n">
        <v>0</v>
      </c>
      <c r="Y572" s="5" t="n"/>
      <c r="Z572" s="5" t="inlineStr"/>
      <c r="AA572" s="5" t="n">
        <v>2182.3</v>
      </c>
      <c r="AB572" s="5" t="n">
        <v>3177.6</v>
      </c>
      <c r="AC572" s="5" t="n">
        <v>2231.8</v>
      </c>
      <c r="AD572" s="5" t="n">
        <v>3207.4</v>
      </c>
      <c r="AE572" s="5" t="inlineStr"/>
      <c r="AF572" s="5">
        <f>IF(AE572="","",IF(OR(AE572=F572,AND(AE572="crane_footing",F572="isolated_footing")),"yes","no"))</f>
        <v/>
      </c>
    </row>
    <row r="573">
      <c r="A573" s="5" t="n">
        <v>572</v>
      </c>
      <c r="B573" s="5" t="inlineStr">
        <is>
          <t>127</t>
        </is>
      </c>
      <c r="C573" s="5" t="inlineStr">
        <is>
          <t>region between joints</t>
        </is>
      </c>
      <c r="D573" s="5" t="inlineStr">
        <is>
          <t>solid</t>
        </is>
      </c>
      <c r="E573" s="5" t="n">
        <v>26</v>
      </c>
      <c r="F573" s="5" t="inlineStr">
        <is>
          <t>core_wall</t>
        </is>
      </c>
      <c r="G573" s="5" t="inlineStr">
        <is>
          <t>Core wall 1.59 × 0.26 m</t>
        </is>
      </c>
      <c r="H573" s="5" t="inlineStr">
        <is>
          <t>rule: unlabelled interior wall, no V type of its size</t>
        </is>
      </c>
      <c r="I573" s="5" t="inlineStr">
        <is>
          <t>(none)</t>
        </is>
      </c>
      <c r="J573" s="5" t="inlineStr"/>
      <c r="K573" s="5" t="inlineStr"/>
      <c r="L573" s="5" t="n">
        <v>159</v>
      </c>
      <c r="M573" s="5" t="n">
        <v>26</v>
      </c>
      <c r="N573" s="10">
        <f>IF(AND(ISNUMBER(L573),M573&gt;0),L573/M573,"")</f>
        <v/>
      </c>
      <c r="O573" s="5" t="n">
        <v>0.407</v>
      </c>
      <c r="P573" s="5" t="n">
        <v>26.5</v>
      </c>
      <c r="Q573" s="5" t="n">
        <v>1</v>
      </c>
      <c r="R573" s="5" t="n">
        <v>0</v>
      </c>
      <c r="S573" s="5" t="n">
        <v>0</v>
      </c>
      <c r="T573" s="5" t="n">
        <v>1</v>
      </c>
      <c r="U573" s="5" t="n">
        <v>0</v>
      </c>
      <c r="V573" s="5" t="n">
        <v>0</v>
      </c>
      <c r="W573" s="5" t="n">
        <v>1</v>
      </c>
      <c r="X573" s="5" t="n">
        <v>0</v>
      </c>
      <c r="Y573" s="5" t="n"/>
      <c r="Z573" s="5" t="inlineStr"/>
      <c r="AA573" s="5" t="n">
        <v>2130.5</v>
      </c>
      <c r="AB573" s="5" t="n">
        <v>3271.4</v>
      </c>
      <c r="AC573" s="5" t="n">
        <v>2176</v>
      </c>
      <c r="AD573" s="5" t="n">
        <v>3299.1</v>
      </c>
      <c r="AE573" s="5" t="inlineStr"/>
      <c r="AF573" s="5">
        <f>IF(AE573="","",IF(OR(AE573=F573,AND(AE573="crane_footing",F573="isolated_footing")),"yes","no"))</f>
        <v/>
      </c>
    </row>
    <row r="574">
      <c r="A574" s="5" t="n">
        <v>573</v>
      </c>
      <c r="B574" s="5" t="inlineStr">
        <is>
          <t>127</t>
        </is>
      </c>
      <c r="C574" s="5" t="inlineStr">
        <is>
          <t>region between joints</t>
        </is>
      </c>
      <c r="D574" s="5" t="inlineStr">
        <is>
          <t>outline</t>
        </is>
      </c>
      <c r="E574" s="5" t="n">
        <v>18</v>
      </c>
      <c r="F574" s="5" t="inlineStr">
        <is>
          <t>core_wall</t>
        </is>
      </c>
      <c r="G574" s="5" t="inlineStr">
        <is>
          <t>Core wall 1.25 × 0.20 m</t>
        </is>
      </c>
      <c r="H574" s="5" t="inlineStr">
        <is>
          <t>rule: unlabelled interior wall, no V type of its size (drawn as an outline with a pattern inside)</t>
        </is>
      </c>
      <c r="I574" s="5" t="inlineStr">
        <is>
          <t>(none)</t>
        </is>
      </c>
      <c r="J574" s="5" t="inlineStr"/>
      <c r="K574" s="5" t="inlineStr"/>
      <c r="L574" s="5" t="n">
        <v>125</v>
      </c>
      <c r="M574" s="5" t="n">
        <v>20</v>
      </c>
      <c r="N574" s="10">
        <f>IF(AND(ISNUMBER(L574),M574&gt;0),L574/M574,"")</f>
        <v/>
      </c>
      <c r="O574" s="5" t="n">
        <v>0.25</v>
      </c>
      <c r="P574" s="5" t="n">
        <v>116.6</v>
      </c>
      <c r="Q574" s="5" t="n">
        <v>2</v>
      </c>
      <c r="R574" s="5" t="n">
        <v>0</v>
      </c>
      <c r="S574" s="5" t="n">
        <v>0</v>
      </c>
      <c r="T574" s="5" t="n">
        <v>1</v>
      </c>
      <c r="U574" s="5" t="n">
        <v>0</v>
      </c>
      <c r="V574" s="5" t="n">
        <v>0</v>
      </c>
      <c r="W574" s="5" t="n">
        <v>14</v>
      </c>
      <c r="X574" s="5" t="n">
        <v>0</v>
      </c>
      <c r="Y574" s="5" t="n"/>
      <c r="Z574" s="5" t="inlineStr"/>
      <c r="AA574" s="5" t="n">
        <v>2145.4</v>
      </c>
      <c r="AB574" s="5" t="n">
        <v>3126</v>
      </c>
      <c r="AC574" s="5" t="n">
        <v>2167.3</v>
      </c>
      <c r="AD574" s="5" t="n">
        <v>3161.7</v>
      </c>
      <c r="AE574" s="5" t="inlineStr"/>
      <c r="AF574" s="5">
        <f>IF(AE574="","",IF(OR(AE574=F574,AND(AE574="crane_footing",F574="isolated_footing")),"yes","no"))</f>
        <v/>
      </c>
    </row>
    <row r="575">
      <c r="A575" s="5" t="n">
        <v>574</v>
      </c>
      <c r="B575" s="5" t="inlineStr">
        <is>
          <t>127</t>
        </is>
      </c>
      <c r="C575" s="5" t="inlineStr">
        <is>
          <t>region between joints</t>
        </is>
      </c>
      <c r="D575" s="5" t="inlineStr">
        <is>
          <t>outline</t>
        </is>
      </c>
      <c r="E575" s="5" t="n">
        <v>18</v>
      </c>
      <c r="F575" s="5" t="inlineStr">
        <is>
          <t>core_wall</t>
        </is>
      </c>
      <c r="G575" s="5" t="inlineStr">
        <is>
          <t>Core wall 1.20 × 0.20 m</t>
        </is>
      </c>
      <c r="H575" s="5" t="inlineStr">
        <is>
          <t>rule: unlabelled interior wall, no V type of its size (drawn as an outline with a pattern inside)</t>
        </is>
      </c>
      <c r="I575" s="5" t="inlineStr">
        <is>
          <t>(none)</t>
        </is>
      </c>
      <c r="J575" s="5" t="inlineStr"/>
      <c r="K575" s="5" t="inlineStr"/>
      <c r="L575" s="5" t="n">
        <v>120</v>
      </c>
      <c r="M575" s="5" t="n">
        <v>20</v>
      </c>
      <c r="N575" s="10">
        <f>IF(AND(ISNUMBER(L575),M575&gt;0),L575/M575,"")</f>
        <v/>
      </c>
      <c r="O575" s="5" t="n">
        <v>0.24</v>
      </c>
      <c r="P575" s="5" t="n">
        <v>116.6</v>
      </c>
      <c r="Q575" s="5" t="n">
        <v>2</v>
      </c>
      <c r="R575" s="5" t="n">
        <v>0</v>
      </c>
      <c r="S575" s="5" t="n">
        <v>0</v>
      </c>
      <c r="T575" s="5" t="n">
        <v>1</v>
      </c>
      <c r="U575" s="5" t="n">
        <v>0</v>
      </c>
      <c r="V575" s="5" t="n">
        <v>0</v>
      </c>
      <c r="W575" s="5" t="n">
        <v>9</v>
      </c>
      <c r="X575" s="5" t="n">
        <v>0</v>
      </c>
      <c r="Y575" s="5" t="n"/>
      <c r="Z575" s="5" t="inlineStr"/>
      <c r="AA575" s="5" t="n">
        <v>2223.9</v>
      </c>
      <c r="AB575" s="5" t="n">
        <v>3165</v>
      </c>
      <c r="AC575" s="5" t="n">
        <v>2245.1</v>
      </c>
      <c r="AD575" s="5" t="n">
        <v>3199.4</v>
      </c>
      <c r="AE575" s="5" t="inlineStr"/>
      <c r="AF575" s="5">
        <f>IF(AE575="","",IF(OR(AE575=F575,AND(AE575="crane_footing",F575="isolated_footing")),"yes","no"))</f>
        <v/>
      </c>
    </row>
    <row r="576">
      <c r="A576" s="5" t="n">
        <v>575</v>
      </c>
      <c r="B576" s="5" t="inlineStr">
        <is>
          <t>127</t>
        </is>
      </c>
      <c r="C576" s="5" t="inlineStr">
        <is>
          <t>region between joints</t>
        </is>
      </c>
      <c r="D576" s="5" t="inlineStr">
        <is>
          <t>outline</t>
        </is>
      </c>
      <c r="E576" s="5" t="n">
        <v>18</v>
      </c>
      <c r="F576" s="5" t="inlineStr">
        <is>
          <t>core_wall</t>
        </is>
      </c>
      <c r="G576" s="5" t="inlineStr">
        <is>
          <t>Core wall 1.11 × 0.20 m</t>
        </is>
      </c>
      <c r="H576" s="5" t="inlineStr">
        <is>
          <t>rule: unlabelled interior wall, no V type of its size (drawn as an outline with a pattern inside)</t>
        </is>
      </c>
      <c r="I576" s="5" t="inlineStr">
        <is>
          <t>(none)</t>
        </is>
      </c>
      <c r="J576" s="5" t="inlineStr"/>
      <c r="K576" s="5" t="inlineStr"/>
      <c r="L576" s="5" t="n">
        <v>111</v>
      </c>
      <c r="M576" s="5" t="n">
        <v>20</v>
      </c>
      <c r="N576" s="10">
        <f>IF(AND(ISNUMBER(L576),M576&gt;0),L576/M576,"")</f>
        <v/>
      </c>
      <c r="O576" s="5" t="n">
        <v>0.221</v>
      </c>
      <c r="P576" s="5" t="n">
        <v>26.6</v>
      </c>
      <c r="Q576" s="5" t="n">
        <v>2</v>
      </c>
      <c r="R576" s="5" t="n">
        <v>0</v>
      </c>
      <c r="S576" s="5" t="n">
        <v>0</v>
      </c>
      <c r="T576" s="5" t="n">
        <v>1</v>
      </c>
      <c r="U576" s="5" t="n">
        <v>0</v>
      </c>
      <c r="V576" s="5" t="n">
        <v>0</v>
      </c>
      <c r="W576" s="5" t="n">
        <v>2</v>
      </c>
      <c r="X576" s="5" t="n">
        <v>0</v>
      </c>
      <c r="Y576" s="5" t="n"/>
      <c r="Z576" s="5" t="inlineStr"/>
      <c r="AA576" s="5" t="n">
        <v>2102.1</v>
      </c>
      <c r="AB576" s="5" t="n">
        <v>3256.7</v>
      </c>
      <c r="AC576" s="5" t="n">
        <v>2133.9</v>
      </c>
      <c r="AD576" s="5" t="n">
        <v>3276.6</v>
      </c>
      <c r="AE576" s="5" t="inlineStr"/>
      <c r="AF576" s="5">
        <f>IF(AE576="","",IF(OR(AE576=F576,AND(AE576="crane_footing",F576="isolated_footing")),"yes","no"))</f>
        <v/>
      </c>
    </row>
    <row r="577">
      <c r="A577" s="5" t="n">
        <v>576</v>
      </c>
      <c r="B577" s="5" t="inlineStr">
        <is>
          <t>127</t>
        </is>
      </c>
      <c r="C577" s="5" t="inlineStr">
        <is>
          <t>region between joints</t>
        </is>
      </c>
      <c r="D577" s="5" t="inlineStr">
        <is>
          <t>cross_hatch</t>
        </is>
      </c>
      <c r="E577" s="5" t="n">
        <v>10</v>
      </c>
      <c r="F577" s="5" t="inlineStr">
        <is>
          <t>core_wall</t>
        </is>
      </c>
      <c r="G577" s="5" t="inlineStr">
        <is>
          <t>Core wall 2.70 × 0.20 m</t>
        </is>
      </c>
      <c r="H577" s="5" t="inlineStr">
        <is>
          <t>rule: unlabelled interior wall, no V type of its size</t>
        </is>
      </c>
      <c r="I577" s="5" t="inlineStr">
        <is>
          <t>(none)</t>
        </is>
      </c>
      <c r="J577" s="5" t="inlineStr"/>
      <c r="K577" s="5" t="inlineStr"/>
      <c r="L577" s="5" t="n">
        <v>270</v>
      </c>
      <c r="M577" s="5" t="n">
        <v>20</v>
      </c>
      <c r="N577" s="10">
        <f>IF(AND(ISNUMBER(L577),M577&gt;0),L577/M577,"")</f>
        <v/>
      </c>
      <c r="O577" s="5" t="n">
        <v>0.54</v>
      </c>
      <c r="P577" s="5" t="n">
        <v>26.6</v>
      </c>
      <c r="Q577" s="5" t="n">
        <v>2</v>
      </c>
      <c r="R577" s="5" t="n">
        <v>0</v>
      </c>
      <c r="S577" s="5" t="n">
        <v>0</v>
      </c>
      <c r="T577" s="5" t="n">
        <v>1</v>
      </c>
      <c r="U577" s="5" t="n">
        <v>0</v>
      </c>
      <c r="V577" s="5" t="n">
        <v>0</v>
      </c>
      <c r="W577" s="5" t="n">
        <v>7</v>
      </c>
      <c r="X577" s="5" t="n">
        <v>0</v>
      </c>
      <c r="Y577" s="5" t="n"/>
      <c r="Z577" s="5" t="inlineStr"/>
      <c r="AA577" s="5" t="n">
        <v>2179.2</v>
      </c>
      <c r="AB577" s="5" t="n">
        <v>3102.9</v>
      </c>
      <c r="AC577" s="5" t="n">
        <v>2253.1</v>
      </c>
      <c r="AD577" s="5" t="n">
        <v>3143.9</v>
      </c>
      <c r="AE577" s="5" t="inlineStr"/>
      <c r="AF577" s="5">
        <f>IF(AE577="","",IF(OR(AE577=F577,AND(AE577="crane_footing",F577="isolated_footing")),"yes","no"))</f>
        <v/>
      </c>
    </row>
    <row r="578">
      <c r="A578" s="5" t="n">
        <v>577</v>
      </c>
      <c r="B578" s="5" t="inlineStr">
        <is>
          <t>127</t>
        </is>
      </c>
      <c r="C578" s="5" t="inlineStr">
        <is>
          <t>region between joints</t>
        </is>
      </c>
      <c r="D578" s="5" t="inlineStr">
        <is>
          <t>cross_hatch</t>
        </is>
      </c>
      <c r="E578" s="5" t="n">
        <v>10</v>
      </c>
      <c r="F578" s="5" t="inlineStr">
        <is>
          <t>core_wall</t>
        </is>
      </c>
      <c r="G578" s="5" t="inlineStr">
        <is>
          <t>Core wall 3.37 × 0.20 m</t>
        </is>
      </c>
      <c r="H578" s="5" t="inlineStr">
        <is>
          <t>rule: unlabelled interior wall, no V type of its size</t>
        </is>
      </c>
      <c r="I578" s="5" t="inlineStr">
        <is>
          <t>(none)</t>
        </is>
      </c>
      <c r="J578" s="5" t="inlineStr"/>
      <c r="K578" s="5" t="inlineStr"/>
      <c r="L578" s="5" t="n">
        <v>337</v>
      </c>
      <c r="M578" s="5" t="n">
        <v>20</v>
      </c>
      <c r="N578" s="10">
        <f>IF(AND(ISNUMBER(L578),M578&gt;0),L578/M578,"")</f>
        <v/>
      </c>
      <c r="O578" s="5" t="n">
        <v>0.675</v>
      </c>
      <c r="P578" s="5" t="n">
        <v>116.6</v>
      </c>
      <c r="Q578" s="5" t="n">
        <v>2</v>
      </c>
      <c r="R578" s="5" t="n">
        <v>0</v>
      </c>
      <c r="S578" s="5" t="n">
        <v>0</v>
      </c>
      <c r="T578" s="5" t="n">
        <v>1</v>
      </c>
      <c r="U578" s="5" t="n">
        <v>0</v>
      </c>
      <c r="V578" s="5" t="n">
        <v>0</v>
      </c>
      <c r="W578" s="5" t="n">
        <v>4</v>
      </c>
      <c r="X578" s="5" t="n">
        <v>0</v>
      </c>
      <c r="Y578" s="5" t="n"/>
      <c r="Z578" s="5" t="inlineStr"/>
      <c r="AA578" s="5" t="n">
        <v>2137.7</v>
      </c>
      <c r="AB578" s="5" t="n">
        <v>3184.2</v>
      </c>
      <c r="AC578" s="5" t="n">
        <v>2187.6</v>
      </c>
      <c r="AD578" s="5" t="n">
        <v>3275.9</v>
      </c>
      <c r="AE578" s="5" t="inlineStr"/>
      <c r="AF578" s="5">
        <f>IF(AE578="","",IF(OR(AE578=F578,AND(AE578="crane_footing",F578="isolated_footing")),"yes","no"))</f>
        <v/>
      </c>
    </row>
    <row r="579">
      <c r="A579" s="5" t="n">
        <v>578</v>
      </c>
      <c r="B579" s="5" t="inlineStr">
        <is>
          <t>127</t>
        </is>
      </c>
      <c r="C579" s="5" t="inlineStr">
        <is>
          <t>region between joints</t>
        </is>
      </c>
      <c r="D579" s="5" t="inlineStr">
        <is>
          <t>solid</t>
        </is>
      </c>
      <c r="E579" s="5" t="n">
        <v>32</v>
      </c>
      <c r="F579" s="5" t="inlineStr">
        <is>
          <t>retaining_wall</t>
        </is>
      </c>
      <c r="G579" s="5" t="inlineStr">
        <is>
          <t>Retaining wall VP20 25.13 × 0.20 m</t>
        </is>
      </c>
      <c r="H579" s="5" t="inlineStr">
        <is>
          <t>label vote</t>
        </is>
      </c>
      <c r="I579" s="5" t="inlineStr">
        <is>
          <t>VP20</t>
        </is>
      </c>
      <c r="J579" s="5" t="inlineStr">
        <is>
          <t>printed label</t>
        </is>
      </c>
      <c r="K579" s="5" t="inlineStr">
        <is>
          <t>VP20-SF1-80x25</t>
        </is>
      </c>
      <c r="L579" s="5" t="n">
        <v>2513</v>
      </c>
      <c r="M579" s="5" t="n">
        <v>20</v>
      </c>
      <c r="N579" s="10">
        <f>IF(AND(ISNUMBER(L579),M579&gt;0),L579/M579,"")</f>
        <v/>
      </c>
      <c r="O579" s="5" t="n">
        <v>5.054</v>
      </c>
      <c r="P579" s="5" t="n">
        <v>26.6</v>
      </c>
      <c r="Q579" s="5" t="n">
        <v>0</v>
      </c>
      <c r="R579" s="5" t="n">
        <v>0</v>
      </c>
      <c r="S579" s="5" t="n">
        <v>1</v>
      </c>
      <c r="T579" s="5" t="n">
        <v>0</v>
      </c>
      <c r="U579" s="5" t="n">
        <v>1</v>
      </c>
      <c r="V579" s="5" t="n">
        <v>0</v>
      </c>
      <c r="W579" s="5" t="n">
        <v>14</v>
      </c>
      <c r="X579" s="5" t="n">
        <v>5</v>
      </c>
      <c r="Y579" s="5" t="n"/>
      <c r="Z579" s="5" t="inlineStr"/>
      <c r="AA579" s="5" t="n">
        <v>2019.6</v>
      </c>
      <c r="AB579" s="5" t="n">
        <v>2413.4</v>
      </c>
      <c r="AC579" s="5" t="n">
        <v>2685.7</v>
      </c>
      <c r="AD579" s="5" t="n">
        <v>2750.5</v>
      </c>
      <c r="AE579" s="5" t="inlineStr">
        <is>
          <t>retaining_wall</t>
        </is>
      </c>
      <c r="AF579" s="5">
        <f>IF(AE579="","",IF(OR(AE579=F579,AND(AE579="crane_footing",F579="isolated_footing")),"yes","no"))</f>
        <v/>
      </c>
    </row>
    <row r="580">
      <c r="A580" s="5" t="n">
        <v>579</v>
      </c>
      <c r="B580" s="5" t="inlineStr">
        <is>
          <t>127</t>
        </is>
      </c>
      <c r="C580" s="5" t="inlineStr">
        <is>
          <t>region between joints</t>
        </is>
      </c>
      <c r="D580" s="5" t="inlineStr">
        <is>
          <t>solid</t>
        </is>
      </c>
      <c r="E580" s="5" t="n">
        <v>30</v>
      </c>
      <c r="F580" s="5" t="inlineStr">
        <is>
          <t>retaining_wall</t>
        </is>
      </c>
      <c r="G580" s="5" t="inlineStr">
        <is>
          <t>Retaining wall VP20 15.24 × 0.20 m</t>
        </is>
      </c>
      <c r="H580" s="5" t="inlineStr">
        <is>
          <t>its own label (the cluster's class was only a guess)</t>
        </is>
      </c>
      <c r="I580" s="5" t="inlineStr">
        <is>
          <t>VP20</t>
        </is>
      </c>
      <c r="J580" s="5" t="inlineStr">
        <is>
          <t>printed label</t>
        </is>
      </c>
      <c r="K580" s="5" t="inlineStr">
        <is>
          <t>VP20-SF1 80x25</t>
        </is>
      </c>
      <c r="L580" s="5" t="n">
        <v>1524</v>
      </c>
      <c r="M580" s="5" t="n">
        <v>20</v>
      </c>
      <c r="N580" s="10">
        <f>IF(AND(ISNUMBER(L580),M580&gt;0),L580/M580,"")</f>
        <v/>
      </c>
      <c r="O580" s="5" t="n">
        <v>3.065</v>
      </c>
      <c r="P580" s="5" t="n">
        <v>26.6</v>
      </c>
      <c r="Q580" s="5" t="n">
        <v>3</v>
      </c>
      <c r="R580" s="5" t="n">
        <v>0</v>
      </c>
      <c r="S580" s="5" t="n">
        <v>0</v>
      </c>
      <c r="T580" s="5" t="n">
        <v>0</v>
      </c>
      <c r="U580" s="5" t="n">
        <v>1</v>
      </c>
      <c r="V580" s="5" t="n">
        <v>2</v>
      </c>
      <c r="W580" s="5" t="n">
        <v>18</v>
      </c>
      <c r="X580" s="5" t="n">
        <v>4</v>
      </c>
      <c r="Y580" s="5" t="n"/>
      <c r="Z580" s="5" t="inlineStr"/>
      <c r="AA580" s="5" t="n">
        <v>1745.5</v>
      </c>
      <c r="AB580" s="5" t="n">
        <v>2959.8</v>
      </c>
      <c r="AC580" s="5" t="n">
        <v>2150.3</v>
      </c>
      <c r="AD580" s="5" t="n">
        <v>3166.8</v>
      </c>
      <c r="AE580" s="5" t="inlineStr"/>
      <c r="AF580" s="5">
        <f>IF(AE580="","",IF(OR(AE580=F580,AND(AE580="crane_footing",F580="isolated_footing")),"yes","no"))</f>
        <v/>
      </c>
    </row>
    <row r="581">
      <c r="A581" s="5" t="n">
        <v>580</v>
      </c>
      <c r="B581" s="5" t="inlineStr">
        <is>
          <t>127</t>
        </is>
      </c>
      <c r="C581" s="5" t="inlineStr">
        <is>
          <t>region between joints</t>
        </is>
      </c>
      <c r="D581" s="5" t="inlineStr">
        <is>
          <t>solid</t>
        </is>
      </c>
      <c r="E581" s="5" t="n">
        <v>30</v>
      </c>
      <c r="F581" s="5" t="inlineStr">
        <is>
          <t>retaining_wall</t>
        </is>
      </c>
      <c r="G581" s="5" t="inlineStr">
        <is>
          <t>Retaining wall VP20 6.79 × 0.20 m</t>
        </is>
      </c>
      <c r="H581" s="5" t="inlineStr">
        <is>
          <t>its own label (the cluster's class was only a guess)</t>
        </is>
      </c>
      <c r="I581" s="5" t="inlineStr">
        <is>
          <t>VP20</t>
        </is>
      </c>
      <c r="J581" s="5" t="inlineStr">
        <is>
          <t>printed label</t>
        </is>
      </c>
      <c r="K581" s="5" t="inlineStr">
        <is>
          <t>VP20-SF1 80x25</t>
        </is>
      </c>
      <c r="L581" s="5" t="n">
        <v>679</v>
      </c>
      <c r="M581" s="5" t="n">
        <v>20</v>
      </c>
      <c r="N581" s="10">
        <f>IF(AND(ISNUMBER(L581),M581&gt;0),L581/M581,"")</f>
        <v/>
      </c>
      <c r="O581" s="5" t="n">
        <v>1.359</v>
      </c>
      <c r="P581" s="5" t="n">
        <v>26.6</v>
      </c>
      <c r="Q581" s="5" t="n">
        <v>1</v>
      </c>
      <c r="R581" s="5" t="n">
        <v>0</v>
      </c>
      <c r="S581" s="5" t="n">
        <v>1</v>
      </c>
      <c r="T581" s="5" t="n">
        <v>0</v>
      </c>
      <c r="U581" s="5" t="n">
        <v>1</v>
      </c>
      <c r="V581" s="5" t="n">
        <v>0</v>
      </c>
      <c r="W581" s="5" t="n">
        <v>5</v>
      </c>
      <c r="X581" s="5" t="n">
        <v>1</v>
      </c>
      <c r="Y581" s="5" t="n"/>
      <c r="Z581" s="5" t="inlineStr"/>
      <c r="AA581" s="5" t="n">
        <v>2229.7</v>
      </c>
      <c r="AB581" s="5" t="n">
        <v>3202.1</v>
      </c>
      <c r="AC581" s="5" t="n">
        <v>2411.5</v>
      </c>
      <c r="AD581" s="5" t="n">
        <v>3297.2</v>
      </c>
      <c r="AE581" s="5" t="inlineStr"/>
      <c r="AF581" s="5">
        <f>IF(AE581="","",IF(OR(AE581=F581,AND(AE581="crane_footing",F581="isolated_footing")),"yes","no"))</f>
        <v/>
      </c>
    </row>
    <row r="582">
      <c r="A582" s="5" t="n">
        <v>581</v>
      </c>
      <c r="B582" s="5" t="inlineStr">
        <is>
          <t>127</t>
        </is>
      </c>
      <c r="C582" s="5" t="inlineStr">
        <is>
          <t>region between joints</t>
        </is>
      </c>
      <c r="D582" s="5" t="inlineStr">
        <is>
          <t>solid</t>
        </is>
      </c>
      <c r="E582" s="5" t="n">
        <v>27</v>
      </c>
      <c r="F582" s="5" t="inlineStr">
        <is>
          <t>retaining_wall</t>
        </is>
      </c>
      <c r="G582" s="5" t="inlineStr">
        <is>
          <t>Retaining wall ~VP25 4.75 × 0.25 m</t>
        </is>
      </c>
      <c r="H582" s="5" t="inlineStr">
        <is>
          <t>rule: unlabelled wall along the building edge or on a strip footing</t>
        </is>
      </c>
      <c r="I582" s="5" t="inlineStr">
        <is>
          <t>VP25</t>
        </is>
      </c>
      <c r="J582" s="5" t="inlineStr">
        <is>
          <t>inferred: the thickness of this retaining-wall type</t>
        </is>
      </c>
      <c r="K582" s="5" t="inlineStr"/>
      <c r="L582" s="5" t="n">
        <v>475</v>
      </c>
      <c r="M582" s="5" t="n">
        <v>25</v>
      </c>
      <c r="N582" s="10">
        <f>IF(AND(ISNUMBER(L582),M582&gt;0),L582/M582,"")</f>
        <v/>
      </c>
      <c r="O582" s="5" t="n">
        <v>1.192</v>
      </c>
      <c r="P582" s="5" t="n">
        <v>116.6</v>
      </c>
      <c r="Q582" s="5" t="n">
        <v>1</v>
      </c>
      <c r="R582" s="5" t="n">
        <v>0</v>
      </c>
      <c r="S582" s="5" t="n">
        <v>0</v>
      </c>
      <c r="T582" s="5" t="n">
        <v>1</v>
      </c>
      <c r="U582" s="5" t="n">
        <v>1</v>
      </c>
      <c r="V582" s="5" t="n">
        <v>0</v>
      </c>
      <c r="W582" s="5" t="n">
        <v>6</v>
      </c>
      <c r="X582" s="5" t="n">
        <v>0</v>
      </c>
      <c r="Y582" s="5" t="n"/>
      <c r="Z582" s="5" t="inlineStr"/>
      <c r="AA582" s="5" t="n">
        <v>2109.7</v>
      </c>
      <c r="AB582" s="5" t="n">
        <v>3299</v>
      </c>
      <c r="AC582" s="5" t="n">
        <v>2179.2</v>
      </c>
      <c r="AD582" s="5" t="n">
        <v>3427.7</v>
      </c>
      <c r="AE582" s="5" t="inlineStr"/>
      <c r="AF582" s="5">
        <f>IF(AE582="","",IF(OR(AE582=F582,AND(AE582="crane_footing",F582="isolated_footing")),"yes","no"))</f>
        <v/>
      </c>
    </row>
    <row r="583">
      <c r="A583" s="5" t="n">
        <v>582</v>
      </c>
      <c r="B583" s="5" t="inlineStr">
        <is>
          <t>127</t>
        </is>
      </c>
      <c r="C583" s="5" t="inlineStr">
        <is>
          <t>region between joints</t>
        </is>
      </c>
      <c r="D583" s="5" t="inlineStr">
        <is>
          <t>solid</t>
        </is>
      </c>
      <c r="E583" s="5" t="n">
        <v>27</v>
      </c>
      <c r="F583" s="5" t="inlineStr">
        <is>
          <t>retaining_wall</t>
        </is>
      </c>
      <c r="G583" s="5" t="inlineStr">
        <is>
          <t>Retaining wall ~VP25 1.75 × 0.25 m</t>
        </is>
      </c>
      <c r="H583" s="5" t="inlineStr">
        <is>
          <t>rule: unlabelled wall along the building edge or on a strip footing</t>
        </is>
      </c>
      <c r="I583" s="5" t="inlineStr">
        <is>
          <t>VP25</t>
        </is>
      </c>
      <c r="J583" s="5" t="inlineStr">
        <is>
          <t>inferred: the thickness of this retaining-wall type</t>
        </is>
      </c>
      <c r="K583" s="5" t="inlineStr"/>
      <c r="L583" s="5" t="n">
        <v>175</v>
      </c>
      <c r="M583" s="5" t="n">
        <v>25</v>
      </c>
      <c r="N583" s="10">
        <f>IF(AND(ISNUMBER(L583),M583&gt;0),L583/M583,"")</f>
        <v/>
      </c>
      <c r="O583" s="5" t="n">
        <v>0.437</v>
      </c>
      <c r="P583" s="5" t="n">
        <v>26.7</v>
      </c>
      <c r="Q583" s="5" t="n">
        <v>1</v>
      </c>
      <c r="R583" s="5" t="n">
        <v>0</v>
      </c>
      <c r="S583" s="5" t="n">
        <v>0</v>
      </c>
      <c r="T583" s="5" t="n">
        <v>1</v>
      </c>
      <c r="U583" s="5" t="n">
        <v>1</v>
      </c>
      <c r="V583" s="5" t="n">
        <v>0</v>
      </c>
      <c r="W583" s="5" t="n">
        <v>1</v>
      </c>
      <c r="X583" s="5" t="n">
        <v>0</v>
      </c>
      <c r="Y583" s="5" t="n"/>
      <c r="Z583" s="5" t="inlineStr"/>
      <c r="AA583" s="5" t="n">
        <v>2031.9</v>
      </c>
      <c r="AB583" s="5" t="n">
        <v>3378.7</v>
      </c>
      <c r="AC583" s="5" t="n">
        <v>2081.4</v>
      </c>
      <c r="AD583" s="5" t="n">
        <v>3408.5</v>
      </c>
      <c r="AE583" s="5" t="inlineStr"/>
      <c r="AF583" s="5">
        <f>IF(AE583="","",IF(OR(AE583=F583,AND(AE583="crane_footing",F583="isolated_footing")),"yes","no"))</f>
        <v/>
      </c>
    </row>
    <row r="584">
      <c r="A584" s="5" t="n">
        <v>583</v>
      </c>
      <c r="B584" s="5" t="inlineStr">
        <is>
          <t>127</t>
        </is>
      </c>
      <c r="C584" s="5" t="inlineStr">
        <is>
          <t>region between joints</t>
        </is>
      </c>
      <c r="D584" s="5" t="inlineStr">
        <is>
          <t>solid</t>
        </is>
      </c>
      <c r="E584" s="5" t="n">
        <v>29</v>
      </c>
      <c r="F584" s="5" t="inlineStr">
        <is>
          <t>retaining_wall</t>
        </is>
      </c>
      <c r="G584" s="5" t="inlineStr">
        <is>
          <t>Retaining wall ~VP25 4.75 × 0.25 m</t>
        </is>
      </c>
      <c r="H584" s="5" t="inlineStr">
        <is>
          <t>rule: unlabelled wall along the building edge or on a strip footing</t>
        </is>
      </c>
      <c r="I584" s="5" t="inlineStr">
        <is>
          <t>VP25</t>
        </is>
      </c>
      <c r="J584" s="5" t="inlineStr">
        <is>
          <t>inferred: the thickness of this retaining-wall type</t>
        </is>
      </c>
      <c r="K584" s="5" t="inlineStr"/>
      <c r="L584" s="5" t="n">
        <v>475</v>
      </c>
      <c r="M584" s="5" t="n">
        <v>25</v>
      </c>
      <c r="N584" s="10">
        <f>IF(AND(ISNUMBER(L584),M584&gt;0),L584/M584,"")</f>
        <v/>
      </c>
      <c r="O584" s="5" t="n">
        <v>1.195</v>
      </c>
      <c r="P584" s="5" t="n">
        <v>116.6</v>
      </c>
      <c r="Q584" s="5" t="n">
        <v>1</v>
      </c>
      <c r="R584" s="5" t="n">
        <v>0</v>
      </c>
      <c r="S584" s="5" t="n">
        <v>0</v>
      </c>
      <c r="T584" s="5" t="n">
        <v>1</v>
      </c>
      <c r="U584" s="5" t="n">
        <v>1</v>
      </c>
      <c r="V584" s="5" t="n">
        <v>0</v>
      </c>
      <c r="W584" s="5" t="n">
        <v>4</v>
      </c>
      <c r="X584" s="5" t="n">
        <v>0</v>
      </c>
      <c r="Y584" s="5" t="n"/>
      <c r="Z584" s="5" t="inlineStr"/>
      <c r="AA584" s="5" t="n">
        <v>2035.3</v>
      </c>
      <c r="AB584" s="5" t="n">
        <v>3253.3</v>
      </c>
      <c r="AC584" s="5" t="n">
        <v>2104.7</v>
      </c>
      <c r="AD584" s="5" t="n">
        <v>3382</v>
      </c>
      <c r="AE584" s="5" t="inlineStr"/>
      <c r="AF584" s="5">
        <f>IF(AE584="","",IF(OR(AE584=F584,AND(AE584="crane_footing",F584="isolated_footing")),"yes","no"))</f>
        <v/>
      </c>
    </row>
    <row r="585">
      <c r="A585" s="5" t="n">
        <v>584</v>
      </c>
      <c r="B585" s="5" t="inlineStr">
        <is>
          <t>127</t>
        </is>
      </c>
      <c r="C585" s="5" t="inlineStr">
        <is>
          <t>region between joints</t>
        </is>
      </c>
      <c r="D585" s="5" t="inlineStr">
        <is>
          <t>outline</t>
        </is>
      </c>
      <c r="E585" s="5" t="n">
        <v>19</v>
      </c>
      <c r="F585" s="5" t="inlineStr">
        <is>
          <t>isolated_footing</t>
        </is>
      </c>
      <c r="G585" s="5" t="inlineStr">
        <is>
          <t>Isolated footing S0(240x240x60) 2.40 × 2.40 m</t>
        </is>
      </c>
      <c r="H585" s="5" t="inlineStr">
        <is>
          <t>label vote</t>
        </is>
      </c>
      <c r="I585" s="5" t="inlineStr">
        <is>
          <t>S0(240x240x60)</t>
        </is>
      </c>
      <c r="J585" s="5" t="inlineStr">
        <is>
          <t>printed label</t>
        </is>
      </c>
      <c r="K585" s="5" t="inlineStr">
        <is>
          <t>S0 (240x240x60)</t>
        </is>
      </c>
      <c r="L585" s="5" t="n">
        <v>240</v>
      </c>
      <c r="M585" s="5" t="n">
        <v>240</v>
      </c>
      <c r="N585" s="10">
        <f>IF(AND(ISNUMBER(L585),M585&gt;0),L585/M585,"")</f>
        <v/>
      </c>
      <c r="O585" s="5" t="n">
        <v>5.761</v>
      </c>
      <c r="P585" s="5" t="n">
        <v>116.7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5</v>
      </c>
      <c r="X585" s="5" t="n">
        <v>3</v>
      </c>
      <c r="Y585" s="5" t="n"/>
      <c r="Z585" s="5" t="inlineStr"/>
      <c r="AA585" s="5" t="n">
        <v>2278.1</v>
      </c>
      <c r="AB585" s="5" t="n">
        <v>2780.1</v>
      </c>
      <c r="AC585" s="5" t="n">
        <v>2373.3</v>
      </c>
      <c r="AD585" s="5" t="n">
        <v>2875.2</v>
      </c>
      <c r="AE585" s="5" t="inlineStr">
        <is>
          <t>crane_footing</t>
        </is>
      </c>
      <c r="AF585" s="5">
        <f>IF(AE585="","",IF(OR(AE585=F585,AND(AE585="crane_footing",F585="isolated_footing")),"yes","no"))</f>
        <v/>
      </c>
    </row>
    <row r="586">
      <c r="A586" s="5" t="n">
        <v>585</v>
      </c>
      <c r="B586" s="5" t="inlineStr">
        <is>
          <t>127</t>
        </is>
      </c>
      <c r="C586" s="5" t="inlineStr">
        <is>
          <t>region between joints</t>
        </is>
      </c>
      <c r="D586" s="5" t="inlineStr">
        <is>
          <t>outline</t>
        </is>
      </c>
      <c r="E586" s="5" t="n">
        <v>19</v>
      </c>
      <c r="F586" s="5" t="inlineStr">
        <is>
          <t>isolated_footing</t>
        </is>
      </c>
      <c r="G586" s="5" t="inlineStr">
        <is>
          <t>Isolated footing S0(240x240x60) 2.40 × 2.40 m</t>
        </is>
      </c>
      <c r="H586" s="5" t="inlineStr">
        <is>
          <t>label vote</t>
        </is>
      </c>
      <c r="I586" s="5" t="inlineStr">
        <is>
          <t>S0(240x240x60)</t>
        </is>
      </c>
      <c r="J586" s="5" t="inlineStr">
        <is>
          <t>printed label</t>
        </is>
      </c>
      <c r="K586" s="5" t="inlineStr">
        <is>
          <t>S0 (240x240x60)</t>
        </is>
      </c>
      <c r="L586" s="5" t="n">
        <v>240</v>
      </c>
      <c r="M586" s="5" t="n">
        <v>240</v>
      </c>
      <c r="N586" s="10">
        <f>IF(AND(ISNUMBER(L586),M586&gt;0),L586/M586,"")</f>
        <v/>
      </c>
      <c r="O586" s="5" t="n">
        <v>5.761</v>
      </c>
      <c r="P586" s="5" t="n">
        <v>26.7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5</v>
      </c>
      <c r="X586" s="5" t="n">
        <v>3</v>
      </c>
      <c r="Y586" s="5" t="n"/>
      <c r="Z586" s="5" t="inlineStr"/>
      <c r="AA586" s="5" t="n">
        <v>2199.2</v>
      </c>
      <c r="AB586" s="5" t="n">
        <v>2542.4</v>
      </c>
      <c r="AC586" s="5" t="n">
        <v>2294.3</v>
      </c>
      <c r="AD586" s="5" t="n">
        <v>2637.5</v>
      </c>
      <c r="AE586" s="5" t="inlineStr">
        <is>
          <t>crane_footing</t>
        </is>
      </c>
      <c r="AF586" s="5">
        <f>IF(AE586="","",IF(OR(AE586=F586,AND(AE586="crane_footing",F586="isolated_footing")),"yes","no"))</f>
        <v/>
      </c>
    </row>
    <row r="587">
      <c r="A587" s="5" t="n">
        <v>586</v>
      </c>
      <c r="B587" s="5" t="inlineStr">
        <is>
          <t>127</t>
        </is>
      </c>
      <c r="C587" s="5" t="inlineStr">
        <is>
          <t>region between joints</t>
        </is>
      </c>
      <c r="D587" s="5" t="inlineStr">
        <is>
          <t>outline</t>
        </is>
      </c>
      <c r="E587" s="5" t="n">
        <v>19</v>
      </c>
      <c r="F587" s="5" t="inlineStr">
        <is>
          <t>isolated_footing</t>
        </is>
      </c>
      <c r="G587" s="5" t="inlineStr">
        <is>
          <t>Isolated footing S0(240x240x60) 2.40 × 2.40 m</t>
        </is>
      </c>
      <c r="H587" s="5" t="inlineStr">
        <is>
          <t>label vote</t>
        </is>
      </c>
      <c r="I587" s="5" t="inlineStr">
        <is>
          <t>S0(240x240x60)</t>
        </is>
      </c>
      <c r="J587" s="5" t="inlineStr">
        <is>
          <t>printed label</t>
        </is>
      </c>
      <c r="K587" s="5" t="inlineStr">
        <is>
          <t>S0 (240x240x60)</t>
        </is>
      </c>
      <c r="L587" s="5" t="n">
        <v>240</v>
      </c>
      <c r="M587" s="5" t="n">
        <v>240</v>
      </c>
      <c r="N587" s="10">
        <f>IF(AND(ISNUMBER(L587),M587&gt;0),L587/M587,"")</f>
        <v/>
      </c>
      <c r="O587" s="5" t="n">
        <v>5.761</v>
      </c>
      <c r="P587" s="5" t="n">
        <v>26.7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4</v>
      </c>
      <c r="X587" s="5" t="n">
        <v>3</v>
      </c>
      <c r="Y587" s="5" t="n"/>
      <c r="Z587" s="5" t="inlineStr"/>
      <c r="AA587" s="5" t="n">
        <v>2119.7</v>
      </c>
      <c r="AB587" s="5" t="n">
        <v>2700.7</v>
      </c>
      <c r="AC587" s="5" t="n">
        <v>2214.9</v>
      </c>
      <c r="AD587" s="5" t="n">
        <v>2795.9</v>
      </c>
      <c r="AE587" s="5" t="inlineStr">
        <is>
          <t>crane_footing</t>
        </is>
      </c>
      <c r="AF587" s="5">
        <f>IF(AE587="","",IF(OR(AE587=F587,AND(AE587="crane_footing",F587="isolated_footing")),"yes","no"))</f>
        <v/>
      </c>
    </row>
    <row r="588">
      <c r="A588" s="5" t="n">
        <v>587</v>
      </c>
      <c r="B588" s="5" t="inlineStr">
        <is>
          <t>127</t>
        </is>
      </c>
      <c r="C588" s="5" t="inlineStr">
        <is>
          <t>region between joints</t>
        </is>
      </c>
      <c r="D588" s="5" t="inlineStr">
        <is>
          <t>outline</t>
        </is>
      </c>
      <c r="E588" s="5" t="n">
        <v>19</v>
      </c>
      <c r="F588" s="5" t="inlineStr">
        <is>
          <t>isolated_footing</t>
        </is>
      </c>
      <c r="G588" s="5" t="inlineStr">
        <is>
          <t>Isolated footing S0(240x240x60) 2.40 × 2.40 m</t>
        </is>
      </c>
      <c r="H588" s="5" t="inlineStr">
        <is>
          <t>label vote</t>
        </is>
      </c>
      <c r="I588" s="5" t="inlineStr">
        <is>
          <t>S0(240x240x60)</t>
        </is>
      </c>
      <c r="J588" s="5" t="inlineStr">
        <is>
          <t>printed label</t>
        </is>
      </c>
      <c r="K588" s="5" t="inlineStr">
        <is>
          <t>S0 (240x240x60)</t>
        </is>
      </c>
      <c r="L588" s="5" t="n">
        <v>240</v>
      </c>
      <c r="M588" s="5" t="n">
        <v>240</v>
      </c>
      <c r="N588" s="10">
        <f>IF(AND(ISNUMBER(L588),M588&gt;0),L588/M588,"")</f>
        <v/>
      </c>
      <c r="O588" s="5" t="n">
        <v>5.759</v>
      </c>
      <c r="P588" s="5" t="n">
        <v>26.6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7</v>
      </c>
      <c r="X588" s="5" t="n">
        <v>2</v>
      </c>
      <c r="Y588" s="5" t="n"/>
      <c r="Z588" s="5" t="inlineStr"/>
      <c r="AA588" s="5" t="n">
        <v>2357.6</v>
      </c>
      <c r="AB588" s="5" t="n">
        <v>2621.8</v>
      </c>
      <c r="AC588" s="5" t="n">
        <v>2452.7</v>
      </c>
      <c r="AD588" s="5" t="n">
        <v>2716.9</v>
      </c>
      <c r="AE588" s="5" t="inlineStr">
        <is>
          <t>crane_footing</t>
        </is>
      </c>
      <c r="AF588" s="5">
        <f>IF(AE588="","",IF(OR(AE588=F588,AND(AE588="crane_footing",F588="isolated_footing")),"yes","no"))</f>
        <v/>
      </c>
    </row>
    <row r="589">
      <c r="A589" s="5" t="n">
        <v>588</v>
      </c>
      <c r="B589" s="5" t="inlineStr">
        <is>
          <t>127</t>
        </is>
      </c>
      <c r="C589" s="5" t="inlineStr">
        <is>
          <t>own label</t>
        </is>
      </c>
      <c r="D589" s="5" t="inlineStr">
        <is>
          <t>outline</t>
        </is>
      </c>
      <c r="E589" s="5" t="n">
        <v>13</v>
      </c>
      <c r="F589" s="5" t="inlineStr">
        <is>
          <t>isolated_footing</t>
        </is>
      </c>
      <c r="G589" s="5" t="inlineStr">
        <is>
          <t>Isolated footing S11 5.00 × 4.00 m</t>
        </is>
      </c>
      <c r="H589" s="5" t="inlineStr">
        <is>
          <t>label vote</t>
        </is>
      </c>
      <c r="I589" s="5" t="inlineStr">
        <is>
          <t>S11</t>
        </is>
      </c>
      <c r="J589" s="5" t="inlineStr">
        <is>
          <t>printed label</t>
        </is>
      </c>
      <c r="K589" s="5" t="inlineStr">
        <is>
          <t>S11-127127</t>
        </is>
      </c>
      <c r="L589" s="5" t="n">
        <v>500</v>
      </c>
      <c r="M589" s="5" t="n">
        <v>400</v>
      </c>
      <c r="N589" s="10">
        <f>IF(AND(ISNUMBER(L589),M589&gt;0),L589/M589,"")</f>
        <v/>
      </c>
      <c r="O589" s="5" t="n">
        <v>20.003</v>
      </c>
      <c r="P589" s="5" t="n">
        <v>26.6</v>
      </c>
      <c r="Q589" s="5" t="n">
        <v>2</v>
      </c>
      <c r="R589" s="5" t="n">
        <v>0</v>
      </c>
      <c r="S589" s="5" t="n">
        <v>0</v>
      </c>
      <c r="T589" s="5" t="n">
        <v>0</v>
      </c>
      <c r="U589" s="5" t="n">
        <v>1</v>
      </c>
      <c r="V589" s="5" t="n">
        <v>1</v>
      </c>
      <c r="W589" s="5" t="n">
        <v>15</v>
      </c>
      <c r="X589" s="5" t="n">
        <v>5</v>
      </c>
      <c r="Y589" s="5" t="n"/>
      <c r="Z589" s="5" t="inlineStr"/>
      <c r="AA589" s="5" t="n">
        <v>1784.4</v>
      </c>
      <c r="AB589" s="5" t="n">
        <v>2940.1</v>
      </c>
      <c r="AC589" s="5" t="n">
        <v>1969.3</v>
      </c>
      <c r="AD589" s="5" t="n">
        <v>3111.9</v>
      </c>
      <c r="AE589" s="5" t="inlineStr">
        <is>
          <t>isolated_footing</t>
        </is>
      </c>
      <c r="AF589" s="5">
        <f>IF(AE589="","",IF(OR(AE589=F589,AND(AE589="crane_footing",F589="isolated_footing")),"yes","no"))</f>
        <v/>
      </c>
    </row>
    <row r="590">
      <c r="A590" s="5" t="n">
        <v>589</v>
      </c>
      <c r="B590" s="5" t="inlineStr">
        <is>
          <t>127</t>
        </is>
      </c>
      <c r="C590" s="5" t="inlineStr">
        <is>
          <t>own label</t>
        </is>
      </c>
      <c r="D590" s="5" t="inlineStr">
        <is>
          <t>outline</t>
        </is>
      </c>
      <c r="E590" s="5" t="n">
        <v>13</v>
      </c>
      <c r="F590" s="5" t="inlineStr">
        <is>
          <t>isolated_footing</t>
        </is>
      </c>
      <c r="G590" s="5" t="inlineStr">
        <is>
          <t>Isolated footing S16 6.00 × 4.00 m</t>
        </is>
      </c>
      <c r="H590" s="5" t="inlineStr">
        <is>
          <t>label vote</t>
        </is>
      </c>
      <c r="I590" s="5" t="inlineStr">
        <is>
          <t>S16</t>
        </is>
      </c>
      <c r="J590" s="5" t="inlineStr">
        <is>
          <t>printed label</t>
        </is>
      </c>
      <c r="K590" s="5" t="inlineStr">
        <is>
          <t>S16-127</t>
        </is>
      </c>
      <c r="L590" s="5" t="n">
        <v>600</v>
      </c>
      <c r="M590" s="5" t="n">
        <v>400</v>
      </c>
      <c r="N590" s="10">
        <f>IF(AND(ISNUMBER(L590),M590&gt;0),L590/M590,"")</f>
        <v/>
      </c>
      <c r="O590" s="5" t="n">
        <v>24.005</v>
      </c>
      <c r="P590" s="5" t="n">
        <v>116.6</v>
      </c>
      <c r="Q590" s="5" t="n">
        <v>1</v>
      </c>
      <c r="R590" s="5" t="n">
        <v>0</v>
      </c>
      <c r="S590" s="5" t="n">
        <v>0</v>
      </c>
      <c r="T590" s="5" t="n">
        <v>0</v>
      </c>
      <c r="U590" s="5" t="n">
        <v>1</v>
      </c>
      <c r="V590" s="5" t="n">
        <v>1</v>
      </c>
      <c r="W590" s="5" t="n">
        <v>16</v>
      </c>
      <c r="X590" s="5" t="n">
        <v>6</v>
      </c>
      <c r="Y590" s="5" t="n"/>
      <c r="Z590" s="5" t="inlineStr"/>
      <c r="AA590" s="5" t="n">
        <v>2148.6</v>
      </c>
      <c r="AB590" s="5" t="n">
        <v>2864.4</v>
      </c>
      <c r="AC590" s="5" t="n">
        <v>2333.6</v>
      </c>
      <c r="AD590" s="5" t="n">
        <v>3075.7</v>
      </c>
      <c r="AE590" s="5" t="inlineStr">
        <is>
          <t>isolated_footing</t>
        </is>
      </c>
      <c r="AF590" s="5">
        <f>IF(AE590="","",IF(OR(AE590=F590,AND(AE590="crane_footing",F590="isolated_footing")),"yes","no"))</f>
        <v/>
      </c>
    </row>
    <row r="591">
      <c r="A591" s="5" t="n">
        <v>590</v>
      </c>
      <c r="B591" s="5" t="inlineStr">
        <is>
          <t>127</t>
        </is>
      </c>
      <c r="C591" s="5" t="inlineStr">
        <is>
          <t>own label</t>
        </is>
      </c>
      <c r="D591" s="5" t="inlineStr">
        <is>
          <t>outline</t>
        </is>
      </c>
      <c r="E591" s="5" t="n">
        <v>13</v>
      </c>
      <c r="F591" s="5" t="inlineStr">
        <is>
          <t>isolated_footing</t>
        </is>
      </c>
      <c r="G591" s="5" t="inlineStr">
        <is>
          <t>Isolated footing S16 6.00 × 4.00 m</t>
        </is>
      </c>
      <c r="H591" s="5" t="inlineStr">
        <is>
          <t>label vote</t>
        </is>
      </c>
      <c r="I591" s="5" t="inlineStr">
        <is>
          <t>S16</t>
        </is>
      </c>
      <c r="J591" s="5" t="inlineStr">
        <is>
          <t>printed label</t>
        </is>
      </c>
      <c r="K591" s="5" t="inlineStr">
        <is>
          <t>S16-127</t>
        </is>
      </c>
      <c r="L591" s="5" t="n">
        <v>600</v>
      </c>
      <c r="M591" s="5" t="n">
        <v>400</v>
      </c>
      <c r="N591" s="10">
        <f>IF(AND(ISNUMBER(L591),M591&gt;0),L591/M591,"")</f>
        <v/>
      </c>
      <c r="O591" s="5" t="n">
        <v>23.997</v>
      </c>
      <c r="P591" s="5" t="n">
        <v>116.6</v>
      </c>
      <c r="Q591" s="5" t="n">
        <v>1</v>
      </c>
      <c r="R591" s="5" t="n">
        <v>0</v>
      </c>
      <c r="S591" s="5" t="n">
        <v>0</v>
      </c>
      <c r="T591" s="5" t="n">
        <v>0</v>
      </c>
      <c r="U591" s="5" t="n">
        <v>1</v>
      </c>
      <c r="V591" s="5" t="n">
        <v>1</v>
      </c>
      <c r="W591" s="5" t="n">
        <v>10</v>
      </c>
      <c r="X591" s="5" t="n">
        <v>7</v>
      </c>
      <c r="Y591" s="5" t="n"/>
      <c r="Z591" s="5" t="inlineStr"/>
      <c r="AA591" s="5" t="n">
        <v>1928.1</v>
      </c>
      <c r="AB591" s="5" t="n">
        <v>2761.5</v>
      </c>
      <c r="AC591" s="5" t="n">
        <v>2113.1</v>
      </c>
      <c r="AD591" s="5" t="n">
        <v>2972.9</v>
      </c>
      <c r="AE591" s="5" t="inlineStr">
        <is>
          <t>isolated_footing</t>
        </is>
      </c>
      <c r="AF591" s="5">
        <f>IF(AE591="","",IF(OR(AE591=F591,AND(AE591="crane_footing",F591="isolated_footing")),"yes","no"))</f>
        <v/>
      </c>
    </row>
    <row r="592">
      <c r="A592" s="5" t="n">
        <v>591</v>
      </c>
      <c r="B592" s="5" t="inlineStr">
        <is>
          <t>127</t>
        </is>
      </c>
      <c r="C592" s="5" t="inlineStr">
        <is>
          <t>own label</t>
        </is>
      </c>
      <c r="D592" s="5" t="inlineStr">
        <is>
          <t>outline</t>
        </is>
      </c>
      <c r="E592" s="5" t="n">
        <v>12</v>
      </c>
      <c r="F592" s="5" t="inlineStr">
        <is>
          <t>isolated_footing</t>
        </is>
      </c>
      <c r="G592" s="5" t="inlineStr">
        <is>
          <t>Isolated footing S2 3.50 × 2.00 m</t>
        </is>
      </c>
      <c r="H592" s="5" t="inlineStr">
        <is>
          <t>label vote</t>
        </is>
      </c>
      <c r="I592" s="5" t="inlineStr">
        <is>
          <t>S2</t>
        </is>
      </c>
      <c r="J592" s="5" t="inlineStr">
        <is>
          <t>printed label</t>
        </is>
      </c>
      <c r="K592" s="5" t="inlineStr">
        <is>
          <t>S2-127127</t>
        </is>
      </c>
      <c r="L592" s="5" t="n">
        <v>350</v>
      </c>
      <c r="M592" s="5" t="n">
        <v>200</v>
      </c>
      <c r="N592" s="10">
        <f>IF(AND(ISNUMBER(L592),M592&gt;0),L592/M592,"")</f>
        <v/>
      </c>
      <c r="O592" s="5" t="n">
        <v>7.004</v>
      </c>
      <c r="P592" s="5" t="n">
        <v>116.6</v>
      </c>
      <c r="Q592" s="5" t="n">
        <v>1</v>
      </c>
      <c r="R592" s="5" t="n">
        <v>0</v>
      </c>
      <c r="S592" s="5" t="n">
        <v>0</v>
      </c>
      <c r="T592" s="5" t="n">
        <v>0</v>
      </c>
      <c r="U592" s="5" t="n">
        <v>1</v>
      </c>
      <c r="V592" s="5" t="n">
        <v>1</v>
      </c>
      <c r="W592" s="5" t="n">
        <v>3</v>
      </c>
      <c r="X592" s="5" t="n">
        <v>5</v>
      </c>
      <c r="Y592" s="5" t="n"/>
      <c r="Z592" s="5" t="inlineStr"/>
      <c r="AA592" s="5" t="n">
        <v>2349.5</v>
      </c>
      <c r="AB592" s="5" t="n">
        <v>2704.3</v>
      </c>
      <c r="AC592" s="5" t="n">
        <v>2448.6</v>
      </c>
      <c r="AD592" s="5" t="n">
        <v>2823.2</v>
      </c>
      <c r="AE592" s="5" t="inlineStr">
        <is>
          <t>isolated_footing</t>
        </is>
      </c>
      <c r="AF592" s="5">
        <f>IF(AE592="","",IF(OR(AE592=F592,AND(AE592="crane_footing",F592="isolated_footing")),"yes","no"))</f>
        <v/>
      </c>
    </row>
    <row r="593">
      <c r="A593" s="5" t="n">
        <v>592</v>
      </c>
      <c r="B593" s="5" t="inlineStr">
        <is>
          <t>127</t>
        </is>
      </c>
      <c r="C593" s="5" t="inlineStr">
        <is>
          <t>own label</t>
        </is>
      </c>
      <c r="D593" s="5" t="inlineStr">
        <is>
          <t>outline</t>
        </is>
      </c>
      <c r="E593" s="5" t="n">
        <v>12</v>
      </c>
      <c r="F593" s="5" t="inlineStr">
        <is>
          <t>isolated_footing</t>
        </is>
      </c>
      <c r="G593" s="5" t="inlineStr">
        <is>
          <t>Isolated footing S2 3.50 × 2.00 m</t>
        </is>
      </c>
      <c r="H593" s="5" t="inlineStr">
        <is>
          <t>label vote</t>
        </is>
      </c>
      <c r="I593" s="5" t="inlineStr">
        <is>
          <t>S2</t>
        </is>
      </c>
      <c r="J593" s="5" t="inlineStr">
        <is>
          <t>printed label</t>
        </is>
      </c>
      <c r="K593" s="5" t="inlineStr">
        <is>
          <t>S2-127</t>
        </is>
      </c>
      <c r="L593" s="5" t="n">
        <v>350</v>
      </c>
      <c r="M593" s="5" t="n">
        <v>200</v>
      </c>
      <c r="N593" s="10">
        <f>IF(AND(ISNUMBER(L593),M593&gt;0),L593/M593,"")</f>
        <v/>
      </c>
      <c r="O593" s="5" t="n">
        <v>7.004</v>
      </c>
      <c r="P593" s="5" t="n">
        <v>116.6</v>
      </c>
      <c r="Q593" s="5" t="n">
        <v>1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1</v>
      </c>
      <c r="W593" s="5" t="n">
        <v>43</v>
      </c>
      <c r="X593" s="5" t="n">
        <v>3</v>
      </c>
      <c r="Y593" s="5" t="n"/>
      <c r="Z593" s="5" t="inlineStr"/>
      <c r="AA593" s="5" t="n">
        <v>2247.2</v>
      </c>
      <c r="AB593" s="5" t="n">
        <v>3000.4</v>
      </c>
      <c r="AC593" s="5" t="n">
        <v>2346.3</v>
      </c>
      <c r="AD593" s="5" t="n">
        <v>3119.2</v>
      </c>
      <c r="AE593" s="5" t="inlineStr">
        <is>
          <t>isolated_footing</t>
        </is>
      </c>
      <c r="AF593" s="5">
        <f>IF(AE593="","",IF(OR(AE593=F593,AND(AE593="crane_footing",F593="isolated_footing")),"yes","no"))</f>
        <v/>
      </c>
    </row>
    <row r="594">
      <c r="A594" s="5" t="n">
        <v>593</v>
      </c>
      <c r="B594" s="5" t="inlineStr">
        <is>
          <t>127</t>
        </is>
      </c>
      <c r="C594" s="5" t="inlineStr">
        <is>
          <t>own label</t>
        </is>
      </c>
      <c r="D594" s="5" t="inlineStr">
        <is>
          <t>outline</t>
        </is>
      </c>
      <c r="E594" s="5" t="n">
        <v>12</v>
      </c>
      <c r="F594" s="5" t="inlineStr">
        <is>
          <t>isolated_footing</t>
        </is>
      </c>
      <c r="G594" s="5" t="inlineStr">
        <is>
          <t>Isolated footing S2 3.50 × 2.00 m</t>
        </is>
      </c>
      <c r="H594" s="5" t="inlineStr">
        <is>
          <t>label vote</t>
        </is>
      </c>
      <c r="I594" s="5" t="inlineStr">
        <is>
          <t>S2</t>
        </is>
      </c>
      <c r="J594" s="5" t="inlineStr">
        <is>
          <t>printed label</t>
        </is>
      </c>
      <c r="K594" s="5" t="inlineStr">
        <is>
          <t>S2-127127</t>
        </is>
      </c>
      <c r="L594" s="5" t="n">
        <v>350</v>
      </c>
      <c r="M594" s="5" t="n">
        <v>200</v>
      </c>
      <c r="N594" s="10">
        <f>IF(AND(ISNUMBER(L594),M594&gt;0),L594/M594,"")</f>
        <v/>
      </c>
      <c r="O594" s="5" t="n">
        <v>6.997</v>
      </c>
      <c r="P594" s="5" t="n">
        <v>116.6</v>
      </c>
      <c r="Q594" s="5" t="n">
        <v>1</v>
      </c>
      <c r="R594" s="5" t="n">
        <v>0</v>
      </c>
      <c r="S594" s="5" t="n">
        <v>0</v>
      </c>
      <c r="T594" s="5" t="n">
        <v>0</v>
      </c>
      <c r="U594" s="5" t="n">
        <v>1</v>
      </c>
      <c r="V594" s="5" t="n">
        <v>1</v>
      </c>
      <c r="W594" s="5" t="n">
        <v>3</v>
      </c>
      <c r="X594" s="5" t="n">
        <v>2</v>
      </c>
      <c r="Y594" s="5" t="n"/>
      <c r="Z594" s="5" t="inlineStr"/>
      <c r="AA594" s="5" t="n">
        <v>2125.2</v>
      </c>
      <c r="AB594" s="5" t="n">
        <v>2591.8</v>
      </c>
      <c r="AC594" s="5" t="n">
        <v>2224.3</v>
      </c>
      <c r="AD594" s="5" t="n">
        <v>2710.7</v>
      </c>
      <c r="AE594" s="5" t="inlineStr">
        <is>
          <t>isolated_footing</t>
        </is>
      </c>
      <c r="AF594" s="5">
        <f>IF(AE594="","",IF(OR(AE594=F594,AND(AE594="crane_footing",F594="isolated_footing")),"yes","no"))</f>
        <v/>
      </c>
    </row>
    <row r="595">
      <c r="A595" s="5" t="n">
        <v>594</v>
      </c>
      <c r="B595" s="5" t="inlineStr">
        <is>
          <t>127</t>
        </is>
      </c>
      <c r="C595" s="5" t="inlineStr">
        <is>
          <t>nearest labels</t>
        </is>
      </c>
      <c r="D595" s="5" t="inlineStr">
        <is>
          <t>outline</t>
        </is>
      </c>
      <c r="E595" s="5" t="n">
        <v>15</v>
      </c>
      <c r="F595" s="5" t="inlineStr">
        <is>
          <t>combined_footing</t>
        </is>
      </c>
      <c r="G595" s="5" t="inlineStr">
        <is>
          <t>Combined footing SC2 3.50 × 2.00 m</t>
        </is>
      </c>
      <c r="H595" s="5" t="inlineStr">
        <is>
          <t>label vote</t>
        </is>
      </c>
      <c r="I595" s="5" t="inlineStr">
        <is>
          <t>SC2</t>
        </is>
      </c>
      <c r="J595" s="5" t="inlineStr">
        <is>
          <t>printed label</t>
        </is>
      </c>
      <c r="K595" s="5" t="inlineStr">
        <is>
          <t>SC2-</t>
        </is>
      </c>
      <c r="L595" s="5" t="n">
        <v>350</v>
      </c>
      <c r="M595" s="5" t="n">
        <v>200</v>
      </c>
      <c r="N595" s="10">
        <f>IF(AND(ISNUMBER(L595),M595&gt;0),L595/M595,"")</f>
        <v/>
      </c>
      <c r="O595" s="5" t="n">
        <v>7</v>
      </c>
      <c r="P595" s="5" t="n">
        <v>116.6</v>
      </c>
      <c r="Q595" s="5" t="n">
        <v>2</v>
      </c>
      <c r="R595" s="5" t="n">
        <v>0</v>
      </c>
      <c r="S595" s="5" t="n">
        <v>0</v>
      </c>
      <c r="T595" s="5" t="n">
        <v>0</v>
      </c>
      <c r="U595" s="5" t="n">
        <v>1</v>
      </c>
      <c r="V595" s="5" t="n">
        <v>2</v>
      </c>
      <c r="W595" s="5" t="n">
        <v>5</v>
      </c>
      <c r="X595" s="5" t="n">
        <v>4</v>
      </c>
      <c r="Y595" s="5" t="n"/>
      <c r="Z595" s="5" t="inlineStr"/>
      <c r="AA595" s="5" t="n">
        <v>1910.1</v>
      </c>
      <c r="AB595" s="5" t="n">
        <v>2475.6</v>
      </c>
      <c r="AC595" s="5" t="n">
        <v>2009.3</v>
      </c>
      <c r="AD595" s="5" t="n">
        <v>2594.4</v>
      </c>
      <c r="AE595" s="5" t="inlineStr">
        <is>
          <t>combined_footing</t>
        </is>
      </c>
      <c r="AF595" s="5">
        <f>IF(AE595="","",IF(OR(AE595=F595,AND(AE595="crane_footing",F595="isolated_footing")),"yes","no"))</f>
        <v/>
      </c>
    </row>
    <row r="596">
      <c r="A596" s="5" t="n">
        <v>595</v>
      </c>
      <c r="B596" s="5" t="inlineStr">
        <is>
          <t>127</t>
        </is>
      </c>
      <c r="C596" s="5" t="inlineStr">
        <is>
          <t>nearest labels</t>
        </is>
      </c>
      <c r="D596" s="5" t="inlineStr">
        <is>
          <t>outline</t>
        </is>
      </c>
      <c r="E596" s="5" t="n">
        <v>14</v>
      </c>
      <c r="F596" s="5" t="inlineStr">
        <is>
          <t>combined_footing</t>
        </is>
      </c>
      <c r="G596" s="5" t="inlineStr">
        <is>
          <t>Combined footing SC3 5.00 × 4.50 m</t>
        </is>
      </c>
      <c r="H596" s="5" t="inlineStr">
        <is>
          <t>label vote</t>
        </is>
      </c>
      <c r="I596" s="5" t="inlineStr">
        <is>
          <t>SC3</t>
        </is>
      </c>
      <c r="J596" s="5" t="inlineStr">
        <is>
          <t>printed label</t>
        </is>
      </c>
      <c r="K596" s="5" t="inlineStr">
        <is>
          <t>SC3</t>
        </is>
      </c>
      <c r="L596" s="5" t="n">
        <v>500</v>
      </c>
      <c r="M596" s="5" t="n">
        <v>450</v>
      </c>
      <c r="N596" s="10">
        <f>IF(AND(ISNUMBER(L596),M596&gt;0),L596/M596,"")</f>
        <v/>
      </c>
      <c r="O596" s="5" t="n">
        <v>22.503</v>
      </c>
      <c r="P596" s="5" t="n">
        <v>116.6</v>
      </c>
      <c r="Q596" s="5" t="n">
        <v>2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2</v>
      </c>
      <c r="W596" s="5" t="n">
        <v>26</v>
      </c>
      <c r="X596" s="5" t="n">
        <v>5</v>
      </c>
      <c r="Y596" s="5" t="n"/>
      <c r="Z596" s="5" t="inlineStr"/>
      <c r="AA596" s="5" t="n">
        <v>2417.1</v>
      </c>
      <c r="AB596" s="5" t="n">
        <v>3004</v>
      </c>
      <c r="AC596" s="5" t="n">
        <v>2602.1</v>
      </c>
      <c r="AD596" s="5" t="n">
        <v>3195.5</v>
      </c>
      <c r="AE596" s="5" t="inlineStr">
        <is>
          <t>combined_footing</t>
        </is>
      </c>
      <c r="AF596" s="5">
        <f>IF(AE596="","",IF(OR(AE596=F596,AND(AE596="crane_footing",F596="isolated_footing")),"yes","no"))</f>
        <v/>
      </c>
    </row>
    <row r="597">
      <c r="A597" s="5" t="n">
        <v>596</v>
      </c>
      <c r="B597" s="5" t="inlineStr">
        <is>
          <t>127</t>
        </is>
      </c>
      <c r="C597" s="5" t="inlineStr">
        <is>
          <t>region between joints</t>
        </is>
      </c>
      <c r="D597" s="5" t="inlineStr">
        <is>
          <t>band</t>
        </is>
      </c>
      <c r="E597" s="5" t="n">
        <v>5</v>
      </c>
      <c r="F597" s="5" t="inlineStr">
        <is>
          <t>strip_footing</t>
        </is>
      </c>
      <c r="G597" s="5" t="inlineStr">
        <is>
          <t>Strip footing SF1 57.98 × 0.80 m</t>
        </is>
      </c>
      <c r="H597" s="5" t="inlineStr">
        <is>
          <t>label vote</t>
        </is>
      </c>
      <c r="I597" s="5" t="inlineStr">
        <is>
          <t>SF1</t>
        </is>
      </c>
      <c r="J597" s="5" t="inlineStr">
        <is>
          <t>printed label</t>
        </is>
      </c>
      <c r="K597" s="5" t="inlineStr">
        <is>
          <t>VP20/SF1-80x25</t>
        </is>
      </c>
      <c r="L597" s="5" t="n">
        <v>5798</v>
      </c>
      <c r="M597" s="5" t="n">
        <v>80</v>
      </c>
      <c r="N597" s="10">
        <f>IF(AND(ISNUMBER(L597),M597&gt;0),L597/M597,"")</f>
        <v/>
      </c>
      <c r="O597" s="5" t="n">
        <v>46.382</v>
      </c>
      <c r="P597" s="5" t="n">
        <v>26.6</v>
      </c>
      <c r="Q597" s="5" t="n">
        <v>3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3</v>
      </c>
      <c r="W597" s="5" t="n">
        <v>43</v>
      </c>
      <c r="X597" s="5" t="n">
        <v>20</v>
      </c>
      <c r="Y597" s="5" t="n">
        <v>57.98</v>
      </c>
      <c r="Z597" s="5" t="inlineStr"/>
      <c r="AA597" s="5" t="n">
        <v>1532.5</v>
      </c>
      <c r="AB597" s="5" t="n">
        <v>2163.8</v>
      </c>
      <c r="AC597" s="5" t="n">
        <v>3074.1</v>
      </c>
      <c r="AD597" s="5" t="n">
        <v>2950.7</v>
      </c>
      <c r="AE597" s="5" t="inlineStr"/>
      <c r="AF597" s="5">
        <f>IF(AE597="","",IF(OR(AE597=F597,AND(AE597="crane_footing",F597="isolated_footing")),"yes","no"))</f>
        <v/>
      </c>
    </row>
    <row r="598">
      <c r="A598" s="5" t="n">
        <v>597</v>
      </c>
      <c r="B598" s="5" t="inlineStr">
        <is>
          <t>127</t>
        </is>
      </c>
      <c r="C598" s="5" t="inlineStr">
        <is>
          <t>region between joints</t>
        </is>
      </c>
      <c r="D598" s="5" t="inlineStr">
        <is>
          <t>band</t>
        </is>
      </c>
      <c r="E598" s="5" t="n">
        <v>5</v>
      </c>
      <c r="F598" s="5" t="inlineStr">
        <is>
          <t>strip_footing</t>
        </is>
      </c>
      <c r="G598" s="5" t="inlineStr">
        <is>
          <t>Strip footing SF1 3.87 × 0.80 m</t>
        </is>
      </c>
      <c r="H598" s="5" t="inlineStr">
        <is>
          <t>label vote</t>
        </is>
      </c>
      <c r="I598" s="5" t="inlineStr">
        <is>
          <t>SF1</t>
        </is>
      </c>
      <c r="J598" s="5" t="inlineStr">
        <is>
          <t>printed label</t>
        </is>
      </c>
      <c r="K598" s="5" t="inlineStr">
        <is>
          <t>VP20-SF1 80x25</t>
        </is>
      </c>
      <c r="L598" s="5" t="n">
        <v>387</v>
      </c>
      <c r="M598" s="5" t="n">
        <v>80</v>
      </c>
      <c r="N598" s="10">
        <f>IF(AND(ISNUMBER(L598),M598&gt;0),L598/M598,"")</f>
        <v/>
      </c>
      <c r="O598" s="5" t="n">
        <v>3.096</v>
      </c>
      <c r="P598" s="5" t="n">
        <v>26.6</v>
      </c>
      <c r="Q598" s="5" t="n">
        <v>1</v>
      </c>
      <c r="R598" s="5" t="n">
        <v>0</v>
      </c>
      <c r="S598" s="5" t="n">
        <v>0</v>
      </c>
      <c r="T598" s="5" t="n">
        <v>0</v>
      </c>
      <c r="U598" s="5" t="n">
        <v>0</v>
      </c>
      <c r="V598" s="5" t="n">
        <v>1</v>
      </c>
      <c r="W598" s="5" t="n">
        <v>4</v>
      </c>
      <c r="X598" s="5" t="n">
        <v>0</v>
      </c>
      <c r="Y598" s="5" t="n">
        <v>3.82</v>
      </c>
      <c r="Z598" s="5" t="inlineStr"/>
      <c r="AA598" s="5" t="n">
        <v>2257.9</v>
      </c>
      <c r="AB598" s="5" t="n">
        <v>3210.3</v>
      </c>
      <c r="AC598" s="5" t="n">
        <v>2370.6</v>
      </c>
      <c r="AD598" s="5" t="n">
        <v>3282.6</v>
      </c>
      <c r="AE598" s="5" t="inlineStr"/>
      <c r="AF598" s="5">
        <f>IF(AE598="","",IF(OR(AE598=F598,AND(AE598="crane_footing",F598="isolated_footing")),"yes","no"))</f>
        <v/>
      </c>
    </row>
    <row r="599">
      <c r="A599" s="5" t="n">
        <v>598</v>
      </c>
      <c r="B599" s="5" t="inlineStr">
        <is>
          <t>127</t>
        </is>
      </c>
      <c r="C599" s="5" t="inlineStr">
        <is>
          <t>region between joints</t>
        </is>
      </c>
      <c r="D599" s="5" t="inlineStr">
        <is>
          <t>band</t>
        </is>
      </c>
      <c r="E599" s="5" t="n">
        <v>3</v>
      </c>
      <c r="F599" s="5" t="inlineStr">
        <is>
          <t>grade_beam</t>
        </is>
      </c>
      <c r="G599" s="5" t="inlineStr">
        <is>
          <t>Grade beam LG40x15 24.75 × 0.40 m</t>
        </is>
      </c>
      <c r="H599" s="5" t="inlineStr">
        <is>
          <t>label vote</t>
        </is>
      </c>
      <c r="I599" s="5" t="inlineStr">
        <is>
          <t>LG40x15</t>
        </is>
      </c>
      <c r="J599" s="5" t="inlineStr">
        <is>
          <t>printed label</t>
        </is>
      </c>
      <c r="K599" s="5" t="inlineStr">
        <is>
          <t>LG-40x15</t>
        </is>
      </c>
      <c r="L599" s="5" t="n">
        <v>2475</v>
      </c>
      <c r="M599" s="5" t="n">
        <v>40</v>
      </c>
      <c r="N599" s="10">
        <f>IF(AND(ISNUMBER(L599),M599&gt;0),L599/M599,"")</f>
        <v/>
      </c>
      <c r="O599" s="5" t="n">
        <v>9.9</v>
      </c>
      <c r="P599" s="5" t="n">
        <v>26.6</v>
      </c>
      <c r="Q599" s="5" t="n">
        <v>4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0</v>
      </c>
      <c r="X599" s="5" t="n">
        <v>11</v>
      </c>
      <c r="Y599" s="5" t="n">
        <v>14.8</v>
      </c>
      <c r="Z599" s="5" t="inlineStr"/>
      <c r="AA599" s="5" t="n">
        <v>1847.1</v>
      </c>
      <c r="AB599" s="5" t="n">
        <v>2760.2</v>
      </c>
      <c r="AC599" s="5" t="n">
        <v>2505.6</v>
      </c>
      <c r="AD599" s="5" t="n">
        <v>3098.4</v>
      </c>
      <c r="AE599" s="5" t="inlineStr"/>
      <c r="AF599" s="5">
        <f>IF(AE599="","",IF(OR(AE599=F599,AND(AE599="crane_footing",F599="isolated_footing")),"yes","no"))</f>
        <v/>
      </c>
    </row>
    <row r="600">
      <c r="A600" s="5" t="n">
        <v>599</v>
      </c>
      <c r="B600" s="5" t="inlineStr">
        <is>
          <t>127</t>
        </is>
      </c>
      <c r="C600" s="5" t="inlineStr">
        <is>
          <t>region between joints</t>
        </is>
      </c>
      <c r="D600" s="5" t="inlineStr">
        <is>
          <t>band</t>
        </is>
      </c>
      <c r="E600" s="5" t="n">
        <v>3</v>
      </c>
      <c r="F600" s="5" t="inlineStr">
        <is>
          <t>grade_beam</t>
        </is>
      </c>
      <c r="G600" s="5" t="inlineStr">
        <is>
          <t>Grade beam LG40x15 24.72 × 0.40 m</t>
        </is>
      </c>
      <c r="H600" s="5" t="inlineStr">
        <is>
          <t>label vote</t>
        </is>
      </c>
      <c r="I600" s="5" t="inlineStr">
        <is>
          <t>LG40x15</t>
        </is>
      </c>
      <c r="J600" s="5" t="inlineStr">
        <is>
          <t>printed label</t>
        </is>
      </c>
      <c r="K600" s="5" t="inlineStr">
        <is>
          <t>LG-40x15</t>
        </is>
      </c>
      <c r="L600" s="5" t="n">
        <v>2472</v>
      </c>
      <c r="M600" s="5" t="n">
        <v>40</v>
      </c>
      <c r="N600" s="10">
        <f>IF(AND(ISNUMBER(L600),M600&gt;0),L600/M600,"")</f>
        <v/>
      </c>
      <c r="O600" s="5" t="n">
        <v>9.890000000000001</v>
      </c>
      <c r="P600" s="5" t="n">
        <v>26.6</v>
      </c>
      <c r="Q600" s="5" t="n">
        <v>4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132</v>
      </c>
      <c r="X600" s="5" t="n">
        <v>8</v>
      </c>
      <c r="Y600" s="5" t="n">
        <v>11.52</v>
      </c>
      <c r="Z600" s="5" t="inlineStr"/>
      <c r="AA600" s="5" t="n">
        <v>1964.9</v>
      </c>
      <c r="AB600" s="5" t="n">
        <v>2530.4</v>
      </c>
      <c r="AC600" s="5" t="n">
        <v>2622.7</v>
      </c>
      <c r="AD600" s="5" t="n">
        <v>2868.2</v>
      </c>
      <c r="AE600" s="5" t="inlineStr"/>
      <c r="AF600" s="5">
        <f>IF(AE600="","",IF(OR(AE600=F600,AND(AE600="crane_footing",F600="isolated_footing")),"yes","no"))</f>
        <v/>
      </c>
    </row>
    <row r="601">
      <c r="A601" s="5" t="n">
        <v>600</v>
      </c>
      <c r="B601" s="5" t="inlineStr">
        <is>
          <t>127</t>
        </is>
      </c>
      <c r="C601" s="5" t="inlineStr">
        <is>
          <t>region between joints</t>
        </is>
      </c>
      <c r="D601" s="5" t="inlineStr">
        <is>
          <t>band</t>
        </is>
      </c>
      <c r="E601" s="5" t="n">
        <v>3</v>
      </c>
      <c r="F601" s="5" t="inlineStr">
        <is>
          <t>grade_beam</t>
        </is>
      </c>
      <c r="G601" s="5" t="inlineStr">
        <is>
          <t>Grade beam LG40x15 20.49 × 0.40 m</t>
        </is>
      </c>
      <c r="H601" s="5" t="inlineStr">
        <is>
          <t>label vote</t>
        </is>
      </c>
      <c r="I601" s="5" t="inlineStr">
        <is>
          <t>LG40x15</t>
        </is>
      </c>
      <c r="J601" s="5" t="inlineStr">
        <is>
          <t>printed label</t>
        </is>
      </c>
      <c r="K601" s="5" t="inlineStr">
        <is>
          <t>LG-40x15</t>
        </is>
      </c>
      <c r="L601" s="5" t="n">
        <v>2049</v>
      </c>
      <c r="M601" s="5" t="n">
        <v>40</v>
      </c>
      <c r="N601" s="10">
        <f>IF(AND(ISNUMBER(L601),M601&gt;0),L601/M601,"")</f>
        <v/>
      </c>
      <c r="O601" s="5" t="n">
        <v>8.196999999999999</v>
      </c>
      <c r="P601" s="5" t="n">
        <v>116.6</v>
      </c>
      <c r="Q601" s="5" t="n">
        <v>5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2</v>
      </c>
      <c r="W601" s="5" t="n">
        <v>13</v>
      </c>
      <c r="X601" s="5" t="n">
        <v>7</v>
      </c>
      <c r="Y601" s="5" t="n">
        <v>14.7</v>
      </c>
      <c r="Z601" s="5" t="inlineStr"/>
      <c r="AA601" s="5" t="n">
        <v>1748.3</v>
      </c>
      <c r="AB601" s="5" t="n">
        <v>2418.7</v>
      </c>
      <c r="AC601" s="5" t="n">
        <v>2030.1</v>
      </c>
      <c r="AD601" s="5" t="n">
        <v>2964.8</v>
      </c>
      <c r="AE601" s="5" t="inlineStr"/>
      <c r="AF601" s="5">
        <f>IF(AE601="","",IF(OR(AE601=F601,AND(AE601="crane_footing",F601="isolated_footing")),"yes","no"))</f>
        <v/>
      </c>
    </row>
    <row r="602">
      <c r="A602" s="5" t="n">
        <v>601</v>
      </c>
      <c r="B602" s="5" t="inlineStr">
        <is>
          <t>127</t>
        </is>
      </c>
      <c r="C602" s="5" t="inlineStr">
        <is>
          <t>region between joints</t>
        </is>
      </c>
      <c r="D602" s="5" t="inlineStr">
        <is>
          <t>band</t>
        </is>
      </c>
      <c r="E602" s="5" t="n">
        <v>3</v>
      </c>
      <c r="F602" s="5" t="inlineStr">
        <is>
          <t>grade_beam</t>
        </is>
      </c>
      <c r="G602" s="5" t="inlineStr">
        <is>
          <t>Grade beam LG40x15 20.48 × 0.40 m</t>
        </is>
      </c>
      <c r="H602" s="5" t="inlineStr">
        <is>
          <t>label vote</t>
        </is>
      </c>
      <c r="I602" s="5" t="inlineStr">
        <is>
          <t>LG40x15</t>
        </is>
      </c>
      <c r="J602" s="5" t="inlineStr">
        <is>
          <t>printed label</t>
        </is>
      </c>
      <c r="K602" s="5" t="inlineStr">
        <is>
          <t>LG-40x15</t>
        </is>
      </c>
      <c r="L602" s="5" t="n">
        <v>2048</v>
      </c>
      <c r="M602" s="5" t="n">
        <v>40</v>
      </c>
      <c r="N602" s="10">
        <f>IF(AND(ISNUMBER(L602),M602&gt;0),L602/M602,"")</f>
        <v/>
      </c>
      <c r="O602" s="5" t="n">
        <v>8.19</v>
      </c>
      <c r="P602" s="5" t="n">
        <v>116.6</v>
      </c>
      <c r="Q602" s="5" t="n">
        <v>4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2</v>
      </c>
      <c r="W602" s="5" t="n">
        <v>11</v>
      </c>
      <c r="X602" s="5" t="n">
        <v>7</v>
      </c>
      <c r="Y602" s="5" t="n">
        <v>9.960000000000001</v>
      </c>
      <c r="Z602" s="5" t="inlineStr"/>
      <c r="AA602" s="5" t="n">
        <v>2400.9</v>
      </c>
      <c r="AB602" s="5" t="n">
        <v>2746.4</v>
      </c>
      <c r="AC602" s="5" t="n">
        <v>2682.5</v>
      </c>
      <c r="AD602" s="5" t="n">
        <v>3292.1</v>
      </c>
      <c r="AE602" s="5" t="inlineStr"/>
      <c r="AF602" s="5">
        <f>IF(AE602="","",IF(OR(AE602=F602,AND(AE602="crane_footing",F602="isolated_footing")),"yes","no"))</f>
        <v/>
      </c>
    </row>
    <row r="603">
      <c r="A603" s="5" t="n">
        <v>602</v>
      </c>
      <c r="B603" s="5" t="inlineStr">
        <is>
          <t>127</t>
        </is>
      </c>
      <c r="C603" s="5" t="inlineStr">
        <is>
          <t>region between joints</t>
        </is>
      </c>
      <c r="D603" s="5" t="inlineStr">
        <is>
          <t>band</t>
        </is>
      </c>
      <c r="E603" s="5" t="n">
        <v>3</v>
      </c>
      <c r="F603" s="5" t="inlineStr">
        <is>
          <t>grade_beam</t>
        </is>
      </c>
      <c r="G603" s="5" t="inlineStr">
        <is>
          <t>Grade beam LG40x15 12.86 × 0.40 m</t>
        </is>
      </c>
      <c r="H603" s="5" t="inlineStr">
        <is>
          <t>label vote</t>
        </is>
      </c>
      <c r="I603" s="5" t="inlineStr">
        <is>
          <t>LG40x15</t>
        </is>
      </c>
      <c r="J603" s="5" t="inlineStr">
        <is>
          <t>printed label</t>
        </is>
      </c>
      <c r="K603" s="5" t="inlineStr">
        <is>
          <t>LG-40x15</t>
        </is>
      </c>
      <c r="L603" s="5" t="n">
        <v>1286</v>
      </c>
      <c r="M603" s="5" t="n">
        <v>40</v>
      </c>
      <c r="N603" s="10">
        <f>IF(AND(ISNUMBER(L603),M603&gt;0),L603/M603,"")</f>
        <v/>
      </c>
      <c r="O603" s="5" t="n">
        <v>5.144</v>
      </c>
      <c r="P603" s="5" t="n">
        <v>116.6</v>
      </c>
      <c r="Q603" s="5" t="n">
        <v>1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1</v>
      </c>
      <c r="W603" s="5" t="n">
        <v>8</v>
      </c>
      <c r="X603" s="5" t="n">
        <v>4</v>
      </c>
      <c r="Y603" s="5" t="n">
        <v>2.01</v>
      </c>
      <c r="Z603" s="5" t="inlineStr"/>
      <c r="AA603" s="5" t="n">
        <v>2271.8</v>
      </c>
      <c r="AB603" s="5" t="n">
        <v>2631.1</v>
      </c>
      <c r="AC603" s="5" t="n">
        <v>2452.6</v>
      </c>
      <c r="AD603" s="5" t="n">
        <v>2975.8</v>
      </c>
      <c r="AE603" s="5" t="inlineStr"/>
      <c r="AF603" s="5">
        <f>IF(AE603="","",IF(OR(AE603=F603,AND(AE603="crane_footing",F603="isolated_footing")),"yes","no"))</f>
        <v/>
      </c>
    </row>
    <row r="604">
      <c r="A604" s="5" t="n">
        <v>603</v>
      </c>
      <c r="B604" s="5" t="inlineStr">
        <is>
          <t>127</t>
        </is>
      </c>
      <c r="C604" s="5" t="inlineStr">
        <is>
          <t>region between joints</t>
        </is>
      </c>
      <c r="D604" s="5" t="inlineStr">
        <is>
          <t>band</t>
        </is>
      </c>
      <c r="E604" s="5" t="n">
        <v>3</v>
      </c>
      <c r="F604" s="5" t="inlineStr">
        <is>
          <t>grade_beam</t>
        </is>
      </c>
      <c r="G604" s="5" t="inlineStr">
        <is>
          <t>Grade beam LG40x15 12.86 × 0.40 m</t>
        </is>
      </c>
      <c r="H604" s="5" t="inlineStr">
        <is>
          <t>label vote</t>
        </is>
      </c>
      <c r="I604" s="5" t="inlineStr">
        <is>
          <t>LG40x15</t>
        </is>
      </c>
      <c r="J604" s="5" t="inlineStr">
        <is>
          <t>printed label</t>
        </is>
      </c>
      <c r="K604" s="5" t="inlineStr">
        <is>
          <t>LG-40x15</t>
        </is>
      </c>
      <c r="L604" s="5" t="n">
        <v>1286</v>
      </c>
      <c r="M604" s="5" t="n">
        <v>40</v>
      </c>
      <c r="N604" s="10">
        <f>IF(AND(ISNUMBER(L604),M604&gt;0),L604/M604,"")</f>
        <v/>
      </c>
      <c r="O604" s="5" t="n">
        <v>5.144</v>
      </c>
      <c r="P604" s="5" t="n">
        <v>116.6</v>
      </c>
      <c r="Q604" s="5" t="n">
        <v>1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1</v>
      </c>
      <c r="W604" s="5" t="n">
        <v>9</v>
      </c>
      <c r="X604" s="5" t="n">
        <v>2</v>
      </c>
      <c r="Y604" s="5" t="n">
        <v>2.25</v>
      </c>
      <c r="Z604" s="5" t="inlineStr"/>
      <c r="AA604" s="5" t="n">
        <v>2065.6</v>
      </c>
      <c r="AB604" s="5" t="n">
        <v>2527.7</v>
      </c>
      <c r="AC604" s="5" t="n">
        <v>2246.4</v>
      </c>
      <c r="AD604" s="5" t="n">
        <v>2872.4</v>
      </c>
      <c r="AE604" s="5" t="inlineStr"/>
      <c r="AF604" s="5">
        <f>IF(AE604="","",IF(OR(AE604=F604,AND(AE604="crane_footing",F604="isolated_footing")),"yes","no"))</f>
        <v/>
      </c>
    </row>
    <row r="605">
      <c r="A605" s="5" t="n">
        <v>604</v>
      </c>
      <c r="B605" s="5" t="inlineStr">
        <is>
          <t>127</t>
        </is>
      </c>
      <c r="C605" s="5" t="inlineStr">
        <is>
          <t>region between joints</t>
        </is>
      </c>
      <c r="D605" s="5" t="inlineStr">
        <is>
          <t>band</t>
        </is>
      </c>
      <c r="E605" s="5" t="n">
        <v>3</v>
      </c>
      <c r="F605" s="5" t="inlineStr">
        <is>
          <t>grade_beam</t>
        </is>
      </c>
      <c r="G605" s="5" t="inlineStr">
        <is>
          <t>Grade beam LG40x15 7.22 × 0.40 m</t>
        </is>
      </c>
      <c r="H605" s="5" t="inlineStr">
        <is>
          <t>label vote</t>
        </is>
      </c>
      <c r="I605" s="5" t="inlineStr">
        <is>
          <t>LG40x15</t>
        </is>
      </c>
      <c r="J605" s="5" t="inlineStr">
        <is>
          <t>printed label</t>
        </is>
      </c>
      <c r="K605" s="5" t="inlineStr">
        <is>
          <t>LG-40x15</t>
        </is>
      </c>
      <c r="L605" s="5" t="n">
        <v>722</v>
      </c>
      <c r="M605" s="5" t="n">
        <v>40</v>
      </c>
      <c r="N605" s="10">
        <f>IF(AND(ISNUMBER(L605),M605&gt;0),L605/M605,"")</f>
        <v/>
      </c>
      <c r="O605" s="5" t="n">
        <v>2.888</v>
      </c>
      <c r="P605" s="5" t="n">
        <v>116.6</v>
      </c>
      <c r="Q605" s="5" t="n">
        <v>2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1</v>
      </c>
      <c r="W605" s="5" t="n">
        <v>4</v>
      </c>
      <c r="X605" s="5" t="n">
        <v>5</v>
      </c>
      <c r="Y605" s="5" t="n">
        <v>1.99</v>
      </c>
      <c r="Z605" s="5" t="inlineStr"/>
      <c r="AA605" s="5" t="n">
        <v>1923.1</v>
      </c>
      <c r="AB605" s="5" t="n">
        <v>2856.8</v>
      </c>
      <c r="AC605" s="5" t="n">
        <v>2029.2</v>
      </c>
      <c r="AD605" s="5" t="n">
        <v>3052.7</v>
      </c>
      <c r="AE605" s="5" t="inlineStr"/>
      <c r="AF605" s="5">
        <f>IF(AE605="","",IF(OR(AE605=F605,AND(AE605="crane_footing",F605="isolated_footing")),"yes","no"))</f>
        <v/>
      </c>
    </row>
    <row r="606">
      <c r="A606" s="5" t="n">
        <v>605</v>
      </c>
      <c r="B606" s="5" t="inlineStr">
        <is>
          <t>127</t>
        </is>
      </c>
      <c r="C606" s="5" t="inlineStr">
        <is>
          <t>region between joints</t>
        </is>
      </c>
      <c r="D606" s="5" t="inlineStr">
        <is>
          <t>band</t>
        </is>
      </c>
      <c r="E606" s="5" t="n">
        <v>3</v>
      </c>
      <c r="F606" s="5" t="inlineStr">
        <is>
          <t>grade_beam</t>
        </is>
      </c>
      <c r="G606" s="5" t="inlineStr">
        <is>
          <t>Grade beam LG40x15 7.12 × 0.40 m</t>
        </is>
      </c>
      <c r="H606" s="5" t="inlineStr">
        <is>
          <t>label vote</t>
        </is>
      </c>
      <c r="I606" s="5" t="inlineStr">
        <is>
          <t>LG40x15</t>
        </is>
      </c>
      <c r="J606" s="5" t="inlineStr">
        <is>
          <t>printed label</t>
        </is>
      </c>
      <c r="K606" s="5" t="inlineStr">
        <is>
          <t>LG-40x15</t>
        </is>
      </c>
      <c r="L606" s="5" t="n">
        <v>712</v>
      </c>
      <c r="M606" s="5" t="n">
        <v>40</v>
      </c>
      <c r="N606" s="10">
        <f>IF(AND(ISNUMBER(L606),M606&gt;0),L606/M606,"")</f>
        <v/>
      </c>
      <c r="O606" s="5" t="n">
        <v>2.85</v>
      </c>
      <c r="P606" s="5" t="n">
        <v>116.6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5</v>
      </c>
      <c r="X606" s="5" t="n">
        <v>4</v>
      </c>
      <c r="Y606" s="5" t="n">
        <v>5.27</v>
      </c>
      <c r="Z606" s="5" t="inlineStr"/>
      <c r="AA606" s="5" t="n">
        <v>1845.8</v>
      </c>
      <c r="AB606" s="5" t="n">
        <v>2817.4</v>
      </c>
      <c r="AC606" s="5" t="n">
        <v>1950.7</v>
      </c>
      <c r="AD606" s="5" t="n">
        <v>3010.8</v>
      </c>
      <c r="AE606" s="5" t="inlineStr"/>
      <c r="AF606" s="5">
        <f>IF(AE606="","",IF(OR(AE606=F606,AND(AE606="crane_footing",F606="isolated_footing")),"yes","no"))</f>
        <v/>
      </c>
    </row>
    <row r="607">
      <c r="A607" s="5" t="n">
        <v>606</v>
      </c>
      <c r="B607" s="5" t="inlineStr">
        <is>
          <t>127</t>
        </is>
      </c>
      <c r="C607" s="5" t="inlineStr">
        <is>
          <t>region between joints</t>
        </is>
      </c>
      <c r="D607" s="5" t="inlineStr">
        <is>
          <t>band</t>
        </is>
      </c>
      <c r="E607" s="5" t="n">
        <v>3</v>
      </c>
      <c r="F607" s="5" t="inlineStr">
        <is>
          <t>grade_beam</t>
        </is>
      </c>
      <c r="G607" s="5" t="inlineStr">
        <is>
          <t>Grade beam LG40x15 3.97 × 0.40 m</t>
        </is>
      </c>
      <c r="H607" s="5" t="inlineStr">
        <is>
          <t>label vote</t>
        </is>
      </c>
      <c r="I607" s="5" t="inlineStr">
        <is>
          <t>LG40x15</t>
        </is>
      </c>
      <c r="J607" s="5" t="inlineStr">
        <is>
          <t>printed label</t>
        </is>
      </c>
      <c r="K607" s="5" t="inlineStr">
        <is>
          <t>LG-40x15</t>
        </is>
      </c>
      <c r="L607" s="5" t="n">
        <v>397</v>
      </c>
      <c r="M607" s="5" t="n">
        <v>40</v>
      </c>
      <c r="N607" s="10">
        <f>IF(AND(ISNUMBER(L607),M607&gt;0),L607/M607,"")</f>
        <v/>
      </c>
      <c r="O607" s="5" t="n">
        <v>1.59</v>
      </c>
      <c r="P607" s="5" t="n">
        <v>116.6</v>
      </c>
      <c r="Q607" s="5" t="n">
        <v>1</v>
      </c>
      <c r="R607" s="5" t="n">
        <v>1</v>
      </c>
      <c r="S607" s="5" t="n">
        <v>0</v>
      </c>
      <c r="T607" s="5" t="n">
        <v>0</v>
      </c>
      <c r="U607" s="5" t="n">
        <v>0</v>
      </c>
      <c r="V607" s="5" t="n">
        <v>1</v>
      </c>
      <c r="W607" s="5" t="n">
        <v>3</v>
      </c>
      <c r="X607" s="5" t="n">
        <v>1</v>
      </c>
      <c r="Y607" s="5" t="n">
        <v>0.92</v>
      </c>
      <c r="Z607" s="5" t="inlineStr"/>
      <c r="AA607" s="5" t="n">
        <v>2186.4</v>
      </c>
      <c r="AB607" s="5" t="n">
        <v>2967.4</v>
      </c>
      <c r="AC607" s="5" t="n">
        <v>2249.6</v>
      </c>
      <c r="AD607" s="5" t="n">
        <v>3077.5</v>
      </c>
      <c r="AE607" s="5" t="inlineStr"/>
      <c r="AF607" s="5">
        <f>IF(AE607="","",IF(OR(AE607=F607,AND(AE607="crane_footing",F607="isolated_footing")),"yes","no"))</f>
        <v/>
      </c>
    </row>
    <row r="608">
      <c r="A608" s="5" t="n">
        <v>607</v>
      </c>
      <c r="B608" s="5" t="inlineStr">
        <is>
          <t>127</t>
        </is>
      </c>
      <c r="C608" s="5" t="inlineStr">
        <is>
          <t>region between joints</t>
        </is>
      </c>
      <c r="D608" s="5" t="inlineStr">
        <is>
          <t>band</t>
        </is>
      </c>
      <c r="E608" s="5" t="n">
        <v>3</v>
      </c>
      <c r="F608" s="5" t="inlineStr">
        <is>
          <t>grade_beam</t>
        </is>
      </c>
      <c r="G608" s="5" t="inlineStr">
        <is>
          <t>Grade beam LG40x15 3.97 × 0.40 m</t>
        </is>
      </c>
      <c r="H608" s="5" t="inlineStr">
        <is>
          <t>label vote</t>
        </is>
      </c>
      <c r="I608" s="5" t="inlineStr">
        <is>
          <t>LG40x15</t>
        </is>
      </c>
      <c r="J608" s="5" t="inlineStr">
        <is>
          <t>printed label</t>
        </is>
      </c>
      <c r="K608" s="5" t="inlineStr">
        <is>
          <t>LG-40x15</t>
        </is>
      </c>
      <c r="L608" s="5" t="n">
        <v>397</v>
      </c>
      <c r="M608" s="5" t="n">
        <v>40</v>
      </c>
      <c r="N608" s="10">
        <f>IF(AND(ISNUMBER(L608),M608&gt;0),L608/M608,"")</f>
        <v/>
      </c>
      <c r="O608" s="5" t="n">
        <v>1.59</v>
      </c>
      <c r="P608" s="5" t="n">
        <v>116.6</v>
      </c>
      <c r="Q608" s="5" t="n">
        <v>1</v>
      </c>
      <c r="R608" s="5" t="n">
        <v>1</v>
      </c>
      <c r="S608" s="5" t="n">
        <v>0</v>
      </c>
      <c r="T608" s="5" t="n">
        <v>0</v>
      </c>
      <c r="U608" s="5" t="n">
        <v>0</v>
      </c>
      <c r="V608" s="5" t="n">
        <v>1</v>
      </c>
      <c r="W608" s="5" t="n">
        <v>29</v>
      </c>
      <c r="X608" s="5" t="n">
        <v>1</v>
      </c>
      <c r="Y608" s="5" t="n">
        <v>0.47</v>
      </c>
      <c r="Z608" s="5" t="inlineStr"/>
      <c r="AA608" s="5" t="n">
        <v>2264.3</v>
      </c>
      <c r="AB608" s="5" t="n">
        <v>3006.4</v>
      </c>
      <c r="AC608" s="5" t="n">
        <v>2327.5</v>
      </c>
      <c r="AD608" s="5" t="n">
        <v>3116.6</v>
      </c>
      <c r="AE608" s="5" t="inlineStr"/>
      <c r="AF608" s="5">
        <f>IF(AE608="","",IF(OR(AE608=F608,AND(AE608="crane_footing",F608="isolated_footing")),"yes","no"))</f>
        <v/>
      </c>
    </row>
    <row r="609">
      <c r="A609" s="5" t="n">
        <v>608</v>
      </c>
      <c r="B609" s="5" t="inlineStr">
        <is>
          <t>127</t>
        </is>
      </c>
      <c r="C609" s="5" t="inlineStr">
        <is>
          <t>region between joints</t>
        </is>
      </c>
      <c r="D609" s="5" t="inlineStr">
        <is>
          <t>stamped_region</t>
        </is>
      </c>
      <c r="E609" s="5" t="n">
        <v>39</v>
      </c>
      <c r="F609" s="5" t="inlineStr">
        <is>
          <t>raft</t>
        </is>
      </c>
      <c r="G609" s="5" t="inlineStr">
        <is>
          <t>Raft Radier 100 12.84 × 9.31 m, 88.2 m²</t>
        </is>
      </c>
      <c r="H609" s="5" t="inlineStr">
        <is>
          <t>label vote</t>
        </is>
      </c>
      <c r="I609" s="5" t="inlineStr">
        <is>
          <t>Radier 100</t>
        </is>
      </c>
      <c r="J609" s="5" t="inlineStr">
        <is>
          <t>printed label</t>
        </is>
      </c>
      <c r="K609" s="5" t="inlineStr">
        <is>
          <t>Radier</t>
        </is>
      </c>
      <c r="L609" s="5" t="n">
        <v>1284</v>
      </c>
      <c r="M609" s="5" t="n">
        <v>931</v>
      </c>
      <c r="N609" s="10">
        <f>IF(AND(ISNUMBER(L609),M609&gt;0),L609/M609,"")</f>
        <v/>
      </c>
      <c r="O609" s="5" t="n">
        <v>88.236</v>
      </c>
      <c r="P609" s="5" t="n">
        <v>116.6</v>
      </c>
      <c r="Q609" s="5" t="n">
        <v>11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9</v>
      </c>
      <c r="W609" s="5" t="n">
        <v>263</v>
      </c>
      <c r="X609" s="5" t="n">
        <v>4</v>
      </c>
      <c r="Y609" s="5" t="n"/>
      <c r="Z609" s="5" t="inlineStr">
        <is>
          <t>traced outline</t>
        </is>
      </c>
      <c r="AA609" s="5" t="n">
        <v>1992.3</v>
      </c>
      <c r="AB609" s="5" t="n">
        <v>3009.4</v>
      </c>
      <c r="AC609" s="5" t="n">
        <v>2307.5</v>
      </c>
      <c r="AD609" s="5" t="n">
        <v>3471.5</v>
      </c>
      <c r="AE609" s="5" t="inlineStr"/>
      <c r="AF609" s="5">
        <f>IF(AE609="","",IF(OR(AE609=F609,AND(AE609="crane_footing",F609="isolated_footing")),"yes","no"))</f>
        <v/>
      </c>
    </row>
    <row r="610">
      <c r="A610" s="5" t="n">
        <v>609</v>
      </c>
      <c r="B610" s="5" t="inlineStr">
        <is>
          <t>127</t>
        </is>
      </c>
      <c r="C610" s="5" t="inlineStr">
        <is>
          <t>region between joints</t>
        </is>
      </c>
      <c r="D610" s="5" t="inlineStr">
        <is>
          <t>outline</t>
        </is>
      </c>
      <c r="E610" s="5" t="n">
        <v>11</v>
      </c>
      <c r="F610" s="5" t="inlineStr">
        <is>
          <t>unidentified</t>
        </is>
      </c>
      <c r="G610" s="5" t="inlineStr">
        <is>
          <t>C11</t>
        </is>
      </c>
      <c r="H610" s="5" t="inlineStr">
        <is>
          <t>outside the sizes cluster 11's labels cover</t>
        </is>
      </c>
      <c r="I610" s="5" t="inlineStr">
        <is>
          <t>(none)</t>
        </is>
      </c>
      <c r="J610" s="5" t="inlineStr"/>
      <c r="K610" s="5" t="inlineStr"/>
      <c r="L610" s="5" t="n">
        <v>650</v>
      </c>
      <c r="M610" s="5" t="n">
        <v>650</v>
      </c>
      <c r="N610" s="10">
        <f>IF(AND(ISNUMBER(L610),M610&gt;0),L610/M610,"")</f>
        <v/>
      </c>
      <c r="O610" s="5" t="n">
        <v>42.259</v>
      </c>
      <c r="P610" s="5" t="n">
        <v>116.6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66</v>
      </c>
      <c r="X610" s="5" t="n">
        <v>6</v>
      </c>
      <c r="Y610" s="5" t="n"/>
      <c r="Z610" s="5" t="inlineStr"/>
      <c r="AA610" s="5" t="n">
        <v>2157.4</v>
      </c>
      <c r="AB610" s="5" t="n">
        <v>2580</v>
      </c>
      <c r="AC610" s="5" t="n">
        <v>2415.1</v>
      </c>
      <c r="AD610" s="5" t="n">
        <v>2837.6</v>
      </c>
      <c r="AE610" s="5" t="inlineStr"/>
      <c r="AF610" s="5">
        <f>IF(AE610="","",IF(OR(AE610=F610,AND(AE610="crane_footing",F610="isolated_footing")),"yes","no"))</f>
        <v/>
      </c>
    </row>
    <row r="611">
      <c r="A611" s="5" t="n">
        <v>610</v>
      </c>
      <c r="B611" s="5" t="inlineStr">
        <is>
          <t>127</t>
        </is>
      </c>
      <c r="C611" s="5" t="inlineStr">
        <is>
          <t>region between joints</t>
        </is>
      </c>
      <c r="D611" s="5" t="inlineStr">
        <is>
          <t>outline</t>
        </is>
      </c>
      <c r="E611" s="5" t="n">
        <v>20</v>
      </c>
      <c r="F611" s="5" t="inlineStr">
        <is>
          <t>unidentified</t>
        </is>
      </c>
      <c r="G611" s="5" t="inlineStr">
        <is>
          <t>C20</t>
        </is>
      </c>
      <c r="H611" s="5" t="inlineStr">
        <is>
          <t>no label votes</t>
        </is>
      </c>
      <c r="I611" s="5" t="inlineStr">
        <is>
          <t>(none)</t>
        </is>
      </c>
      <c r="J611" s="5" t="inlineStr"/>
      <c r="K611" s="5" t="inlineStr"/>
      <c r="L611" s="5" t="n">
        <v>60</v>
      </c>
      <c r="M611" s="5" t="n">
        <v>60</v>
      </c>
      <c r="N611" s="10">
        <f>IF(AND(ISNUMBER(L611),M611&gt;0),L611/M611,"")</f>
        <v/>
      </c>
      <c r="O611" s="5" t="n">
        <v>0.361</v>
      </c>
      <c r="P611" s="5" t="n">
        <v>26.6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54</v>
      </c>
      <c r="X611" s="5" t="n">
        <v>4</v>
      </c>
      <c r="Y611" s="5" t="n"/>
      <c r="Z611" s="5" t="inlineStr"/>
      <c r="AA611" s="5" t="n">
        <v>2500.7</v>
      </c>
      <c r="AB611" s="5" t="n">
        <v>2797.5</v>
      </c>
      <c r="AC611" s="5" t="n">
        <v>2524.6</v>
      </c>
      <c r="AD611" s="5" t="n">
        <v>2821.3</v>
      </c>
      <c r="AE611" s="5" t="inlineStr">
        <is>
          <t>mass_concrete_pad</t>
        </is>
      </c>
      <c r="AF611" s="5">
        <f>IF(AE611="","",IF(OR(AE611=F611,AND(AE611="crane_footing",F611="isolated_footing")),"yes","no"))</f>
        <v/>
      </c>
    </row>
    <row r="612">
      <c r="A612" s="5" t="n">
        <v>611</v>
      </c>
      <c r="B612" s="5" t="inlineStr">
        <is>
          <t>127</t>
        </is>
      </c>
      <c r="C612" s="5" t="inlineStr">
        <is>
          <t>region between joints</t>
        </is>
      </c>
      <c r="D612" s="5" t="inlineStr">
        <is>
          <t>outline</t>
        </is>
      </c>
      <c r="E612" s="5" t="n">
        <v>20</v>
      </c>
      <c r="F612" s="5" t="inlineStr">
        <is>
          <t>unidentified</t>
        </is>
      </c>
      <c r="G612" s="5" t="inlineStr">
        <is>
          <t>C20</t>
        </is>
      </c>
      <c r="H612" s="5" t="inlineStr">
        <is>
          <t>no label votes</t>
        </is>
      </c>
      <c r="I612" s="5" t="inlineStr">
        <is>
          <t>(none)</t>
        </is>
      </c>
      <c r="J612" s="5" t="inlineStr"/>
      <c r="K612" s="5" t="inlineStr"/>
      <c r="L612" s="5" t="n">
        <v>60</v>
      </c>
      <c r="M612" s="5" t="n">
        <v>60</v>
      </c>
      <c r="N612" s="10">
        <f>IF(AND(ISNUMBER(L612),M612&gt;0),L612/M612,"")</f>
        <v/>
      </c>
      <c r="O612" s="5" t="n">
        <v>0.36</v>
      </c>
      <c r="P612" s="5" t="n">
        <v>116.6</v>
      </c>
      <c r="Q612" s="5" t="n">
        <v>0</v>
      </c>
      <c r="R612" s="5" t="n">
        <v>1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55</v>
      </c>
      <c r="X612" s="5" t="n">
        <v>2</v>
      </c>
      <c r="Y612" s="5" t="n"/>
      <c r="Z612" s="5" t="inlineStr"/>
      <c r="AA612" s="5" t="n">
        <v>2276.2</v>
      </c>
      <c r="AB612" s="5" t="n">
        <v>2684.5</v>
      </c>
      <c r="AC612" s="5" t="n">
        <v>2299.9</v>
      </c>
      <c r="AD612" s="5" t="n">
        <v>2708.3</v>
      </c>
      <c r="AE612" s="5" t="inlineStr">
        <is>
          <t>mass_concrete_pad</t>
        </is>
      </c>
      <c r="AF612" s="5">
        <f>IF(AE612="","",IF(OR(AE612=F612,AND(AE612="crane_footing",F612="isolated_footing")),"yes","no"))</f>
        <v/>
      </c>
    </row>
    <row r="613">
      <c r="A613" s="5" t="n">
        <v>612</v>
      </c>
      <c r="B613" s="5" t="inlineStr">
        <is>
          <t>127</t>
        </is>
      </c>
      <c r="C613" s="5" t="inlineStr">
        <is>
          <t>region between joints</t>
        </is>
      </c>
      <c r="D613" s="5" t="inlineStr">
        <is>
          <t>outline</t>
        </is>
      </c>
      <c r="E613" s="5" t="n">
        <v>20</v>
      </c>
      <c r="F613" s="5" t="inlineStr">
        <is>
          <t>unidentified</t>
        </is>
      </c>
      <c r="G613" s="5" t="inlineStr">
        <is>
          <t>C20</t>
        </is>
      </c>
      <c r="H613" s="5" t="inlineStr">
        <is>
          <t>no label votes</t>
        </is>
      </c>
      <c r="I613" s="5" t="inlineStr">
        <is>
          <t>(none)</t>
        </is>
      </c>
      <c r="J613" s="5" t="inlineStr"/>
      <c r="K613" s="5" t="inlineStr"/>
      <c r="L613" s="5" t="n">
        <v>60</v>
      </c>
      <c r="M613" s="5" t="n">
        <v>60</v>
      </c>
      <c r="N613" s="10">
        <f>IF(AND(ISNUMBER(L613),M613&gt;0),L613/M613,"")</f>
        <v/>
      </c>
      <c r="O613" s="5" t="n">
        <v>0.36</v>
      </c>
      <c r="P613" s="5" t="n">
        <v>26.7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54</v>
      </c>
      <c r="X613" s="5" t="n">
        <v>2</v>
      </c>
      <c r="Y613" s="5" t="n"/>
      <c r="Z613" s="5" t="inlineStr"/>
      <c r="AA613" s="5" t="n">
        <v>2053.7</v>
      </c>
      <c r="AB613" s="5" t="n">
        <v>2573.4</v>
      </c>
      <c r="AC613" s="5" t="n">
        <v>2077.6</v>
      </c>
      <c r="AD613" s="5" t="n">
        <v>2597.1</v>
      </c>
      <c r="AE613" s="5" t="inlineStr">
        <is>
          <t>mass_concrete_pad</t>
        </is>
      </c>
      <c r="AF613" s="5">
        <f>IF(AE613="","",IF(OR(AE613=F613,AND(AE613="crane_footing",F613="isolated_footing")),"yes","no"))</f>
        <v/>
      </c>
    </row>
    <row r="614">
      <c r="A614" s="5" t="n">
        <v>613</v>
      </c>
      <c r="B614" s="5" t="inlineStr">
        <is>
          <t>128</t>
        </is>
      </c>
      <c r="C614" s="5" t="inlineStr">
        <is>
          <t>own label</t>
        </is>
      </c>
      <c r="D614" s="5" t="inlineStr">
        <is>
          <t>solid</t>
        </is>
      </c>
      <c r="E614" s="5" t="n">
        <v>25</v>
      </c>
      <c r="F614" s="5" t="inlineStr">
        <is>
          <t>column</t>
        </is>
      </c>
      <c r="G614" s="5" t="inlineStr">
        <is>
          <t>Column P1/128 1.00 × 0.25 m</t>
        </is>
      </c>
      <c r="H614" s="5" t="inlineStr">
        <is>
          <t>label vote</t>
        </is>
      </c>
      <c r="I614" s="5" t="inlineStr">
        <is>
          <t>P1/128</t>
        </is>
      </c>
      <c r="J614" s="5" t="inlineStr">
        <is>
          <t>printed label</t>
        </is>
      </c>
      <c r="K614" s="5" t="inlineStr">
        <is>
          <t>P1/128/128</t>
        </is>
      </c>
      <c r="L614" s="5" t="n">
        <v>100</v>
      </c>
      <c r="M614" s="5" t="n">
        <v>25</v>
      </c>
      <c r="N614" s="10">
        <f>IF(AND(ISNUMBER(L614),M614&gt;0),L614/M614,"")</f>
        <v/>
      </c>
      <c r="O614" s="5" t="n">
        <v>0.25</v>
      </c>
      <c r="P614" s="5" t="n">
        <v>116.6</v>
      </c>
      <c r="Q614" s="5" t="n">
        <v>0</v>
      </c>
      <c r="R614" s="5" t="n">
        <v>0</v>
      </c>
      <c r="S614" s="5" t="n">
        <v>0</v>
      </c>
      <c r="T614" s="5" t="n">
        <v>1</v>
      </c>
      <c r="U614" s="5" t="n">
        <v>0</v>
      </c>
      <c r="V614" s="5" t="n">
        <v>0</v>
      </c>
      <c r="W614" s="5" t="n">
        <v>5</v>
      </c>
      <c r="X614" s="5" t="n">
        <v>0</v>
      </c>
      <c r="Y614" s="5" t="n"/>
      <c r="Z614" s="5" t="inlineStr"/>
      <c r="AA614" s="5" t="n">
        <v>1396.6</v>
      </c>
      <c r="AB614" s="5" t="n">
        <v>2715.7</v>
      </c>
      <c r="AC614" s="5" t="n">
        <v>1416.4</v>
      </c>
      <c r="AD614" s="5" t="n">
        <v>2745.4</v>
      </c>
      <c r="AE614" s="5" t="inlineStr">
        <is>
          <t>column</t>
        </is>
      </c>
      <c r="AF614" s="5">
        <f>IF(AE614="","",IF(OR(AE614=F614,AND(AE614="crane_footing",F614="isolated_footing")),"yes","no"))</f>
        <v/>
      </c>
    </row>
    <row r="615">
      <c r="A615" s="5" t="n">
        <v>614</v>
      </c>
      <c r="B615" s="5" t="inlineStr">
        <is>
          <t>128</t>
        </is>
      </c>
      <c r="C615" s="5" t="inlineStr">
        <is>
          <t>own label</t>
        </is>
      </c>
      <c r="D615" s="5" t="inlineStr">
        <is>
          <t>solid</t>
        </is>
      </c>
      <c r="E615" s="5" t="n">
        <v>25</v>
      </c>
      <c r="F615" s="5" t="inlineStr">
        <is>
          <t>column</t>
        </is>
      </c>
      <c r="G615" s="5" t="inlineStr">
        <is>
          <t>Column P1/128 1.00 × 0.25 m</t>
        </is>
      </c>
      <c r="H615" s="5" t="inlineStr">
        <is>
          <t>label vote</t>
        </is>
      </c>
      <c r="I615" s="5" t="inlineStr">
        <is>
          <t>P1/128</t>
        </is>
      </c>
      <c r="J615" s="5" t="inlineStr">
        <is>
          <t>printed label</t>
        </is>
      </c>
      <c r="K615" s="5" t="inlineStr">
        <is>
          <t>P1/128/128</t>
        </is>
      </c>
      <c r="L615" s="5" t="n">
        <v>100</v>
      </c>
      <c r="M615" s="5" t="n">
        <v>25</v>
      </c>
      <c r="N615" s="10">
        <f>IF(AND(ISNUMBER(L615),M615&gt;0),L615/M615,"")</f>
        <v/>
      </c>
      <c r="O615" s="5" t="n">
        <v>0.249</v>
      </c>
      <c r="P615" s="5" t="n">
        <v>116.7</v>
      </c>
      <c r="Q615" s="5" t="n">
        <v>0</v>
      </c>
      <c r="R615" s="5" t="n">
        <v>0</v>
      </c>
      <c r="S615" s="5" t="n">
        <v>0</v>
      </c>
      <c r="T615" s="5" t="n">
        <v>1</v>
      </c>
      <c r="U615" s="5" t="n">
        <v>0</v>
      </c>
      <c r="V615" s="5" t="n">
        <v>0</v>
      </c>
      <c r="W615" s="5" t="n">
        <v>1</v>
      </c>
      <c r="X615" s="5" t="n">
        <v>0</v>
      </c>
      <c r="Y615" s="5" t="n"/>
      <c r="Z615" s="5" t="inlineStr"/>
      <c r="AA615" s="5" t="n">
        <v>1318.6</v>
      </c>
      <c r="AB615" s="5" t="n">
        <v>2676.8</v>
      </c>
      <c r="AC615" s="5" t="n">
        <v>1338.4</v>
      </c>
      <c r="AD615" s="5" t="n">
        <v>2706.5</v>
      </c>
      <c r="AE615" s="5" t="inlineStr">
        <is>
          <t>column</t>
        </is>
      </c>
      <c r="AF615" s="5">
        <f>IF(AE615="","",IF(OR(AE615=F615,AND(AE615="crane_footing",F615="isolated_footing")),"yes","no"))</f>
        <v/>
      </c>
    </row>
    <row r="616">
      <c r="A616" s="5" t="n">
        <v>615</v>
      </c>
      <c r="B616" s="5" t="inlineStr">
        <is>
          <t>128</t>
        </is>
      </c>
      <c r="C616" s="5" t="inlineStr">
        <is>
          <t>own label</t>
        </is>
      </c>
      <c r="D616" s="5" t="inlineStr">
        <is>
          <t>solid</t>
        </is>
      </c>
      <c r="E616" s="5" t="n">
        <v>36</v>
      </c>
      <c r="F616" s="5" t="inlineStr">
        <is>
          <t>column</t>
        </is>
      </c>
      <c r="G616" s="5" t="inlineStr">
        <is>
          <t>Column P2/128 1.20 × 0.50 m</t>
        </is>
      </c>
      <c r="H616" s="5" t="inlineStr">
        <is>
          <t>label vote</t>
        </is>
      </c>
      <c r="I616" s="5" t="inlineStr">
        <is>
          <t>P2/128</t>
        </is>
      </c>
      <c r="J616" s="5" t="inlineStr">
        <is>
          <t>printed label</t>
        </is>
      </c>
      <c r="K616" s="5" t="inlineStr">
        <is>
          <t>P2/128/128</t>
        </is>
      </c>
      <c r="L616" s="5" t="n">
        <v>120</v>
      </c>
      <c r="M616" s="5" t="n">
        <v>50</v>
      </c>
      <c r="N616" s="10">
        <f>IF(AND(ISNUMBER(L616),M616&gt;0),L616/M616,"")</f>
        <v/>
      </c>
      <c r="O616" s="5" t="n">
        <v>0.599</v>
      </c>
      <c r="P616" s="5" t="n">
        <v>26.6</v>
      </c>
      <c r="Q616" s="5" t="n">
        <v>0</v>
      </c>
      <c r="R616" s="5" t="n">
        <v>1</v>
      </c>
      <c r="S616" s="5" t="n">
        <v>0</v>
      </c>
      <c r="T616" s="5" t="n">
        <v>0</v>
      </c>
      <c r="U616" s="5" t="n">
        <v>1</v>
      </c>
      <c r="V616" s="5" t="n">
        <v>0</v>
      </c>
      <c r="W616" s="5" t="n">
        <v>2</v>
      </c>
      <c r="X616" s="5" t="n">
        <v>1</v>
      </c>
      <c r="Y616" s="5" t="n"/>
      <c r="Z616" s="5" t="inlineStr"/>
      <c r="AA616" s="5" t="n">
        <v>950.2</v>
      </c>
      <c r="AB616" s="5" t="n">
        <v>2830.2</v>
      </c>
      <c r="AC616" s="5" t="n">
        <v>988.5</v>
      </c>
      <c r="AD616" s="5" t="n">
        <v>2859.2</v>
      </c>
      <c r="AE616" s="5" t="inlineStr">
        <is>
          <t>column</t>
        </is>
      </c>
      <c r="AF616" s="5">
        <f>IF(AE616="","",IF(OR(AE616=F616,AND(AE616="crane_footing",F616="isolated_footing")),"yes","no"))</f>
        <v/>
      </c>
    </row>
    <row r="617">
      <c r="A617" s="5" t="n">
        <v>616</v>
      </c>
      <c r="B617" s="5" t="inlineStr">
        <is>
          <t>128</t>
        </is>
      </c>
      <c r="C617" s="5" t="inlineStr">
        <is>
          <t>own label</t>
        </is>
      </c>
      <c r="D617" s="5" t="inlineStr">
        <is>
          <t>solid</t>
        </is>
      </c>
      <c r="E617" s="5" t="n">
        <v>33</v>
      </c>
      <c r="F617" s="5" t="inlineStr">
        <is>
          <t>shear_wall</t>
        </is>
      </c>
      <c r="G617" s="5" t="inlineStr">
        <is>
          <t>Shear wall V1/128 1.25 × 0.25 m</t>
        </is>
      </c>
      <c r="H617" s="5" t="inlineStr">
        <is>
          <t>label vote</t>
        </is>
      </c>
      <c r="I617" s="5" t="inlineStr">
        <is>
          <t>V1/128</t>
        </is>
      </c>
      <c r="J617" s="5" t="inlineStr">
        <is>
          <t>printed label</t>
        </is>
      </c>
      <c r="K617" s="5" t="inlineStr">
        <is>
          <t>V1/128/128</t>
        </is>
      </c>
      <c r="L617" s="5" t="n">
        <v>125</v>
      </c>
      <c r="M617" s="5" t="n">
        <v>25</v>
      </c>
      <c r="N617" s="10">
        <f>IF(AND(ISNUMBER(L617),M617&gt;0),L617/M617,"")</f>
        <v/>
      </c>
      <c r="O617" s="5" t="n">
        <v>0.313</v>
      </c>
      <c r="P617" s="5" t="n">
        <v>116.7</v>
      </c>
      <c r="Q617" s="5" t="n">
        <v>1</v>
      </c>
      <c r="R617" s="5" t="n">
        <v>1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1</v>
      </c>
      <c r="X617" s="5" t="n">
        <v>2</v>
      </c>
      <c r="Y617" s="5" t="n"/>
      <c r="Z617" s="5" t="inlineStr"/>
      <c r="AA617" s="5" t="n">
        <v>1726.4</v>
      </c>
      <c r="AB617" s="5" t="n">
        <v>2947.2</v>
      </c>
      <c r="AC617" s="5" t="n">
        <v>1749.6</v>
      </c>
      <c r="AD617" s="5" t="n">
        <v>2983.5</v>
      </c>
      <c r="AE617" s="5" t="inlineStr"/>
      <c r="AF617" s="5">
        <f>IF(AE617="","",IF(OR(AE617=F617,AND(AE617="crane_footing",F617="isolated_footing")),"yes","no"))</f>
        <v/>
      </c>
    </row>
    <row r="618">
      <c r="A618" s="5" t="n">
        <v>617</v>
      </c>
      <c r="B618" s="5" t="inlineStr">
        <is>
          <t>128</t>
        </is>
      </c>
      <c r="C618" s="5" t="inlineStr">
        <is>
          <t>own label</t>
        </is>
      </c>
      <c r="D618" s="5" t="inlineStr">
        <is>
          <t>solid</t>
        </is>
      </c>
      <c r="E618" s="5" t="n">
        <v>33</v>
      </c>
      <c r="F618" s="5" t="inlineStr">
        <is>
          <t>shear_wall</t>
        </is>
      </c>
      <c r="G618" s="5" t="inlineStr">
        <is>
          <t>Shear wall V1/128 1.25 × 0.25 m</t>
        </is>
      </c>
      <c r="H618" s="5" t="inlineStr">
        <is>
          <t>label vote</t>
        </is>
      </c>
      <c r="I618" s="5" t="inlineStr">
        <is>
          <t>V1/128</t>
        </is>
      </c>
      <c r="J618" s="5" t="inlineStr">
        <is>
          <t>printed label</t>
        </is>
      </c>
      <c r="K618" s="5" t="inlineStr">
        <is>
          <t>V1/128/128</t>
        </is>
      </c>
      <c r="L618" s="5" t="n">
        <v>125</v>
      </c>
      <c r="M618" s="5" t="n">
        <v>25</v>
      </c>
      <c r="N618" s="10">
        <f>IF(AND(ISNUMBER(L618),M618&gt;0),L618/M618,"")</f>
        <v/>
      </c>
      <c r="O618" s="5" t="n">
        <v>0.313</v>
      </c>
      <c r="P618" s="5" t="n">
        <v>140.8</v>
      </c>
      <c r="Q618" s="5" t="n">
        <v>1</v>
      </c>
      <c r="R618" s="5" t="n">
        <v>1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2</v>
      </c>
      <c r="X618" s="5" t="n">
        <v>0</v>
      </c>
      <c r="Y618" s="5" t="n"/>
      <c r="Z618" s="5" t="inlineStr"/>
      <c r="AA618" s="5" t="n">
        <v>811.8</v>
      </c>
      <c r="AB618" s="5" t="n">
        <v>2745</v>
      </c>
      <c r="AC618" s="5" t="n">
        <v>845.1</v>
      </c>
      <c r="AD618" s="5" t="n">
        <v>2774</v>
      </c>
      <c r="AE618" s="5" t="inlineStr"/>
      <c r="AF618" s="5">
        <f>IF(AE618="","",IF(OR(AE618=F618,AND(AE618="crane_footing",F618="isolated_footing")),"yes","no"))</f>
        <v/>
      </c>
    </row>
    <row r="619">
      <c r="A619" s="5" t="n">
        <v>618</v>
      </c>
      <c r="B619" s="5" t="inlineStr">
        <is>
          <t>128</t>
        </is>
      </c>
      <c r="C619" s="5" t="inlineStr">
        <is>
          <t>own label</t>
        </is>
      </c>
      <c r="D619" s="5" t="inlineStr">
        <is>
          <t>solid</t>
        </is>
      </c>
      <c r="E619" s="5" t="n">
        <v>31</v>
      </c>
      <c r="F619" s="5" t="inlineStr">
        <is>
          <t>shear_wall</t>
        </is>
      </c>
      <c r="G619" s="5" t="inlineStr">
        <is>
          <t>Shear wall V3/128 2.00 × 0.25 m</t>
        </is>
      </c>
      <c r="H619" s="5" t="inlineStr">
        <is>
          <t>label vote</t>
        </is>
      </c>
      <c r="I619" s="5" t="inlineStr">
        <is>
          <t>V3/128</t>
        </is>
      </c>
      <c r="J619" s="5" t="inlineStr">
        <is>
          <t>printed label</t>
        </is>
      </c>
      <c r="K619" s="5" t="inlineStr">
        <is>
          <t>V3/128/128</t>
        </is>
      </c>
      <c r="L619" s="5" t="n">
        <v>200</v>
      </c>
      <c r="M619" s="5" t="n">
        <v>25</v>
      </c>
      <c r="N619" s="10">
        <f>IF(AND(ISNUMBER(L619),M619&gt;0),L619/M619,"")</f>
        <v/>
      </c>
      <c r="O619" s="5" t="n">
        <v>0.5</v>
      </c>
      <c r="P619" s="5" t="n">
        <v>116.6</v>
      </c>
      <c r="Q619" s="5" t="n">
        <v>0</v>
      </c>
      <c r="R619" s="5" t="n">
        <v>0</v>
      </c>
      <c r="S619" s="5" t="n">
        <v>0</v>
      </c>
      <c r="T619" s="5" t="n">
        <v>1</v>
      </c>
      <c r="U619" s="5" t="n">
        <v>0</v>
      </c>
      <c r="V619" s="5" t="n">
        <v>0</v>
      </c>
      <c r="W619" s="5" t="n">
        <v>1</v>
      </c>
      <c r="X619" s="5" t="n">
        <v>3</v>
      </c>
      <c r="Y619" s="5" t="n"/>
      <c r="Z619" s="5" t="inlineStr"/>
      <c r="AA619" s="5" t="n">
        <v>1824</v>
      </c>
      <c r="AB619" s="5" t="n">
        <v>2732.8</v>
      </c>
      <c r="AC619" s="5" t="n">
        <v>1857.1</v>
      </c>
      <c r="AD619" s="5" t="n">
        <v>2788.9</v>
      </c>
      <c r="AE619" s="5" t="inlineStr">
        <is>
          <t>shear_wall</t>
        </is>
      </c>
      <c r="AF619" s="5">
        <f>IF(AE619="","",IF(OR(AE619=F619,AND(AE619="crane_footing",F619="isolated_footing")),"yes","no"))</f>
        <v/>
      </c>
    </row>
    <row r="620">
      <c r="A620" s="5" t="n">
        <v>619</v>
      </c>
      <c r="B620" s="5" t="inlineStr">
        <is>
          <t>128</t>
        </is>
      </c>
      <c r="C620" s="5" t="inlineStr">
        <is>
          <t>own label</t>
        </is>
      </c>
      <c r="D620" s="5" t="inlineStr">
        <is>
          <t>solid</t>
        </is>
      </c>
      <c r="E620" s="5" t="n">
        <v>29</v>
      </c>
      <c r="F620" s="5" t="inlineStr">
        <is>
          <t>shear_wall</t>
        </is>
      </c>
      <c r="G620" s="5" t="inlineStr">
        <is>
          <t>Shear wall V4/128 2.00 × 0.29 m</t>
        </is>
      </c>
      <c r="H620" s="5" t="inlineStr">
        <is>
          <t>label vote</t>
        </is>
      </c>
      <c r="I620" s="5" t="inlineStr">
        <is>
          <t>V4/128</t>
        </is>
      </c>
      <c r="J620" s="5" t="inlineStr">
        <is>
          <t>printed label</t>
        </is>
      </c>
      <c r="K620" s="5" t="inlineStr">
        <is>
          <t>V4/128/128</t>
        </is>
      </c>
      <c r="L620" s="5" t="n">
        <v>200</v>
      </c>
      <c r="M620" s="5" t="n">
        <v>29</v>
      </c>
      <c r="N620" s="10">
        <f>IF(AND(ISNUMBER(L620),M620&gt;0),L620/M620,"")</f>
        <v/>
      </c>
      <c r="O620" s="5" t="n">
        <v>0.581</v>
      </c>
      <c r="P620" s="5" t="n">
        <v>140.9</v>
      </c>
      <c r="Q620" s="5" t="n">
        <v>1</v>
      </c>
      <c r="R620" s="5" t="n">
        <v>1</v>
      </c>
      <c r="S620" s="5" t="n">
        <v>0</v>
      </c>
      <c r="T620" s="5" t="n">
        <v>0</v>
      </c>
      <c r="U620" s="5" t="n">
        <v>1</v>
      </c>
      <c r="V620" s="5" t="n">
        <v>0</v>
      </c>
      <c r="W620" s="5" t="n">
        <v>1</v>
      </c>
      <c r="X620" s="5" t="n">
        <v>8</v>
      </c>
      <c r="Y620" s="5" t="n"/>
      <c r="Z620" s="5" t="inlineStr"/>
      <c r="AA620" s="5" t="n">
        <v>1190.9</v>
      </c>
      <c r="AB620" s="5" t="n">
        <v>2423</v>
      </c>
      <c r="AC620" s="5" t="n">
        <v>1242.2</v>
      </c>
      <c r="AD620" s="5" t="n">
        <v>2466.9</v>
      </c>
      <c r="AE620" s="5" t="inlineStr"/>
      <c r="AF620" s="5">
        <f>IF(AE620="","",IF(OR(AE620=F620,AND(AE620="crane_footing",F620="isolated_footing")),"yes","no"))</f>
        <v/>
      </c>
    </row>
    <row r="621">
      <c r="A621" s="5" t="n">
        <v>620</v>
      </c>
      <c r="B621" s="5" t="inlineStr">
        <is>
          <t>128</t>
        </is>
      </c>
      <c r="C621" s="5" t="inlineStr">
        <is>
          <t>own label</t>
        </is>
      </c>
      <c r="D621" s="5" t="inlineStr">
        <is>
          <t>solid</t>
        </is>
      </c>
      <c r="E621" s="5" t="n">
        <v>29</v>
      </c>
      <c r="F621" s="5" t="inlineStr">
        <is>
          <t>shear_wall</t>
        </is>
      </c>
      <c r="G621" s="5" t="inlineStr">
        <is>
          <t>Shear wall V5/128 3.00 × 0.30 m</t>
        </is>
      </c>
      <c r="H621" s="5" t="inlineStr">
        <is>
          <t>label vote</t>
        </is>
      </c>
      <c r="I621" s="5" t="inlineStr">
        <is>
          <t>V5/128</t>
        </is>
      </c>
      <c r="J621" s="5" t="inlineStr">
        <is>
          <t>printed label</t>
        </is>
      </c>
      <c r="K621" s="5" t="inlineStr">
        <is>
          <t>V5/128/128</t>
        </is>
      </c>
      <c r="L621" s="5" t="n">
        <v>300</v>
      </c>
      <c r="M621" s="5" t="n">
        <v>30</v>
      </c>
      <c r="N621" s="10">
        <f>IF(AND(ISNUMBER(L621),M621&gt;0),L621/M621,"")</f>
        <v/>
      </c>
      <c r="O621" s="5" t="n">
        <v>0.899</v>
      </c>
      <c r="P621" s="5" t="n">
        <v>26.7</v>
      </c>
      <c r="Q621" s="5" t="n">
        <v>1</v>
      </c>
      <c r="R621" s="5" t="n">
        <v>1</v>
      </c>
      <c r="S621" s="5" t="n">
        <v>0</v>
      </c>
      <c r="T621" s="5" t="n">
        <v>0</v>
      </c>
      <c r="U621" s="5" t="n">
        <v>1</v>
      </c>
      <c r="V621" s="5" t="n">
        <v>0</v>
      </c>
      <c r="W621" s="5" t="n">
        <v>3</v>
      </c>
      <c r="X621" s="5" t="n">
        <v>1</v>
      </c>
      <c r="Y621" s="5" t="n"/>
      <c r="Z621" s="5" t="inlineStr"/>
      <c r="AA621" s="5" t="n">
        <v>1557.9</v>
      </c>
      <c r="AB621" s="5" t="n">
        <v>2862.7</v>
      </c>
      <c r="AC621" s="5" t="n">
        <v>1641.1</v>
      </c>
      <c r="AD621" s="5" t="n">
        <v>2910.3</v>
      </c>
      <c r="AE621" s="5" t="inlineStr"/>
      <c r="AF621" s="5">
        <f>IF(AE621="","",IF(OR(AE621=F621,AND(AE621="crane_footing",F621="isolated_footing")),"yes","no"))</f>
        <v/>
      </c>
    </row>
    <row r="622">
      <c r="A622" s="5" t="n">
        <v>621</v>
      </c>
      <c r="B622" s="5" t="inlineStr">
        <is>
          <t>128</t>
        </is>
      </c>
      <c r="C622" s="5" t="inlineStr">
        <is>
          <t>own label</t>
        </is>
      </c>
      <c r="D622" s="5" t="inlineStr">
        <is>
          <t>solid</t>
        </is>
      </c>
      <c r="E622" s="5" t="n">
        <v>31</v>
      </c>
      <c r="F622" s="5" t="inlineStr">
        <is>
          <t>shear_wall</t>
        </is>
      </c>
      <c r="G622" s="5" t="inlineStr">
        <is>
          <t>Shear wall V6/128 1.25 × 0.25 m</t>
        </is>
      </c>
      <c r="H622" s="5" t="inlineStr">
        <is>
          <t>label vote</t>
        </is>
      </c>
      <c r="I622" s="5" t="inlineStr">
        <is>
          <t>V6/128</t>
        </is>
      </c>
      <c r="J622" s="5" t="inlineStr">
        <is>
          <t>printed label</t>
        </is>
      </c>
      <c r="K622" s="5" t="inlineStr">
        <is>
          <t>V6/128/128</t>
        </is>
      </c>
      <c r="L622" s="5" t="n">
        <v>125</v>
      </c>
      <c r="M622" s="5" t="n">
        <v>25</v>
      </c>
      <c r="N622" s="10">
        <f>IF(AND(ISNUMBER(L622),M622&gt;0),L622/M622,"")</f>
        <v/>
      </c>
      <c r="O622" s="5" t="n">
        <v>0.312</v>
      </c>
      <c r="P622" s="5" t="n">
        <v>116.6</v>
      </c>
      <c r="Q622" s="5" t="n">
        <v>0</v>
      </c>
      <c r="R622" s="5" t="n">
        <v>1</v>
      </c>
      <c r="S622" s="5" t="n">
        <v>0</v>
      </c>
      <c r="T622" s="5" t="n">
        <v>0</v>
      </c>
      <c r="U622" s="5" t="n">
        <v>0</v>
      </c>
      <c r="V622" s="5" t="n">
        <v>0</v>
      </c>
      <c r="W622" s="5" t="n">
        <v>1</v>
      </c>
      <c r="X622" s="5" t="n">
        <v>4</v>
      </c>
      <c r="Y622" s="5" t="n"/>
      <c r="Z622" s="5" t="inlineStr"/>
      <c r="AA622" s="5" t="n">
        <v>1943.4</v>
      </c>
      <c r="AB622" s="5" t="n">
        <v>2514.5</v>
      </c>
      <c r="AC622" s="5" t="n">
        <v>1966.6</v>
      </c>
      <c r="AD622" s="5" t="n">
        <v>2550.8</v>
      </c>
      <c r="AE622" s="5" t="inlineStr">
        <is>
          <t>shear_wall</t>
        </is>
      </c>
      <c r="AF622" s="5">
        <f>IF(AE622="","",IF(OR(AE622=F622,AND(AE622="crane_footing",F622="isolated_footing")),"yes","no"))</f>
        <v/>
      </c>
    </row>
    <row r="623">
      <c r="A623" s="5" t="n">
        <v>622</v>
      </c>
      <c r="B623" s="5" t="inlineStr">
        <is>
          <t>128</t>
        </is>
      </c>
      <c r="C623" s="5" t="inlineStr">
        <is>
          <t>own label</t>
        </is>
      </c>
      <c r="D623" s="5" t="inlineStr">
        <is>
          <t>solid</t>
        </is>
      </c>
      <c r="E623" s="5" t="n">
        <v>35</v>
      </c>
      <c r="F623" s="5" t="inlineStr">
        <is>
          <t>shear_wall</t>
        </is>
      </c>
      <c r="G623" s="5" t="inlineStr">
        <is>
          <t>Shear wall V6/128 1.25 × 0.25 m</t>
        </is>
      </c>
      <c r="H623" s="5" t="inlineStr">
        <is>
          <t>similar to cluster 31 (distance 2.05)</t>
        </is>
      </c>
      <c r="I623" s="5" t="inlineStr">
        <is>
          <t>V6/128</t>
        </is>
      </c>
      <c r="J623" s="5" t="inlineStr">
        <is>
          <t>printed label</t>
        </is>
      </c>
      <c r="K623" s="5" t="inlineStr">
        <is>
          <t>V6/128/128</t>
        </is>
      </c>
      <c r="L623" s="5" t="n">
        <v>125</v>
      </c>
      <c r="M623" s="5" t="n">
        <v>25</v>
      </c>
      <c r="N623" s="10">
        <f>IF(AND(ISNUMBER(L623),M623&gt;0),L623/M623,"")</f>
        <v/>
      </c>
      <c r="O623" s="5" t="n">
        <v>0.312</v>
      </c>
      <c r="P623" s="5" t="n">
        <v>141</v>
      </c>
      <c r="Q623" s="5" t="n">
        <v>0</v>
      </c>
      <c r="R623" s="5" t="n">
        <v>1</v>
      </c>
      <c r="S623" s="5" t="n">
        <v>0</v>
      </c>
      <c r="T623" s="5" t="n">
        <v>0</v>
      </c>
      <c r="U623" s="5" t="n">
        <v>1</v>
      </c>
      <c r="V623" s="5" t="n">
        <v>0</v>
      </c>
      <c r="W623" s="5" t="n">
        <v>1</v>
      </c>
      <c r="X623" s="5" t="n">
        <v>3</v>
      </c>
      <c r="Y623" s="5" t="n"/>
      <c r="Z623" s="5" t="inlineStr"/>
      <c r="AA623" s="5" t="n">
        <v>1443.9</v>
      </c>
      <c r="AB623" s="5" t="n">
        <v>2231.4</v>
      </c>
      <c r="AC623" s="5" t="n">
        <v>1477.2</v>
      </c>
      <c r="AD623" s="5" t="n">
        <v>2260.4</v>
      </c>
      <c r="AE623" s="5" t="inlineStr">
        <is>
          <t>shear_wall</t>
        </is>
      </c>
      <c r="AF623" s="5">
        <f>IF(AE623="","",IF(OR(AE623=F623,AND(AE623="crane_footing",F623="isolated_footing")),"yes","no"))</f>
        <v/>
      </c>
    </row>
    <row r="624">
      <c r="A624" s="5" t="n">
        <v>623</v>
      </c>
      <c r="B624" s="5" t="inlineStr">
        <is>
          <t>128</t>
        </is>
      </c>
      <c r="C624" s="5" t="inlineStr">
        <is>
          <t>own label</t>
        </is>
      </c>
      <c r="D624" s="5" t="inlineStr">
        <is>
          <t>solid</t>
        </is>
      </c>
      <c r="E624" s="5" t="n">
        <v>35</v>
      </c>
      <c r="F624" s="5" t="inlineStr">
        <is>
          <t>shear_wall</t>
        </is>
      </c>
      <c r="G624" s="5" t="inlineStr">
        <is>
          <t>Shear wall V6/128 1.25 × 0.25 m</t>
        </is>
      </c>
      <c r="H624" s="5" t="inlineStr">
        <is>
          <t>similar to cluster 31 (distance 2.05)</t>
        </is>
      </c>
      <c r="I624" s="5" t="inlineStr">
        <is>
          <t>V6/128</t>
        </is>
      </c>
      <c r="J624" s="5" t="inlineStr">
        <is>
          <t>printed label</t>
        </is>
      </c>
      <c r="K624" s="5" t="inlineStr">
        <is>
          <t>V6/128/128</t>
        </is>
      </c>
      <c r="L624" s="5" t="n">
        <v>125</v>
      </c>
      <c r="M624" s="5" t="n">
        <v>25</v>
      </c>
      <c r="N624" s="10">
        <f>IF(AND(ISNUMBER(L624),M624&gt;0),L624/M624,"")</f>
        <v/>
      </c>
      <c r="O624" s="5" t="n">
        <v>0.311</v>
      </c>
      <c r="P624" s="5" t="n">
        <v>116.7</v>
      </c>
      <c r="Q624" s="5" t="n">
        <v>0</v>
      </c>
      <c r="R624" s="5" t="n">
        <v>1</v>
      </c>
      <c r="S624" s="5" t="n">
        <v>0</v>
      </c>
      <c r="T624" s="5" t="n">
        <v>0</v>
      </c>
      <c r="U624" s="5" t="n">
        <v>1</v>
      </c>
      <c r="V624" s="5" t="n">
        <v>0</v>
      </c>
      <c r="W624" s="5" t="n">
        <v>1</v>
      </c>
      <c r="X624" s="5" t="n">
        <v>4</v>
      </c>
      <c r="Y624" s="5" t="n"/>
      <c r="Z624" s="5" t="inlineStr"/>
      <c r="AA624" s="5" t="n">
        <v>1738.6</v>
      </c>
      <c r="AB624" s="5" t="n">
        <v>2411.8</v>
      </c>
      <c r="AC624" s="5" t="n">
        <v>1761.7</v>
      </c>
      <c r="AD624" s="5" t="n">
        <v>2448.1</v>
      </c>
      <c r="AE624" s="5" t="inlineStr">
        <is>
          <t>shear_wall</t>
        </is>
      </c>
      <c r="AF624" s="5">
        <f>IF(AE624="","",IF(OR(AE624=F624,AND(AE624="crane_footing",F624="isolated_footing")),"yes","no"))</f>
        <v/>
      </c>
    </row>
    <row r="625">
      <c r="A625" s="5" t="n">
        <v>624</v>
      </c>
      <c r="B625" s="5" t="inlineStr">
        <is>
          <t>128</t>
        </is>
      </c>
      <c r="C625" s="5" t="inlineStr">
        <is>
          <t>own label (region says 129)</t>
        </is>
      </c>
      <c r="D625" s="5" t="inlineStr">
        <is>
          <t>solid</t>
        </is>
      </c>
      <c r="E625" s="5" t="n">
        <v>29</v>
      </c>
      <c r="F625" s="5" t="inlineStr">
        <is>
          <t>shear_wall</t>
        </is>
      </c>
      <c r="G625" s="5" t="inlineStr">
        <is>
          <t>Shear wall V7/128 2.00 × 0.25 m</t>
        </is>
      </c>
      <c r="H625" s="5" t="inlineStr">
        <is>
          <t>label vote</t>
        </is>
      </c>
      <c r="I625" s="5" t="inlineStr">
        <is>
          <t>V7/128</t>
        </is>
      </c>
      <c r="J625" s="5" t="inlineStr">
        <is>
          <t>printed label</t>
        </is>
      </c>
      <c r="K625" s="5" t="inlineStr">
        <is>
          <t>V7/128/128</t>
        </is>
      </c>
      <c r="L625" s="5" t="n">
        <v>200</v>
      </c>
      <c r="M625" s="5" t="n">
        <v>25</v>
      </c>
      <c r="N625" s="10">
        <f>IF(AND(ISNUMBER(L625),M625&gt;0),L625/M625,"")</f>
        <v/>
      </c>
      <c r="O625" s="5" t="n">
        <v>0.5</v>
      </c>
      <c r="P625" s="5" t="n">
        <v>140.9</v>
      </c>
      <c r="Q625" s="5" t="n">
        <v>1</v>
      </c>
      <c r="R625" s="5" t="n">
        <v>1</v>
      </c>
      <c r="S625" s="5" t="n">
        <v>0</v>
      </c>
      <c r="T625" s="5" t="n">
        <v>0</v>
      </c>
      <c r="U625" s="5" t="n">
        <v>1</v>
      </c>
      <c r="V625" s="5" t="n">
        <v>0</v>
      </c>
      <c r="W625" s="5" t="n">
        <v>1</v>
      </c>
      <c r="X625" s="5" t="n">
        <v>8</v>
      </c>
      <c r="Y625" s="5" t="n"/>
      <c r="Z625" s="5" t="inlineStr"/>
      <c r="AA625" s="5" t="n">
        <v>1184.4</v>
      </c>
      <c r="AB625" s="5" t="n">
        <v>2415</v>
      </c>
      <c r="AC625" s="5" t="n">
        <v>1234.9</v>
      </c>
      <c r="AD625" s="5" t="n">
        <v>2457.9</v>
      </c>
      <c r="AE625" s="5" t="inlineStr"/>
      <c r="AF625" s="5">
        <f>IF(AE625="","",IF(OR(AE625=F625,AND(AE625="crane_footing",F625="isolated_footing")),"yes","no"))</f>
        <v/>
      </c>
    </row>
    <row r="626">
      <c r="A626" s="5" t="n">
        <v>625</v>
      </c>
      <c r="B626" s="5" t="inlineStr">
        <is>
          <t>128</t>
        </is>
      </c>
      <c r="C626" s="5" t="inlineStr">
        <is>
          <t>own label (region says 129)</t>
        </is>
      </c>
      <c r="D626" s="5" t="inlineStr">
        <is>
          <t>solid</t>
        </is>
      </c>
      <c r="E626" s="5" t="n">
        <v>31</v>
      </c>
      <c r="F626" s="5" t="inlineStr">
        <is>
          <t>shear_wall</t>
        </is>
      </c>
      <c r="G626" s="5" t="inlineStr">
        <is>
          <t>Shear wall V9/128 1.25 × 0.25 m</t>
        </is>
      </c>
      <c r="H626" s="5" t="inlineStr">
        <is>
          <t>label vote</t>
        </is>
      </c>
      <c r="I626" s="5" t="inlineStr">
        <is>
          <t>V9/128</t>
        </is>
      </c>
      <c r="J626" s="5" t="inlineStr">
        <is>
          <t>printed label</t>
        </is>
      </c>
      <c r="K626" s="5" t="inlineStr">
        <is>
          <t>V9/128/128</t>
        </is>
      </c>
      <c r="L626" s="5" t="n">
        <v>125</v>
      </c>
      <c r="M626" s="5" t="n">
        <v>25</v>
      </c>
      <c r="N626" s="10">
        <f>IF(AND(ISNUMBER(L626),M626&gt;0),L626/M626,"")</f>
        <v/>
      </c>
      <c r="O626" s="5" t="n">
        <v>0.313</v>
      </c>
      <c r="P626" s="5" t="n">
        <v>140.9</v>
      </c>
      <c r="Q626" s="5" t="n">
        <v>0</v>
      </c>
      <c r="R626" s="5" t="n">
        <v>1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1</v>
      </c>
      <c r="X626" s="5" t="n">
        <v>3</v>
      </c>
      <c r="Y626" s="5" t="n"/>
      <c r="Z626" s="5" t="inlineStr"/>
      <c r="AA626" s="5" t="n">
        <v>1437.3</v>
      </c>
      <c r="AB626" s="5" t="n">
        <v>2223.4</v>
      </c>
      <c r="AC626" s="5" t="n">
        <v>1470.6</v>
      </c>
      <c r="AD626" s="5" t="n">
        <v>2252.4</v>
      </c>
      <c r="AE626" s="5" t="inlineStr">
        <is>
          <t>shear_wall</t>
        </is>
      </c>
      <c r="AF626" s="5">
        <f>IF(AE626="","",IF(OR(AE626=F626,AND(AE626="crane_footing",F626="isolated_footing")),"yes","no"))</f>
        <v/>
      </c>
    </row>
    <row r="627">
      <c r="A627" s="5" t="n">
        <v>626</v>
      </c>
      <c r="B627" s="5" t="inlineStr">
        <is>
          <t>128</t>
        </is>
      </c>
      <c r="C627" s="5" t="inlineStr">
        <is>
          <t>own label (region says 129)</t>
        </is>
      </c>
      <c r="D627" s="5" t="inlineStr">
        <is>
          <t>solid</t>
        </is>
      </c>
      <c r="E627" s="5" t="n">
        <v>31</v>
      </c>
      <c r="F627" s="5" t="inlineStr">
        <is>
          <t>shear_wall</t>
        </is>
      </c>
      <c r="G627" s="5" t="inlineStr">
        <is>
          <t>Shear wall V9/128 1.25 × 0.25 m</t>
        </is>
      </c>
      <c r="H627" s="5" t="inlineStr">
        <is>
          <t>label vote</t>
        </is>
      </c>
      <c r="I627" s="5" t="inlineStr">
        <is>
          <t>V9/128</t>
        </is>
      </c>
      <c r="J627" s="5" t="inlineStr">
        <is>
          <t>printed label</t>
        </is>
      </c>
      <c r="K627" s="5" t="inlineStr">
        <is>
          <t>V9/128/128</t>
        </is>
      </c>
      <c r="L627" s="5" t="n">
        <v>125</v>
      </c>
      <c r="M627" s="5" t="n">
        <v>25</v>
      </c>
      <c r="N627" s="10">
        <f>IF(AND(ISNUMBER(L627),M627&gt;0),L627/M627,"")</f>
        <v/>
      </c>
      <c r="O627" s="5" t="n">
        <v>0.313</v>
      </c>
      <c r="P627" s="5" t="n">
        <v>165.3</v>
      </c>
      <c r="Q627" s="5" t="n">
        <v>0</v>
      </c>
      <c r="R627" s="5" t="n">
        <v>1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1</v>
      </c>
      <c r="X627" s="5" t="n">
        <v>5</v>
      </c>
      <c r="Y627" s="5" t="n"/>
      <c r="Z627" s="5" t="inlineStr"/>
      <c r="AA627" s="5" t="n">
        <v>1281.1</v>
      </c>
      <c r="AB627" s="5" t="n">
        <v>1816.7</v>
      </c>
      <c r="AC627" s="5" t="n">
        <v>1318.8</v>
      </c>
      <c r="AD627" s="5" t="n">
        <v>1833.2</v>
      </c>
      <c r="AE627" s="5" t="inlineStr">
        <is>
          <t>shear_wall</t>
        </is>
      </c>
      <c r="AF627" s="5">
        <f>IF(AE627="","",IF(OR(AE627=F627,AND(AE627="crane_footing",F627="isolated_footing")),"yes","no"))</f>
        <v/>
      </c>
    </row>
    <row r="628">
      <c r="A628" s="5" t="n">
        <v>627</v>
      </c>
      <c r="B628" s="5" t="inlineStr">
        <is>
          <t>128</t>
        </is>
      </c>
      <c r="C628" s="5" t="inlineStr">
        <is>
          <t>own label (region says 129)</t>
        </is>
      </c>
      <c r="D628" s="5" t="inlineStr">
        <is>
          <t>solid</t>
        </is>
      </c>
      <c r="E628" s="5" t="n">
        <v>31</v>
      </c>
      <c r="F628" s="5" t="inlineStr">
        <is>
          <t>shear_wall</t>
        </is>
      </c>
      <c r="G628" s="5" t="inlineStr">
        <is>
          <t>Shear wall V9/128 1.25 × 0.25 m</t>
        </is>
      </c>
      <c r="H628" s="5" t="inlineStr">
        <is>
          <t>label vote</t>
        </is>
      </c>
      <c r="I628" s="5" t="inlineStr">
        <is>
          <t>V9/128</t>
        </is>
      </c>
      <c r="J628" s="5" t="inlineStr">
        <is>
          <t>printed label</t>
        </is>
      </c>
      <c r="K628" s="5" t="inlineStr">
        <is>
          <t>V9/128/128</t>
        </is>
      </c>
      <c r="L628" s="5" t="n">
        <v>125</v>
      </c>
      <c r="M628" s="5" t="n">
        <v>25</v>
      </c>
      <c r="N628" s="10">
        <f>IF(AND(ISNUMBER(L628),M628&gt;0),L628/M628,"")</f>
        <v/>
      </c>
      <c r="O628" s="5" t="n">
        <v>0.312</v>
      </c>
      <c r="P628" s="5" t="n">
        <v>165.3</v>
      </c>
      <c r="Q628" s="5" t="n">
        <v>0</v>
      </c>
      <c r="R628" s="5" t="n">
        <v>1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1</v>
      </c>
      <c r="X628" s="5" t="n">
        <v>2</v>
      </c>
      <c r="Y628" s="5" t="n"/>
      <c r="Z628" s="5" t="inlineStr"/>
      <c r="AA628" s="5" t="n">
        <v>1339.6</v>
      </c>
      <c r="AB628" s="5" t="n">
        <v>2037.7</v>
      </c>
      <c r="AC628" s="5" t="n">
        <v>1377.2</v>
      </c>
      <c r="AD628" s="5" t="n">
        <v>2054.2</v>
      </c>
      <c r="AE628" s="5" t="inlineStr">
        <is>
          <t>shear_wall</t>
        </is>
      </c>
      <c r="AF628" s="5">
        <f>IF(AE628="","",IF(OR(AE628=F628,AND(AE628="crane_footing",F628="isolated_footing")),"yes","no"))</f>
        <v/>
      </c>
    </row>
    <row r="629">
      <c r="A629" s="5" t="n">
        <v>628</v>
      </c>
      <c r="B629" s="5" t="inlineStr">
        <is>
          <t>128</t>
        </is>
      </c>
      <c r="C629" s="5" t="inlineStr">
        <is>
          <t>own label (region says 129)</t>
        </is>
      </c>
      <c r="D629" s="5" t="inlineStr">
        <is>
          <t>solid</t>
        </is>
      </c>
      <c r="E629" s="5" t="n">
        <v>31</v>
      </c>
      <c r="F629" s="5" t="inlineStr">
        <is>
          <t>shear_wall</t>
        </is>
      </c>
      <c r="G629" s="5" t="inlineStr">
        <is>
          <t>Shear wall V9/128 1.25 × 0.25 m</t>
        </is>
      </c>
      <c r="H629" s="5" t="inlineStr">
        <is>
          <t>label vote</t>
        </is>
      </c>
      <c r="I629" s="5" t="inlineStr">
        <is>
          <t>V9/128</t>
        </is>
      </c>
      <c r="J629" s="5" t="inlineStr">
        <is>
          <t>printed label</t>
        </is>
      </c>
      <c r="K629" s="5" t="inlineStr">
        <is>
          <t>V9/128/128</t>
        </is>
      </c>
      <c r="L629" s="5" t="n">
        <v>125</v>
      </c>
      <c r="M629" s="5" t="n">
        <v>25</v>
      </c>
      <c r="N629" s="10">
        <f>IF(AND(ISNUMBER(L629),M629&gt;0),L629/M629,"")</f>
        <v/>
      </c>
      <c r="O629" s="5" t="n">
        <v>0.312</v>
      </c>
      <c r="P629" s="5" t="n">
        <v>165.3</v>
      </c>
      <c r="Q629" s="5" t="n">
        <v>0</v>
      </c>
      <c r="R629" s="5" t="n">
        <v>1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1</v>
      </c>
      <c r="X629" s="5" t="n">
        <v>4</v>
      </c>
      <c r="Y629" s="5" t="n"/>
      <c r="Z629" s="5" t="inlineStr"/>
      <c r="AA629" s="5" t="n">
        <v>1258.3</v>
      </c>
      <c r="AB629" s="5" t="n">
        <v>1730.4</v>
      </c>
      <c r="AC629" s="5" t="n">
        <v>1295.9</v>
      </c>
      <c r="AD629" s="5" t="n">
        <v>1746.9</v>
      </c>
      <c r="AE629" s="5" t="inlineStr">
        <is>
          <t>shear_wall</t>
        </is>
      </c>
      <c r="AF629" s="5">
        <f>IF(AE629="","",IF(OR(AE629=F629,AND(AE629="crane_footing",F629="isolated_footing")),"yes","no"))</f>
        <v/>
      </c>
    </row>
    <row r="630">
      <c r="A630" s="5" t="n">
        <v>629</v>
      </c>
      <c r="B630" s="5" t="inlineStr">
        <is>
          <t>128</t>
        </is>
      </c>
      <c r="C630" s="5" t="inlineStr">
        <is>
          <t>nearest labels</t>
        </is>
      </c>
      <c r="D630" s="5" t="inlineStr">
        <is>
          <t>solid</t>
        </is>
      </c>
      <c r="E630" s="5" t="n">
        <v>34</v>
      </c>
      <c r="F630" s="5" t="inlineStr">
        <is>
          <t>core_wall</t>
        </is>
      </c>
      <c r="G630" s="5" t="inlineStr">
        <is>
          <t>Core wall 7.66 × 0.20 m</t>
        </is>
      </c>
      <c r="H630" s="5" t="inlineStr">
        <is>
          <t>rule: unlabelled interior wall, no V type of its size</t>
        </is>
      </c>
      <c r="I630" s="5" t="inlineStr">
        <is>
          <t>(none)</t>
        </is>
      </c>
      <c r="J630" s="5" t="inlineStr">
        <is>
          <t>no shear_wall type in its building has this size</t>
        </is>
      </c>
      <c r="K630" s="5" t="inlineStr"/>
      <c r="L630" s="5" t="n">
        <v>766</v>
      </c>
      <c r="M630" s="5" t="n">
        <v>20</v>
      </c>
      <c r="N630" s="10">
        <f>IF(AND(ISNUMBER(L630),M630&gt;0),L630/M630,"")</f>
        <v/>
      </c>
      <c r="O630" s="5" t="n">
        <v>1.524</v>
      </c>
      <c r="P630" s="5" t="n">
        <v>140.9</v>
      </c>
      <c r="Q630" s="5" t="n">
        <v>2</v>
      </c>
      <c r="R630" s="5" t="n">
        <v>0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4</v>
      </c>
      <c r="X630" s="5" t="n">
        <v>48</v>
      </c>
      <c r="Y630" s="5" t="n"/>
      <c r="Z630" s="5" t="inlineStr"/>
      <c r="AA630" s="5" t="n">
        <v>1032.6</v>
      </c>
      <c r="AB630" s="5" t="n">
        <v>2446.2</v>
      </c>
      <c r="AC630" s="5" t="n">
        <v>1211.8</v>
      </c>
      <c r="AD630" s="5" t="n">
        <v>2593.4</v>
      </c>
      <c r="AE630" s="5" t="inlineStr"/>
      <c r="AF630" s="5">
        <f>IF(AE630="","",IF(OR(AE630=F630,AND(AE630="crane_footing",F630="isolated_footing")),"yes","no"))</f>
        <v/>
      </c>
    </row>
    <row r="631">
      <c r="A631" s="5" t="n">
        <v>630</v>
      </c>
      <c r="B631" s="5" t="inlineStr">
        <is>
          <t>128</t>
        </is>
      </c>
      <c r="C631" s="5" t="inlineStr">
        <is>
          <t>region between joints</t>
        </is>
      </c>
      <c r="D631" s="5" t="inlineStr">
        <is>
          <t>solid</t>
        </is>
      </c>
      <c r="E631" s="5" t="n">
        <v>34</v>
      </c>
      <c r="F631" s="5" t="inlineStr">
        <is>
          <t>core_wall</t>
        </is>
      </c>
      <c r="G631" s="5" t="inlineStr">
        <is>
          <t>Core wall 4.55 × 0.20 m</t>
        </is>
      </c>
      <c r="H631" s="5" t="inlineStr">
        <is>
          <t>rule: unlabelled interior wall, no V type of its size</t>
        </is>
      </c>
      <c r="I631" s="5" t="inlineStr">
        <is>
          <t>(none)</t>
        </is>
      </c>
      <c r="J631" s="5" t="inlineStr">
        <is>
          <t>no shear_wall type in its building has this size</t>
        </is>
      </c>
      <c r="K631" s="5" t="inlineStr"/>
      <c r="L631" s="5" t="n">
        <v>455</v>
      </c>
      <c r="M631" s="5" t="n">
        <v>20</v>
      </c>
      <c r="N631" s="10">
        <f>IF(AND(ISNUMBER(L631),M631&gt;0),L631/M631,"")</f>
        <v/>
      </c>
      <c r="O631" s="5" t="n">
        <v>0.909</v>
      </c>
      <c r="P631" s="5" t="n">
        <v>116.6</v>
      </c>
      <c r="Q631" s="5" t="n">
        <v>2</v>
      </c>
      <c r="R631" s="5" t="n">
        <v>0</v>
      </c>
      <c r="S631" s="5" t="n">
        <v>0</v>
      </c>
      <c r="T631" s="5" t="n">
        <v>1</v>
      </c>
      <c r="U631" s="5" t="n">
        <v>0</v>
      </c>
      <c r="V631" s="5" t="n">
        <v>0</v>
      </c>
      <c r="W631" s="5" t="n">
        <v>0</v>
      </c>
      <c r="X631" s="5" t="n">
        <v>0</v>
      </c>
      <c r="Y631" s="5" t="n"/>
      <c r="Z631" s="5" t="inlineStr"/>
      <c r="AA631" s="5" t="n">
        <v>1153</v>
      </c>
      <c r="AB631" s="5" t="n">
        <v>2817.9</v>
      </c>
      <c r="AC631" s="5" t="n">
        <v>1218.5</v>
      </c>
      <c r="AD631" s="5" t="n">
        <v>2940.5</v>
      </c>
      <c r="AE631" s="5" t="inlineStr"/>
      <c r="AF631" s="5">
        <f>IF(AE631="","",IF(OR(AE631=F631,AND(AE631="crane_footing",F631="isolated_footing")),"yes","no"))</f>
        <v/>
      </c>
    </row>
    <row r="632">
      <c r="A632" s="5" t="n">
        <v>631</v>
      </c>
      <c r="B632" s="5" t="inlineStr">
        <is>
          <t>128</t>
        </is>
      </c>
      <c r="C632" s="5" t="inlineStr">
        <is>
          <t>region between joints</t>
        </is>
      </c>
      <c r="D632" s="5" t="inlineStr">
        <is>
          <t>solid</t>
        </is>
      </c>
      <c r="E632" s="5" t="n">
        <v>34</v>
      </c>
      <c r="F632" s="5" t="inlineStr">
        <is>
          <t>core_wall</t>
        </is>
      </c>
      <c r="G632" s="5" t="inlineStr">
        <is>
          <t>Core wall 3.44 × 0.20 m</t>
        </is>
      </c>
      <c r="H632" s="5" t="inlineStr">
        <is>
          <t>rule: unlabelled interior wall, no V type of its size</t>
        </is>
      </c>
      <c r="I632" s="5" t="inlineStr">
        <is>
          <t>(none)</t>
        </is>
      </c>
      <c r="J632" s="5" t="inlineStr">
        <is>
          <t>no shear_wall type in its building has this size</t>
        </is>
      </c>
      <c r="K632" s="5" t="inlineStr"/>
      <c r="L632" s="5" t="n">
        <v>344</v>
      </c>
      <c r="M632" s="5" t="n">
        <v>20</v>
      </c>
      <c r="N632" s="10">
        <f>IF(AND(ISNUMBER(L632),M632&gt;0),L632/M632,"")</f>
        <v/>
      </c>
      <c r="O632" s="5" t="n">
        <v>0.6919999999999999</v>
      </c>
      <c r="P632" s="5" t="n">
        <v>116.6</v>
      </c>
      <c r="Q632" s="5" t="n">
        <v>2</v>
      </c>
      <c r="R632" s="5" t="n">
        <v>0</v>
      </c>
      <c r="S632" s="5" t="n">
        <v>0</v>
      </c>
      <c r="T632" s="5" t="n">
        <v>1</v>
      </c>
      <c r="U632" s="5" t="n">
        <v>0</v>
      </c>
      <c r="V632" s="5" t="n">
        <v>0</v>
      </c>
      <c r="W632" s="5" t="n">
        <v>4</v>
      </c>
      <c r="X632" s="5" t="n">
        <v>0</v>
      </c>
      <c r="Y632" s="5" t="n"/>
      <c r="Z632" s="5" t="inlineStr"/>
      <c r="AA632" s="5" t="n">
        <v>1207.9</v>
      </c>
      <c r="AB632" s="5" t="n">
        <v>2717.7</v>
      </c>
      <c r="AC632" s="5" t="n">
        <v>1258.8</v>
      </c>
      <c r="AD632" s="5" t="n">
        <v>2811.2</v>
      </c>
      <c r="AE632" s="5" t="inlineStr"/>
      <c r="AF632" s="5">
        <f>IF(AE632="","",IF(OR(AE632=F632,AND(AE632="crane_footing",F632="isolated_footing")),"yes","no"))</f>
        <v/>
      </c>
    </row>
    <row r="633">
      <c r="A633" s="5" t="n">
        <v>632</v>
      </c>
      <c r="B633" s="5" t="inlineStr">
        <is>
          <t>128</t>
        </is>
      </c>
      <c r="C633" s="5" t="inlineStr">
        <is>
          <t>region between joints</t>
        </is>
      </c>
      <c r="D633" s="5" t="inlineStr">
        <is>
          <t>solid</t>
        </is>
      </c>
      <c r="E633" s="5" t="n">
        <v>34</v>
      </c>
      <c r="F633" s="5" t="inlineStr">
        <is>
          <t>core_wall</t>
        </is>
      </c>
      <c r="G633" s="5" t="inlineStr">
        <is>
          <t>Core wall 3.44 × 0.20 m</t>
        </is>
      </c>
      <c r="H633" s="5" t="inlineStr">
        <is>
          <t>rule: unlabelled interior wall, no V type of its size</t>
        </is>
      </c>
      <c r="I633" s="5" t="inlineStr">
        <is>
          <t>(none)</t>
        </is>
      </c>
      <c r="J633" s="5" t="inlineStr">
        <is>
          <t>no shear_wall type in its building has this size</t>
        </is>
      </c>
      <c r="K633" s="5" t="inlineStr"/>
      <c r="L633" s="5" t="n">
        <v>344</v>
      </c>
      <c r="M633" s="5" t="n">
        <v>20</v>
      </c>
      <c r="N633" s="10">
        <f>IF(AND(ISNUMBER(L633),M633&gt;0),L633/M633,"")</f>
        <v/>
      </c>
      <c r="O633" s="5" t="n">
        <v>0.6909999999999999</v>
      </c>
      <c r="P633" s="5" t="n">
        <v>116.6</v>
      </c>
      <c r="Q633" s="5" t="n">
        <v>2</v>
      </c>
      <c r="R633" s="5" t="n">
        <v>0</v>
      </c>
      <c r="S633" s="5" t="n">
        <v>0</v>
      </c>
      <c r="T633" s="5" t="n">
        <v>1</v>
      </c>
      <c r="U633" s="5" t="n">
        <v>0</v>
      </c>
      <c r="V633" s="5" t="n">
        <v>0</v>
      </c>
      <c r="W633" s="5" t="n">
        <v>4</v>
      </c>
      <c r="X633" s="5" t="n">
        <v>0</v>
      </c>
      <c r="Y633" s="5" t="n"/>
      <c r="Z633" s="5" t="inlineStr"/>
      <c r="AA633" s="5" t="n">
        <v>1320.4</v>
      </c>
      <c r="AB633" s="5" t="n">
        <v>2774.2</v>
      </c>
      <c r="AC633" s="5" t="n">
        <v>1371.3</v>
      </c>
      <c r="AD633" s="5" t="n">
        <v>2867.7</v>
      </c>
      <c r="AE633" s="5" t="inlineStr"/>
      <c r="AF633" s="5">
        <f>IF(AE633="","",IF(OR(AE633=F633,AND(AE633="crane_footing",F633="isolated_footing")),"yes","no"))</f>
        <v/>
      </c>
    </row>
    <row r="634">
      <c r="A634" s="5" t="n">
        <v>633</v>
      </c>
      <c r="B634" s="5" t="inlineStr">
        <is>
          <t>128</t>
        </is>
      </c>
      <c r="C634" s="5" t="inlineStr">
        <is>
          <t>region between joints</t>
        </is>
      </c>
      <c r="D634" s="5" t="inlineStr">
        <is>
          <t>solid</t>
        </is>
      </c>
      <c r="E634" s="5" t="n">
        <v>37</v>
      </c>
      <c r="F634" s="5" t="inlineStr">
        <is>
          <t>core_wall</t>
        </is>
      </c>
      <c r="G634" s="5" t="inlineStr">
        <is>
          <t>Core wall 2.50 × 0.24 m</t>
        </is>
      </c>
      <c r="H634" s="5" t="inlineStr">
        <is>
          <t>rule: unlabelled interior wall, no V type of its size</t>
        </is>
      </c>
      <c r="I634" s="5" t="inlineStr">
        <is>
          <t>(none)</t>
        </is>
      </c>
      <c r="J634" s="5" t="inlineStr">
        <is>
          <t>no shear_wall type in its building has this size</t>
        </is>
      </c>
      <c r="K634" s="5" t="inlineStr"/>
      <c r="L634" s="5" t="n">
        <v>250</v>
      </c>
      <c r="M634" s="5" t="n">
        <v>24</v>
      </c>
      <c r="N634" s="10">
        <f>IF(AND(ISNUMBER(L634),M634&gt;0),L634/M634,"")</f>
        <v/>
      </c>
      <c r="O634" s="5" t="n">
        <v>0.604</v>
      </c>
      <c r="P634" s="5" t="n">
        <v>140.9</v>
      </c>
      <c r="Q634" s="5" t="n">
        <v>2</v>
      </c>
      <c r="R634" s="5" t="n">
        <v>1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3</v>
      </c>
      <c r="X634" s="5" t="n">
        <v>11</v>
      </c>
      <c r="Y634" s="5" t="n"/>
      <c r="Z634" s="5" t="inlineStr"/>
      <c r="AA634" s="5" t="n">
        <v>986.8</v>
      </c>
      <c r="AB634" s="5" t="n">
        <v>2579.5</v>
      </c>
      <c r="AC634" s="5" t="n">
        <v>1048.6</v>
      </c>
      <c r="AD634" s="5" t="n">
        <v>2631.6</v>
      </c>
      <c r="AE634" s="5" t="inlineStr"/>
      <c r="AF634" s="5">
        <f>IF(AE634="","",IF(OR(AE634=F634,AND(AE634="crane_footing",F634="isolated_footing")),"yes","no"))</f>
        <v/>
      </c>
    </row>
    <row r="635">
      <c r="A635" s="5" t="n">
        <v>634</v>
      </c>
      <c r="B635" s="5" t="inlineStr">
        <is>
          <t>128</t>
        </is>
      </c>
      <c r="C635" s="5" t="inlineStr">
        <is>
          <t>region between joints</t>
        </is>
      </c>
      <c r="D635" s="5" t="inlineStr">
        <is>
          <t>solid</t>
        </is>
      </c>
      <c r="E635" s="5" t="n">
        <v>37</v>
      </c>
      <c r="F635" s="5" t="inlineStr">
        <is>
          <t>core_wall</t>
        </is>
      </c>
      <c r="G635" s="5" t="inlineStr">
        <is>
          <t>Core wall 1.16 × 0.20 m</t>
        </is>
      </c>
      <c r="H635" s="5" t="inlineStr">
        <is>
          <t>rule: unlabelled interior wall, no V type of its size</t>
        </is>
      </c>
      <c r="I635" s="5" t="inlineStr">
        <is>
          <t>(none)</t>
        </is>
      </c>
      <c r="J635" s="5" t="inlineStr">
        <is>
          <t>no shear_wall type in its building has this size</t>
        </is>
      </c>
      <c r="K635" s="5" t="inlineStr"/>
      <c r="L635" s="5" t="n">
        <v>116</v>
      </c>
      <c r="M635" s="5" t="n">
        <v>20</v>
      </c>
      <c r="N635" s="10">
        <f>IF(AND(ISNUMBER(L635),M635&gt;0),L635/M635,"")</f>
        <v/>
      </c>
      <c r="O635" s="5" t="n">
        <v>0.232</v>
      </c>
      <c r="P635" s="5" t="n">
        <v>26.6</v>
      </c>
      <c r="Q635" s="5" t="n">
        <v>2</v>
      </c>
      <c r="R635" s="5" t="n">
        <v>0</v>
      </c>
      <c r="S635" s="5" t="n">
        <v>0</v>
      </c>
      <c r="T635" s="5" t="n">
        <v>1</v>
      </c>
      <c r="U635" s="5" t="n">
        <v>0</v>
      </c>
      <c r="V635" s="5" t="n">
        <v>0</v>
      </c>
      <c r="W635" s="5" t="n">
        <v>1</v>
      </c>
      <c r="X635" s="5" t="n">
        <v>0</v>
      </c>
      <c r="Y635" s="5" t="n"/>
      <c r="Z635" s="5" t="inlineStr"/>
      <c r="AA635" s="5" t="n">
        <v>1292.4</v>
      </c>
      <c r="AB635" s="5" t="n">
        <v>2852.3</v>
      </c>
      <c r="AC635" s="5" t="n">
        <v>1325.7</v>
      </c>
      <c r="AD635" s="5" t="n">
        <v>2872.9</v>
      </c>
      <c r="AE635" s="5" t="inlineStr"/>
      <c r="AF635" s="5">
        <f>IF(AE635="","",IF(OR(AE635=F635,AND(AE635="crane_footing",F635="isolated_footing")),"yes","no"))</f>
        <v/>
      </c>
    </row>
    <row r="636">
      <c r="A636" s="5" t="n">
        <v>635</v>
      </c>
      <c r="B636" s="5" t="inlineStr">
        <is>
          <t>128</t>
        </is>
      </c>
      <c r="C636" s="5" t="inlineStr">
        <is>
          <t>region between joints</t>
        </is>
      </c>
      <c r="D636" s="5" t="inlineStr">
        <is>
          <t>solid</t>
        </is>
      </c>
      <c r="E636" s="5" t="n">
        <v>37</v>
      </c>
      <c r="F636" s="5" t="inlineStr">
        <is>
          <t>core_wall</t>
        </is>
      </c>
      <c r="G636" s="5" t="inlineStr">
        <is>
          <t>Core wall 0.50 × 0.20 m</t>
        </is>
      </c>
      <c r="H636" s="5" t="inlineStr">
        <is>
          <t>rule: unlabelled interior wall, no V type of its size</t>
        </is>
      </c>
      <c r="I636" s="5" t="inlineStr">
        <is>
          <t>(none)</t>
        </is>
      </c>
      <c r="J636" s="5" t="inlineStr">
        <is>
          <t>no shear_wall type in its building has this size</t>
        </is>
      </c>
      <c r="K636" s="5" t="inlineStr"/>
      <c r="L636" s="5" t="n">
        <v>50</v>
      </c>
      <c r="M636" s="5" t="n">
        <v>20</v>
      </c>
      <c r="N636" s="10">
        <f>IF(AND(ISNUMBER(L636),M636&gt;0),L636/M636,"")</f>
        <v/>
      </c>
      <c r="O636" s="5" t="n">
        <v>0.099</v>
      </c>
      <c r="P636" s="5" t="n">
        <v>26.7</v>
      </c>
      <c r="Q636" s="5" t="n">
        <v>2</v>
      </c>
      <c r="R636" s="5" t="n">
        <v>0</v>
      </c>
      <c r="S636" s="5" t="n">
        <v>0</v>
      </c>
      <c r="T636" s="5" t="n">
        <v>1</v>
      </c>
      <c r="U636" s="5" t="n">
        <v>0</v>
      </c>
      <c r="V636" s="5" t="n">
        <v>0</v>
      </c>
      <c r="W636" s="5" t="n">
        <v>1</v>
      </c>
      <c r="X636" s="5" t="n">
        <v>0</v>
      </c>
      <c r="Y636" s="5" t="n"/>
      <c r="Z636" s="5" t="inlineStr"/>
      <c r="AA636" s="5" t="n">
        <v>1205.3</v>
      </c>
      <c r="AB636" s="5" t="n">
        <v>2808.6</v>
      </c>
      <c r="AC636" s="5" t="n">
        <v>1221.1</v>
      </c>
      <c r="AD636" s="5" t="n">
        <v>2820.5</v>
      </c>
      <c r="AE636" s="5" t="inlineStr"/>
      <c r="AF636" s="5">
        <f>IF(AE636="","",IF(OR(AE636=F636,AND(AE636="crane_footing",F636="isolated_footing")),"yes","no"))</f>
        <v/>
      </c>
    </row>
    <row r="637">
      <c r="A637" s="5" t="n">
        <v>636</v>
      </c>
      <c r="B637" s="5" t="inlineStr">
        <is>
          <t>128</t>
        </is>
      </c>
      <c r="C637" s="5" t="inlineStr">
        <is>
          <t>region between joints</t>
        </is>
      </c>
      <c r="D637" s="5" t="inlineStr">
        <is>
          <t>solid</t>
        </is>
      </c>
      <c r="E637" s="5" t="n">
        <v>26</v>
      </c>
      <c r="F637" s="5" t="inlineStr">
        <is>
          <t>core_wall</t>
        </is>
      </c>
      <c r="G637" s="5" t="inlineStr">
        <is>
          <t>Core wall 1.75 × 0.25 m</t>
        </is>
      </c>
      <c r="H637" s="5" t="inlineStr">
        <is>
          <t>rule: unlabelled interior wall, no V type of its size</t>
        </is>
      </c>
      <c r="I637" s="5" t="inlineStr">
        <is>
          <t>(none)</t>
        </is>
      </c>
      <c r="J637" s="5" t="inlineStr"/>
      <c r="K637" s="5" t="inlineStr"/>
      <c r="L637" s="5" t="n">
        <v>175</v>
      </c>
      <c r="M637" s="5" t="n">
        <v>25</v>
      </c>
      <c r="N637" s="10">
        <f>IF(AND(ISNUMBER(L637),M637&gt;0),L637/M637,"")</f>
        <v/>
      </c>
      <c r="O637" s="5" t="n">
        <v>0.445</v>
      </c>
      <c r="P637" s="5" t="n">
        <v>26.3</v>
      </c>
      <c r="Q637" s="5" t="n">
        <v>0</v>
      </c>
      <c r="R637" s="5" t="n">
        <v>0</v>
      </c>
      <c r="S637" s="5" t="n">
        <v>0</v>
      </c>
      <c r="T637" s="5" t="n">
        <v>1</v>
      </c>
      <c r="U637" s="5" t="n">
        <v>0</v>
      </c>
      <c r="V637" s="5" t="n">
        <v>0</v>
      </c>
      <c r="W637" s="5" t="n">
        <v>2</v>
      </c>
      <c r="X637" s="5" t="n">
        <v>0</v>
      </c>
      <c r="Y637" s="5" t="n"/>
      <c r="Z637" s="5" t="inlineStr"/>
      <c r="AA637" s="5" t="n">
        <v>1259.8</v>
      </c>
      <c r="AB637" s="5" t="n">
        <v>2715</v>
      </c>
      <c r="AC637" s="5" t="n">
        <v>1309.4</v>
      </c>
      <c r="AD637" s="5" t="n">
        <v>2744.7</v>
      </c>
      <c r="AE637" s="5" t="inlineStr"/>
      <c r="AF637" s="5">
        <f>IF(AE637="","",IF(OR(AE637=F637,AND(AE637="crane_footing",F637="isolated_footing")),"yes","no"))</f>
        <v/>
      </c>
    </row>
    <row r="638">
      <c r="A638" s="5" t="n">
        <v>637</v>
      </c>
      <c r="B638" s="5" t="inlineStr">
        <is>
          <t>128</t>
        </is>
      </c>
      <c r="C638" s="5" t="inlineStr">
        <is>
          <t>region between joints</t>
        </is>
      </c>
      <c r="D638" s="5" t="inlineStr">
        <is>
          <t>solid</t>
        </is>
      </c>
      <c r="E638" s="5" t="n">
        <v>26</v>
      </c>
      <c r="F638" s="5" t="inlineStr">
        <is>
          <t>core_wall</t>
        </is>
      </c>
      <c r="G638" s="5" t="inlineStr">
        <is>
          <t>Core wall 1.60 × 0.26 m</t>
        </is>
      </c>
      <c r="H638" s="5" t="inlineStr">
        <is>
          <t>rule: unlabelled interior wall, no V type of its size</t>
        </is>
      </c>
      <c r="I638" s="5" t="inlineStr">
        <is>
          <t>(none)</t>
        </is>
      </c>
      <c r="J638" s="5" t="inlineStr"/>
      <c r="K638" s="5" t="inlineStr"/>
      <c r="L638" s="5" t="n">
        <v>160</v>
      </c>
      <c r="M638" s="5" t="n">
        <v>26</v>
      </c>
      <c r="N638" s="10">
        <f>IF(AND(ISNUMBER(L638),M638&gt;0),L638/M638,"")</f>
        <v/>
      </c>
      <c r="O638" s="5" t="n">
        <v>0.409</v>
      </c>
      <c r="P638" s="5" t="n">
        <v>26.4</v>
      </c>
      <c r="Q638" s="5" t="n">
        <v>0</v>
      </c>
      <c r="R638" s="5" t="n">
        <v>0</v>
      </c>
      <c r="S638" s="5" t="n">
        <v>0</v>
      </c>
      <c r="T638" s="5" t="n">
        <v>1</v>
      </c>
      <c r="U638" s="5" t="n">
        <v>0</v>
      </c>
      <c r="V638" s="5" t="n">
        <v>0</v>
      </c>
      <c r="W638" s="5" t="n">
        <v>3</v>
      </c>
      <c r="X638" s="5" t="n">
        <v>0</v>
      </c>
      <c r="Y638" s="5" t="n"/>
      <c r="Z638" s="5" t="inlineStr"/>
      <c r="AA638" s="5" t="n">
        <v>1219.8</v>
      </c>
      <c r="AB638" s="5" t="n">
        <v>2814.6</v>
      </c>
      <c r="AC638" s="5" t="n">
        <v>1265.5</v>
      </c>
      <c r="AD638" s="5" t="n">
        <v>2842.4</v>
      </c>
      <c r="AE638" s="5" t="inlineStr"/>
      <c r="AF638" s="5">
        <f>IF(AE638="","",IF(OR(AE638=F638,AND(AE638="crane_footing",F638="isolated_footing")),"yes","no"))</f>
        <v/>
      </c>
    </row>
    <row r="639">
      <c r="A639" s="5" t="n">
        <v>638</v>
      </c>
      <c r="B639" s="5" t="inlineStr">
        <is>
          <t>128</t>
        </is>
      </c>
      <c r="C639" s="5" t="inlineStr">
        <is>
          <t>region between joints</t>
        </is>
      </c>
      <c r="D639" s="5" t="inlineStr">
        <is>
          <t>solid</t>
        </is>
      </c>
      <c r="E639" s="5" t="n">
        <v>26</v>
      </c>
      <c r="F639" s="5" t="inlineStr">
        <is>
          <t>core_wall</t>
        </is>
      </c>
      <c r="G639" s="5" t="inlineStr">
        <is>
          <t>Core wall 1.70 × 0.30 m</t>
        </is>
      </c>
      <c r="H639" s="5" t="inlineStr">
        <is>
          <t>rule: unlabelled interior wall, no V type of its size</t>
        </is>
      </c>
      <c r="I639" s="5" t="inlineStr">
        <is>
          <t>(none)</t>
        </is>
      </c>
      <c r="J639" s="5" t="inlineStr"/>
      <c r="K639" s="5" t="inlineStr"/>
      <c r="L639" s="5" t="n">
        <v>170</v>
      </c>
      <c r="M639" s="5" t="n">
        <v>30</v>
      </c>
      <c r="N639" s="10">
        <f>IF(AND(ISNUMBER(L639),M639&gt;0),L639/M639,"")</f>
        <v/>
      </c>
      <c r="O639" s="5" t="n">
        <v>0.512</v>
      </c>
      <c r="P639" s="5" t="n">
        <v>116.7</v>
      </c>
      <c r="Q639" s="5" t="n">
        <v>1</v>
      </c>
      <c r="R639" s="5" t="n">
        <v>0</v>
      </c>
      <c r="S639" s="5" t="n">
        <v>0</v>
      </c>
      <c r="T639" s="5" t="n">
        <v>1</v>
      </c>
      <c r="U639" s="5" t="n">
        <v>0</v>
      </c>
      <c r="V639" s="5" t="n">
        <v>0</v>
      </c>
      <c r="W639" s="5" t="n">
        <v>1</v>
      </c>
      <c r="X639" s="5" t="n">
        <v>2</v>
      </c>
      <c r="Y639" s="5" t="n"/>
      <c r="Z639" s="5" t="inlineStr"/>
      <c r="AA639" s="5" t="n">
        <v>1646.9</v>
      </c>
      <c r="AB639" s="5" t="n">
        <v>2652.5</v>
      </c>
      <c r="AC639" s="5" t="n">
        <v>1677.4</v>
      </c>
      <c r="AD639" s="5" t="n">
        <v>2701.3</v>
      </c>
      <c r="AE639" s="5" t="inlineStr"/>
      <c r="AF639" s="5">
        <f>IF(AE639="","",IF(OR(AE639=F639,AND(AE639="crane_footing",F639="isolated_footing")),"yes","no"))</f>
        <v/>
      </c>
    </row>
    <row r="640">
      <c r="A640" s="5" t="n">
        <v>639</v>
      </c>
      <c r="B640" s="5" t="inlineStr">
        <is>
          <t>128</t>
        </is>
      </c>
      <c r="C640" s="5" t="inlineStr">
        <is>
          <t>region between joints</t>
        </is>
      </c>
      <c r="D640" s="5" t="inlineStr">
        <is>
          <t>solid</t>
        </is>
      </c>
      <c r="E640" s="5" t="n">
        <v>33</v>
      </c>
      <c r="F640" s="5" t="inlineStr">
        <is>
          <t>core_wall</t>
        </is>
      </c>
      <c r="G640" s="5" t="inlineStr">
        <is>
          <t>Core wall 2.97 × 0.25 m</t>
        </is>
      </c>
      <c r="H640" s="5" t="inlineStr">
        <is>
          <t>rule: unlabelled interior wall, no V type of its size</t>
        </is>
      </c>
      <c r="I640" s="5" t="inlineStr">
        <is>
          <t>(none)</t>
        </is>
      </c>
      <c r="J640" s="5" t="inlineStr"/>
      <c r="K640" s="5" t="inlineStr"/>
      <c r="L640" s="5" t="n">
        <v>297</v>
      </c>
      <c r="M640" s="5" t="n">
        <v>25</v>
      </c>
      <c r="N640" s="10">
        <f>IF(AND(ISNUMBER(L640),M640&gt;0),L640/M640,"")</f>
        <v/>
      </c>
      <c r="O640" s="5" t="n">
        <v>0.74</v>
      </c>
      <c r="P640" s="5" t="n">
        <v>116.6</v>
      </c>
      <c r="Q640" s="5" t="n">
        <v>1</v>
      </c>
      <c r="R640" s="5" t="n">
        <v>0</v>
      </c>
      <c r="S640" s="5" t="n">
        <v>0</v>
      </c>
      <c r="T640" s="5" t="n">
        <v>1</v>
      </c>
      <c r="U640" s="5" t="n">
        <v>0</v>
      </c>
      <c r="V640" s="5" t="n">
        <v>0</v>
      </c>
      <c r="W640" s="5" t="n">
        <v>6</v>
      </c>
      <c r="X640" s="5" t="n">
        <v>1</v>
      </c>
      <c r="Y640" s="5" t="n"/>
      <c r="Z640" s="5" t="inlineStr"/>
      <c r="AA640" s="5" t="n">
        <v>1421.4</v>
      </c>
      <c r="AB640" s="5" t="n">
        <v>2614.2</v>
      </c>
      <c r="AC640" s="5" t="n">
        <v>1467.3</v>
      </c>
      <c r="AD640" s="5" t="n">
        <v>2696</v>
      </c>
      <c r="AE640" s="5" t="inlineStr"/>
      <c r="AF640" s="5">
        <f>IF(AE640="","",IF(OR(AE640=F640,AND(AE640="crane_footing",F640="isolated_footing")),"yes","no"))</f>
        <v/>
      </c>
    </row>
    <row r="641">
      <c r="A641" s="5" t="n">
        <v>640</v>
      </c>
      <c r="B641" s="5" t="inlineStr">
        <is>
          <t>128</t>
        </is>
      </c>
      <c r="C641" s="5" t="inlineStr">
        <is>
          <t>region between joints</t>
        </is>
      </c>
      <c r="D641" s="5" t="inlineStr">
        <is>
          <t>solid</t>
        </is>
      </c>
      <c r="E641" s="5" t="n">
        <v>28</v>
      </c>
      <c r="F641" s="5" t="inlineStr">
        <is>
          <t>core_wall</t>
        </is>
      </c>
      <c r="G641" s="5" t="inlineStr">
        <is>
          <t>Core wall 1.18 × 0.25 m</t>
        </is>
      </c>
      <c r="H641" s="5" t="inlineStr">
        <is>
          <t>rule: unlabelled interior wall, no V type of its size</t>
        </is>
      </c>
      <c r="I641" s="5" t="inlineStr">
        <is>
          <t>(none)</t>
        </is>
      </c>
      <c r="J641" s="5" t="inlineStr">
        <is>
          <t>no shear_wall type in its building has this size</t>
        </is>
      </c>
      <c r="K641" s="5" t="inlineStr"/>
      <c r="L641" s="5" t="n">
        <v>118</v>
      </c>
      <c r="M641" s="5" t="n">
        <v>25</v>
      </c>
      <c r="N641" s="10">
        <f>IF(AND(ISNUMBER(L641),M641&gt;0),L641/M641,"")</f>
        <v/>
      </c>
      <c r="O641" s="5" t="n">
        <v>0.295</v>
      </c>
      <c r="P641" s="5" t="n">
        <v>26.7</v>
      </c>
      <c r="Q641" s="5" t="n">
        <v>2</v>
      </c>
      <c r="R641" s="5" t="n">
        <v>0</v>
      </c>
      <c r="S641" s="5" t="n">
        <v>0</v>
      </c>
      <c r="T641" s="5" t="n">
        <v>1</v>
      </c>
      <c r="U641" s="5" t="n">
        <v>0</v>
      </c>
      <c r="V641" s="5" t="n">
        <v>0</v>
      </c>
      <c r="W641" s="5" t="n">
        <v>0</v>
      </c>
      <c r="X641" s="5" t="n">
        <v>1</v>
      </c>
      <c r="Y641" s="5" t="n"/>
      <c r="Z641" s="5" t="inlineStr"/>
      <c r="AA641" s="5" t="n">
        <v>1429.7</v>
      </c>
      <c r="AB641" s="5" t="n">
        <v>2592</v>
      </c>
      <c r="AC641" s="5" t="n">
        <v>1464.1</v>
      </c>
      <c r="AD641" s="5" t="n">
        <v>2614.2</v>
      </c>
      <c r="AE641" s="5" t="inlineStr"/>
      <c r="AF641" s="5">
        <f>IF(AE641="","",IF(OR(AE641=F641,AND(AE641="crane_footing",F641="isolated_footing")),"yes","no"))</f>
        <v/>
      </c>
    </row>
    <row r="642">
      <c r="A642" s="5" t="n">
        <v>641</v>
      </c>
      <c r="B642" s="5" t="inlineStr">
        <is>
          <t>128</t>
        </is>
      </c>
      <c r="C642" s="5" t="inlineStr">
        <is>
          <t>region between joints</t>
        </is>
      </c>
      <c r="D642" s="5" t="inlineStr">
        <is>
          <t>outline</t>
        </is>
      </c>
      <c r="E642" s="5" t="n">
        <v>17</v>
      </c>
      <c r="F642" s="5" t="inlineStr">
        <is>
          <t>core_wall</t>
        </is>
      </c>
      <c r="G642" s="5" t="inlineStr">
        <is>
          <t>Core wall 3.37 × 0.20 m</t>
        </is>
      </c>
      <c r="H642" s="5" t="inlineStr">
        <is>
          <t>rule: unlabelled interior wall, no V type of its size (drawn as an outline with a pattern inside)</t>
        </is>
      </c>
      <c r="I642" s="5" t="inlineStr">
        <is>
          <t>(none)</t>
        </is>
      </c>
      <c r="J642" s="5" t="inlineStr"/>
      <c r="K642" s="5" t="inlineStr"/>
      <c r="L642" s="5" t="n">
        <v>337</v>
      </c>
      <c r="M642" s="5" t="n">
        <v>20</v>
      </c>
      <c r="N642" s="10">
        <f>IF(AND(ISNUMBER(L642),M642&gt;0),L642/M642,"")</f>
        <v/>
      </c>
      <c r="O642" s="5" t="n">
        <v>0.672</v>
      </c>
      <c r="P642" s="5" t="n">
        <v>116.6</v>
      </c>
      <c r="Q642" s="5" t="n">
        <v>2</v>
      </c>
      <c r="R642" s="5" t="n">
        <v>0</v>
      </c>
      <c r="S642" s="5" t="n">
        <v>0</v>
      </c>
      <c r="T642" s="5" t="n">
        <v>1</v>
      </c>
      <c r="U642" s="5" t="n">
        <v>0</v>
      </c>
      <c r="V642" s="5" t="n">
        <v>0</v>
      </c>
      <c r="W642" s="5" t="n">
        <v>3</v>
      </c>
      <c r="X642" s="5" t="n">
        <v>0</v>
      </c>
      <c r="Y642" s="5" t="n"/>
      <c r="Z642" s="5" t="inlineStr"/>
      <c r="AA642" s="5" t="n">
        <v>1256.2</v>
      </c>
      <c r="AB642" s="5" t="n">
        <v>2742</v>
      </c>
      <c r="AC642" s="5" t="n">
        <v>1306.1</v>
      </c>
      <c r="AD642" s="5" t="n">
        <v>2833.7</v>
      </c>
      <c r="AE642" s="5" t="inlineStr"/>
      <c r="AF642" s="5">
        <f>IF(AE642="","",IF(OR(AE642=F642,AND(AE642="crane_footing",F642="isolated_footing")),"yes","no"))</f>
        <v/>
      </c>
    </row>
    <row r="643">
      <c r="A643" s="5" t="n">
        <v>642</v>
      </c>
      <c r="B643" s="5" t="inlineStr">
        <is>
          <t>128</t>
        </is>
      </c>
      <c r="C643" s="5" t="inlineStr">
        <is>
          <t>region between joints</t>
        </is>
      </c>
      <c r="D643" s="5" t="inlineStr">
        <is>
          <t>outline</t>
        </is>
      </c>
      <c r="E643" s="5" t="n">
        <v>18</v>
      </c>
      <c r="F643" s="5" t="inlineStr">
        <is>
          <t>core_wall</t>
        </is>
      </c>
      <c r="G643" s="5" t="inlineStr">
        <is>
          <t>Core wall 1.09 × 0.20 m</t>
        </is>
      </c>
      <c r="H643" s="5" t="inlineStr">
        <is>
          <t>rule: unlabelled interior wall, no V type of its size (drawn as an outline with a pattern inside)</t>
        </is>
      </c>
      <c r="I643" s="5" t="inlineStr">
        <is>
          <t>(none)</t>
        </is>
      </c>
      <c r="J643" s="5" t="inlineStr"/>
      <c r="K643" s="5" t="inlineStr"/>
      <c r="L643" s="5" t="n">
        <v>109</v>
      </c>
      <c r="M643" s="5" t="n">
        <v>20</v>
      </c>
      <c r="N643" s="10">
        <f>IF(AND(ISNUMBER(L643),M643&gt;0),L643/M643,"")</f>
        <v/>
      </c>
      <c r="O643" s="5" t="n">
        <v>0.216</v>
      </c>
      <c r="P643" s="5" t="n">
        <v>26.6</v>
      </c>
      <c r="Q643" s="5" t="n">
        <v>1</v>
      </c>
      <c r="R643" s="5" t="n">
        <v>0</v>
      </c>
      <c r="S643" s="5" t="n">
        <v>0</v>
      </c>
      <c r="T643" s="5" t="n">
        <v>1</v>
      </c>
      <c r="U643" s="5" t="n">
        <v>0</v>
      </c>
      <c r="V643" s="5" t="n">
        <v>0</v>
      </c>
      <c r="W643" s="5" t="n">
        <v>1</v>
      </c>
      <c r="X643" s="5" t="n">
        <v>0</v>
      </c>
      <c r="Y643" s="5" t="n"/>
      <c r="Z643" s="5" t="inlineStr"/>
      <c r="AA643" s="5" t="n">
        <v>1262.9</v>
      </c>
      <c r="AB643" s="5" t="n">
        <v>2835.8</v>
      </c>
      <c r="AC643" s="5" t="n">
        <v>1294.2</v>
      </c>
      <c r="AD643" s="5" t="n">
        <v>2855.4</v>
      </c>
      <c r="AE643" s="5" t="inlineStr"/>
      <c r="AF643" s="5">
        <f>IF(AE643="","",IF(OR(AE643=F643,AND(AE643="crane_footing",F643="isolated_footing")),"yes","no"))</f>
        <v/>
      </c>
    </row>
    <row r="644">
      <c r="A644" s="5" t="n">
        <v>643</v>
      </c>
      <c r="B644" s="5" t="inlineStr">
        <is>
          <t>128</t>
        </is>
      </c>
      <c r="C644" s="5" t="inlineStr">
        <is>
          <t>region between joints</t>
        </is>
      </c>
      <c r="D644" s="5" t="inlineStr">
        <is>
          <t>cross_hatch</t>
        </is>
      </c>
      <c r="E644" s="5" t="n">
        <v>10</v>
      </c>
      <c r="F644" s="5" t="inlineStr">
        <is>
          <t>core_wall</t>
        </is>
      </c>
      <c r="G644" s="5" t="inlineStr">
        <is>
          <t>Core wall 9.67 × 0.20 m</t>
        </is>
      </c>
      <c r="H644" s="5" t="inlineStr">
        <is>
          <t>rule: unlabelled interior wall, no V type of its size</t>
        </is>
      </c>
      <c r="I644" s="5" t="inlineStr">
        <is>
          <t>(none)</t>
        </is>
      </c>
      <c r="J644" s="5" t="inlineStr"/>
      <c r="K644" s="5" t="inlineStr"/>
      <c r="L644" s="5" t="n">
        <v>967</v>
      </c>
      <c r="M644" s="5" t="n">
        <v>20</v>
      </c>
      <c r="N644" s="10">
        <f>IF(AND(ISNUMBER(L644),M644&gt;0),L644/M644,"")</f>
        <v/>
      </c>
      <c r="O644" s="5" t="n">
        <v>1.935</v>
      </c>
      <c r="P644" s="5" t="n">
        <v>116.6</v>
      </c>
      <c r="Q644" s="5" t="n">
        <v>0</v>
      </c>
      <c r="R644" s="5" t="n">
        <v>0</v>
      </c>
      <c r="S644" s="5" t="n">
        <v>0</v>
      </c>
      <c r="T644" s="5" t="n">
        <v>1</v>
      </c>
      <c r="U644" s="5" t="n">
        <v>0</v>
      </c>
      <c r="V644" s="5" t="n">
        <v>0</v>
      </c>
      <c r="W644" s="5" t="n">
        <v>8</v>
      </c>
      <c r="X644" s="5" t="n">
        <v>0</v>
      </c>
      <c r="Y644" s="5" t="n"/>
      <c r="Z644" s="5" t="inlineStr"/>
      <c r="AA644" s="5" t="n">
        <v>1295.7</v>
      </c>
      <c r="AB644" s="5" t="n">
        <v>2595.6</v>
      </c>
      <c r="AC644" s="5" t="n">
        <v>1429.1</v>
      </c>
      <c r="AD644" s="5" t="n">
        <v>2853.6</v>
      </c>
      <c r="AE644" s="5" t="inlineStr"/>
      <c r="AF644" s="5">
        <f>IF(AE644="","",IF(OR(AE644=F644,AND(AE644="crane_footing",F644="isolated_footing")),"yes","no"))</f>
        <v/>
      </c>
    </row>
    <row r="645">
      <c r="A645" s="5" t="n">
        <v>644</v>
      </c>
      <c r="B645" s="5" t="inlineStr">
        <is>
          <t>128</t>
        </is>
      </c>
      <c r="C645" s="5" t="inlineStr">
        <is>
          <t>region between joints</t>
        </is>
      </c>
      <c r="D645" s="5" t="inlineStr">
        <is>
          <t>cross_hatch</t>
        </is>
      </c>
      <c r="E645" s="5" t="n">
        <v>10</v>
      </c>
      <c r="F645" s="5" t="inlineStr">
        <is>
          <t>core_wall</t>
        </is>
      </c>
      <c r="G645" s="5" t="inlineStr">
        <is>
          <t>Core wall 1.30 × 0.20 m</t>
        </is>
      </c>
      <c r="H645" s="5" t="inlineStr">
        <is>
          <t>rule: unlabelled interior wall, no V type of its size</t>
        </is>
      </c>
      <c r="I645" s="5" t="inlineStr">
        <is>
          <t>(none)</t>
        </is>
      </c>
      <c r="J645" s="5" t="inlineStr"/>
      <c r="K645" s="5" t="inlineStr"/>
      <c r="L645" s="5" t="n">
        <v>130</v>
      </c>
      <c r="M645" s="5" t="n">
        <v>20</v>
      </c>
      <c r="N645" s="10">
        <f>IF(AND(ISNUMBER(L645),M645&gt;0),L645/M645,"")</f>
        <v/>
      </c>
      <c r="O645" s="5" t="n">
        <v>0.26</v>
      </c>
      <c r="P645" s="5" t="n">
        <v>26.6</v>
      </c>
      <c r="Q645" s="5" t="n">
        <v>1</v>
      </c>
      <c r="R645" s="5" t="n">
        <v>0</v>
      </c>
      <c r="S645" s="5" t="n">
        <v>0</v>
      </c>
      <c r="T645" s="5" t="n">
        <v>1</v>
      </c>
      <c r="U645" s="5" t="n">
        <v>0</v>
      </c>
      <c r="V645" s="5" t="n">
        <v>0</v>
      </c>
      <c r="W645" s="5" t="n">
        <v>3</v>
      </c>
      <c r="X645" s="5" t="n">
        <v>0</v>
      </c>
      <c r="Y645" s="5" t="n"/>
      <c r="Z645" s="5" t="inlineStr"/>
      <c r="AA645" s="5" t="n">
        <v>1306.6</v>
      </c>
      <c r="AB645" s="5" t="n">
        <v>2738.3</v>
      </c>
      <c r="AC645" s="5" t="n">
        <v>1343.6</v>
      </c>
      <c r="AD645" s="5" t="n">
        <v>2760.8</v>
      </c>
      <c r="AE645" s="5" t="inlineStr"/>
      <c r="AF645" s="5">
        <f>IF(AE645="","",IF(OR(AE645=F645,AND(AE645="crane_footing",F645="isolated_footing")),"yes","no"))</f>
        <v/>
      </c>
    </row>
    <row r="646">
      <c r="A646" s="5" t="n">
        <v>645</v>
      </c>
      <c r="B646" s="5" t="inlineStr">
        <is>
          <t>128</t>
        </is>
      </c>
      <c r="C646" s="5" t="inlineStr">
        <is>
          <t>region between joints</t>
        </is>
      </c>
      <c r="D646" s="5" t="inlineStr">
        <is>
          <t>solid</t>
        </is>
      </c>
      <c r="E646" s="5" t="n">
        <v>27</v>
      </c>
      <c r="F646" s="5" t="inlineStr">
        <is>
          <t>retaining_wall</t>
        </is>
      </c>
      <c r="G646" s="5" t="inlineStr">
        <is>
          <t>Retaining wall 1.50 × 0.30 m</t>
        </is>
      </c>
      <c r="H646" s="5" t="inlineStr">
        <is>
          <t>rule: unlabelled wall along the building edge or on a strip footing</t>
        </is>
      </c>
      <c r="I646" s="5" t="inlineStr">
        <is>
          <t>(none)</t>
        </is>
      </c>
      <c r="J646" s="5" t="inlineStr">
        <is>
          <t>no shear_wall type in its building has this size</t>
        </is>
      </c>
      <c r="K646" s="5" t="inlineStr"/>
      <c r="L646" s="5" t="n">
        <v>150</v>
      </c>
      <c r="M646" s="5" t="n">
        <v>30</v>
      </c>
      <c r="N646" s="10">
        <f>IF(AND(ISNUMBER(L646),M646&gt;0),L646/M646,"")</f>
        <v/>
      </c>
      <c r="O646" s="5" t="n">
        <v>0.451</v>
      </c>
      <c r="P646" s="5" t="n">
        <v>26.5</v>
      </c>
      <c r="Q646" s="5" t="n">
        <v>1</v>
      </c>
      <c r="R646" s="5" t="n">
        <v>0</v>
      </c>
      <c r="S646" s="5" t="n">
        <v>0</v>
      </c>
      <c r="T646" s="5" t="n">
        <v>1</v>
      </c>
      <c r="U646" s="5" t="n">
        <v>1</v>
      </c>
      <c r="V646" s="5" t="n">
        <v>0</v>
      </c>
      <c r="W646" s="5" t="n">
        <v>0</v>
      </c>
      <c r="X646" s="5" t="n">
        <v>1</v>
      </c>
      <c r="Y646" s="5" t="n"/>
      <c r="Z646" s="5" t="inlineStr"/>
      <c r="AA646" s="5" t="n">
        <v>1677.4</v>
      </c>
      <c r="AB646" s="5" t="n">
        <v>2648.6</v>
      </c>
      <c r="AC646" s="5" t="n">
        <v>1720.9</v>
      </c>
      <c r="AD646" s="5" t="n">
        <v>2676.2</v>
      </c>
      <c r="AE646" s="5" t="inlineStr"/>
      <c r="AF646" s="5">
        <f>IF(AE646="","",IF(OR(AE646=F646,AND(AE646="crane_footing",F646="isolated_footing")),"yes","no"))</f>
        <v/>
      </c>
    </row>
    <row r="647">
      <c r="A647" s="5" t="n">
        <v>646</v>
      </c>
      <c r="B647" s="5" t="inlineStr">
        <is>
          <t>128</t>
        </is>
      </c>
      <c r="C647" s="5" t="inlineStr">
        <is>
          <t>region between joints</t>
        </is>
      </c>
      <c r="D647" s="5" t="inlineStr">
        <is>
          <t>solid</t>
        </is>
      </c>
      <c r="E647" s="5" t="n">
        <v>27</v>
      </c>
      <c r="F647" s="5" t="inlineStr">
        <is>
          <t>retaining_wall</t>
        </is>
      </c>
      <c r="G647" s="5" t="inlineStr">
        <is>
          <t>Retaining wall 1.25 × 0.30 m</t>
        </is>
      </c>
      <c r="H647" s="5" t="inlineStr">
        <is>
          <t>rule: unlabelled wall along the building edge or on a strip footing</t>
        </is>
      </c>
      <c r="I647" s="5" t="inlineStr">
        <is>
          <t>(none)</t>
        </is>
      </c>
      <c r="J647" s="5" t="inlineStr">
        <is>
          <t>no shear_wall type in its building has this size</t>
        </is>
      </c>
      <c r="K647" s="5" t="inlineStr"/>
      <c r="L647" s="5" t="n">
        <v>125</v>
      </c>
      <c r="M647" s="5" t="n">
        <v>30</v>
      </c>
      <c r="N647" s="10">
        <f>IF(AND(ISNUMBER(L647),M647&gt;0),L647/M647,"")</f>
        <v/>
      </c>
      <c r="O647" s="5" t="n">
        <v>0.375</v>
      </c>
      <c r="P647" s="5" t="n">
        <v>116.5</v>
      </c>
      <c r="Q647" s="5" t="n">
        <v>1</v>
      </c>
      <c r="R647" s="5" t="n">
        <v>0</v>
      </c>
      <c r="S647" s="5" t="n">
        <v>0</v>
      </c>
      <c r="T647" s="5" t="n">
        <v>1</v>
      </c>
      <c r="U647" s="5" t="n">
        <v>1</v>
      </c>
      <c r="V647" s="5" t="n">
        <v>0</v>
      </c>
      <c r="W647" s="5" t="n">
        <v>7</v>
      </c>
      <c r="X647" s="5" t="n">
        <v>1</v>
      </c>
      <c r="Y647" s="5" t="n"/>
      <c r="Z647" s="5" t="inlineStr"/>
      <c r="AA647" s="5" t="n">
        <v>1425.1</v>
      </c>
      <c r="AB647" s="5" t="n">
        <v>2555</v>
      </c>
      <c r="AC647" s="5" t="n">
        <v>1449.5</v>
      </c>
      <c r="AD647" s="5" t="n">
        <v>2592</v>
      </c>
      <c r="AE647" s="5" t="inlineStr"/>
      <c r="AF647" s="5">
        <f>IF(AE647="","",IF(OR(AE647=F647,AND(AE647="crane_footing",F647="isolated_footing")),"yes","no"))</f>
        <v/>
      </c>
    </row>
    <row r="648">
      <c r="A648" s="5" t="n">
        <v>647</v>
      </c>
      <c r="B648" s="5" t="inlineStr">
        <is>
          <t>128</t>
        </is>
      </c>
      <c r="C648" s="5" t="inlineStr">
        <is>
          <t>region between joints</t>
        </is>
      </c>
      <c r="D648" s="5" t="inlineStr">
        <is>
          <t>solid</t>
        </is>
      </c>
      <c r="E648" s="5" t="n">
        <v>32</v>
      </c>
      <c r="F648" s="5" t="inlineStr">
        <is>
          <t>retaining_wall</t>
        </is>
      </c>
      <c r="G648" s="5" t="inlineStr">
        <is>
          <t>Retaining wall VP20 18.13 × 0.20 m</t>
        </is>
      </c>
      <c r="H648" s="5" t="inlineStr">
        <is>
          <t>label vote</t>
        </is>
      </c>
      <c r="I648" s="5" t="inlineStr">
        <is>
          <t>VP20</t>
        </is>
      </c>
      <c r="J648" s="5" t="inlineStr">
        <is>
          <t>printed label</t>
        </is>
      </c>
      <c r="K648" s="5" t="inlineStr">
        <is>
          <t>VP20-SF1-80x25</t>
        </is>
      </c>
      <c r="L648" s="5" t="n">
        <v>1813</v>
      </c>
      <c r="M648" s="5" t="n">
        <v>20</v>
      </c>
      <c r="N648" s="10">
        <f>IF(AND(ISNUMBER(L648),M648&gt;0),L648/M648,"")</f>
        <v/>
      </c>
      <c r="O648" s="5" t="n">
        <v>3.638</v>
      </c>
      <c r="P648" s="5" t="n">
        <v>26.6</v>
      </c>
      <c r="Q648" s="5" t="n">
        <v>0</v>
      </c>
      <c r="R648" s="5" t="n">
        <v>0</v>
      </c>
      <c r="S648" s="5" t="n">
        <v>1</v>
      </c>
      <c r="T648" s="5" t="n">
        <v>0</v>
      </c>
      <c r="U648" s="5" t="n">
        <v>1</v>
      </c>
      <c r="V648" s="5" t="n">
        <v>0</v>
      </c>
      <c r="W648" s="5" t="n">
        <v>10</v>
      </c>
      <c r="X648" s="5" t="n">
        <v>6</v>
      </c>
      <c r="Y648" s="5" t="n"/>
      <c r="Z648" s="5" t="inlineStr"/>
      <c r="AA648" s="5" t="n">
        <v>1538.2</v>
      </c>
      <c r="AB648" s="5" t="n">
        <v>2173.8</v>
      </c>
      <c r="AC648" s="5" t="n">
        <v>2019.6</v>
      </c>
      <c r="AD648" s="5" t="n">
        <v>2417.4</v>
      </c>
      <c r="AE648" s="5" t="inlineStr">
        <is>
          <t>retaining_wall</t>
        </is>
      </c>
      <c r="AF648" s="5">
        <f>IF(AE648="","",IF(OR(AE648=F648,AND(AE648="crane_footing",F648="isolated_footing")),"yes","no"))</f>
        <v/>
      </c>
    </row>
    <row r="649">
      <c r="A649" s="5" t="n">
        <v>648</v>
      </c>
      <c r="B649" s="5" t="inlineStr">
        <is>
          <t>128</t>
        </is>
      </c>
      <c r="C649" s="5" t="inlineStr">
        <is>
          <t>region between joints</t>
        </is>
      </c>
      <c r="D649" s="5" t="inlineStr">
        <is>
          <t>solid</t>
        </is>
      </c>
      <c r="E649" s="5" t="n">
        <v>30</v>
      </c>
      <c r="F649" s="5" t="inlineStr">
        <is>
          <t>retaining_wall</t>
        </is>
      </c>
      <c r="G649" s="5" t="inlineStr">
        <is>
          <t>Retaining wall VP20 14.29 × 0.20 m</t>
        </is>
      </c>
      <c r="H649" s="5" t="inlineStr">
        <is>
          <t>its own label (the cluster's class was only a guess)</t>
        </is>
      </c>
      <c r="I649" s="5" t="inlineStr">
        <is>
          <t>VP20</t>
        </is>
      </c>
      <c r="J649" s="5" t="inlineStr">
        <is>
          <t>printed label</t>
        </is>
      </c>
      <c r="K649" s="5" t="inlineStr">
        <is>
          <t>VP20-SF1 80x25</t>
        </is>
      </c>
      <c r="L649" s="5" t="n">
        <v>1429</v>
      </c>
      <c r="M649" s="5" t="n">
        <v>20</v>
      </c>
      <c r="N649" s="10">
        <f>IF(AND(ISNUMBER(L649),M649&gt;0),L649/M649,"")</f>
        <v/>
      </c>
      <c r="O649" s="5" t="n">
        <v>2.805</v>
      </c>
      <c r="P649" s="5" t="n">
        <v>26.7</v>
      </c>
      <c r="Q649" s="5" t="n">
        <v>3</v>
      </c>
      <c r="R649" s="5" t="n">
        <v>0</v>
      </c>
      <c r="S649" s="5" t="n">
        <v>0</v>
      </c>
      <c r="T649" s="5" t="n">
        <v>0</v>
      </c>
      <c r="U649" s="5" t="n">
        <v>1</v>
      </c>
      <c r="V649" s="5" t="n">
        <v>1</v>
      </c>
      <c r="W649" s="5" t="n">
        <v>13</v>
      </c>
      <c r="X649" s="5" t="n">
        <v>2</v>
      </c>
      <c r="Y649" s="5" t="n"/>
      <c r="Z649" s="5" t="inlineStr"/>
      <c r="AA649" s="5" t="n">
        <v>1366</v>
      </c>
      <c r="AB649" s="5" t="n">
        <v>2769.1</v>
      </c>
      <c r="AC649" s="5" t="n">
        <v>1745.7</v>
      </c>
      <c r="AD649" s="5" t="n">
        <v>2963.5</v>
      </c>
      <c r="AE649" s="5" t="inlineStr"/>
      <c r="AF649" s="5">
        <f>IF(AE649="","",IF(OR(AE649=F649,AND(AE649="crane_footing",F649="isolated_footing")),"yes","no"))</f>
        <v/>
      </c>
    </row>
    <row r="650">
      <c r="A650" s="5" t="n">
        <v>649</v>
      </c>
      <c r="B650" s="5" t="inlineStr">
        <is>
          <t>128</t>
        </is>
      </c>
      <c r="C650" s="5" t="inlineStr">
        <is>
          <t>region between joints</t>
        </is>
      </c>
      <c r="D650" s="5" t="inlineStr">
        <is>
          <t>solid</t>
        </is>
      </c>
      <c r="E650" s="5" t="n">
        <v>34</v>
      </c>
      <c r="F650" s="5" t="inlineStr">
        <is>
          <t>retaining_wall</t>
        </is>
      </c>
      <c r="G650" s="5" t="inlineStr">
        <is>
          <t>Retaining wall ~VP20 9.30 × 0.20 m</t>
        </is>
      </c>
      <c r="H650" s="5" t="inlineStr">
        <is>
          <t>rule: unlabelled wall along the building edge or on a strip footing</t>
        </is>
      </c>
      <c r="I650" s="5" t="inlineStr">
        <is>
          <t>VP20</t>
        </is>
      </c>
      <c r="J650" s="5" t="inlineStr">
        <is>
          <t>inferred: the thickness of this retaining-wall type</t>
        </is>
      </c>
      <c r="K650" s="5" t="inlineStr"/>
      <c r="L650" s="5" t="n">
        <v>930</v>
      </c>
      <c r="M650" s="5" t="n">
        <v>20</v>
      </c>
      <c r="N650" s="10">
        <f>IF(AND(ISNUMBER(L650),M650&gt;0),L650/M650,"")</f>
        <v/>
      </c>
      <c r="O650" s="5" t="n">
        <v>1.854</v>
      </c>
      <c r="P650" s="5" t="n">
        <v>141</v>
      </c>
      <c r="Q650" s="5" t="n">
        <v>1</v>
      </c>
      <c r="R650" s="5" t="n">
        <v>0</v>
      </c>
      <c r="S650" s="5" t="n">
        <v>1</v>
      </c>
      <c r="T650" s="5" t="n">
        <v>0</v>
      </c>
      <c r="U650" s="5" t="n">
        <v>0</v>
      </c>
      <c r="V650" s="5" t="n">
        <v>0</v>
      </c>
      <c r="W650" s="5" t="n">
        <v>1</v>
      </c>
      <c r="X650" s="5" t="n">
        <v>39</v>
      </c>
      <c r="Y650" s="5" t="n"/>
      <c r="Z650" s="5" t="inlineStr"/>
      <c r="AA650" s="5" t="n">
        <v>911.4</v>
      </c>
      <c r="AB650" s="5" t="n">
        <v>2652.1</v>
      </c>
      <c r="AC650" s="5" t="n">
        <v>1128.5</v>
      </c>
      <c r="AD650" s="5" t="n">
        <v>2826.3</v>
      </c>
      <c r="AE650" s="5" t="inlineStr"/>
      <c r="AF650" s="5">
        <f>IF(AE650="","",IF(OR(AE650=F650,AND(AE650="crane_footing",F650="isolated_footing")),"yes","no"))</f>
        <v/>
      </c>
    </row>
    <row r="651">
      <c r="A651" s="5" t="n">
        <v>650</v>
      </c>
      <c r="B651" s="5" t="inlineStr">
        <is>
          <t>128</t>
        </is>
      </c>
      <c r="C651" s="5" t="inlineStr">
        <is>
          <t>region between joints</t>
        </is>
      </c>
      <c r="D651" s="5" t="inlineStr">
        <is>
          <t>solid</t>
        </is>
      </c>
      <c r="E651" s="5" t="n">
        <v>30</v>
      </c>
      <c r="F651" s="5" t="inlineStr">
        <is>
          <t>retaining_wall</t>
        </is>
      </c>
      <c r="G651" s="5" t="inlineStr">
        <is>
          <t>Retaining wall VP20 5.16 × 0.20 m</t>
        </is>
      </c>
      <c r="H651" s="5" t="inlineStr">
        <is>
          <t>its own label (the cluster's class was only a guess)</t>
        </is>
      </c>
      <c r="I651" s="5" t="inlineStr">
        <is>
          <t>VP20</t>
        </is>
      </c>
      <c r="J651" s="5" t="inlineStr">
        <is>
          <t>printed label</t>
        </is>
      </c>
      <c r="K651" s="5" t="inlineStr">
        <is>
          <t>VP20-SF1 80x25</t>
        </is>
      </c>
      <c r="L651" s="5" t="n">
        <v>516</v>
      </c>
      <c r="M651" s="5" t="n">
        <v>20</v>
      </c>
      <c r="N651" s="10">
        <f>IF(AND(ISNUMBER(L651),M651&gt;0),L651/M651,"")</f>
        <v/>
      </c>
      <c r="O651" s="5" t="n">
        <v>1.024</v>
      </c>
      <c r="P651" s="5" t="n">
        <v>26.6</v>
      </c>
      <c r="Q651" s="5" t="n">
        <v>2</v>
      </c>
      <c r="R651" s="5" t="n">
        <v>0</v>
      </c>
      <c r="S651" s="5" t="n">
        <v>0</v>
      </c>
      <c r="T651" s="5" t="n">
        <v>0</v>
      </c>
      <c r="U651" s="5" t="n">
        <v>1</v>
      </c>
      <c r="V651" s="5" t="n">
        <v>0</v>
      </c>
      <c r="W651" s="5" t="n">
        <v>2</v>
      </c>
      <c r="X651" s="5" t="n">
        <v>1</v>
      </c>
      <c r="Y651" s="5" t="n"/>
      <c r="Z651" s="5" t="inlineStr"/>
      <c r="AA651" s="5" t="n">
        <v>1122.7</v>
      </c>
      <c r="AB651" s="5" t="n">
        <v>2648</v>
      </c>
      <c r="AC651" s="5" t="n">
        <v>1261.4</v>
      </c>
      <c r="AD651" s="5" t="n">
        <v>2720.4</v>
      </c>
      <c r="AE651" s="5" t="inlineStr"/>
      <c r="AF651" s="5">
        <f>IF(AE651="","",IF(OR(AE651=F651,AND(AE651="crane_footing",F651="isolated_footing")),"yes","no"))</f>
        <v/>
      </c>
    </row>
    <row r="652">
      <c r="A652" s="5" t="n">
        <v>651</v>
      </c>
      <c r="B652" s="5" t="inlineStr">
        <is>
          <t>128</t>
        </is>
      </c>
      <c r="C652" s="5" t="inlineStr">
        <is>
          <t>region between joints</t>
        </is>
      </c>
      <c r="D652" s="5" t="inlineStr">
        <is>
          <t>solid</t>
        </is>
      </c>
      <c r="E652" s="5" t="n">
        <v>30</v>
      </c>
      <c r="F652" s="5" t="inlineStr">
        <is>
          <t>retaining_wall</t>
        </is>
      </c>
      <c r="G652" s="5" t="inlineStr">
        <is>
          <t>Retaining wall ~VP20 4.55 × 0.20 m</t>
        </is>
      </c>
      <c r="H652" s="5" t="inlineStr">
        <is>
          <t>rule: unlabelled wall along the building edge or on a strip footing</t>
        </is>
      </c>
      <c r="I652" s="5" t="inlineStr">
        <is>
          <t>VP20</t>
        </is>
      </c>
      <c r="J652" s="5" t="inlineStr">
        <is>
          <t>inferred: the thickness of this retaining-wall type</t>
        </is>
      </c>
      <c r="K652" s="5" t="inlineStr"/>
      <c r="L652" s="5" t="n">
        <v>455</v>
      </c>
      <c r="M652" s="5" t="n">
        <v>20</v>
      </c>
      <c r="N652" s="10">
        <f>IF(AND(ISNUMBER(L652),M652&gt;0),L652/M652,"")</f>
        <v/>
      </c>
      <c r="O652" s="5" t="n">
        <v>0.913</v>
      </c>
      <c r="P652" s="5" t="n">
        <v>116.6</v>
      </c>
      <c r="Q652" s="5" t="n">
        <v>2</v>
      </c>
      <c r="R652" s="5" t="n">
        <v>0</v>
      </c>
      <c r="S652" s="5" t="n">
        <v>0</v>
      </c>
      <c r="T652" s="5" t="n">
        <v>1</v>
      </c>
      <c r="U652" s="5" t="n">
        <v>1</v>
      </c>
      <c r="V652" s="5" t="n">
        <v>0</v>
      </c>
      <c r="W652" s="5" t="n">
        <v>5</v>
      </c>
      <c r="X652" s="5" t="n">
        <v>0</v>
      </c>
      <c r="Y652" s="5" t="n"/>
      <c r="Z652" s="5" t="inlineStr"/>
      <c r="AA652" s="5" t="n">
        <v>1232.2</v>
      </c>
      <c r="AB652" s="5" t="n">
        <v>2857.5</v>
      </c>
      <c r="AC652" s="5" t="n">
        <v>1297.7</v>
      </c>
      <c r="AD652" s="5" t="n">
        <v>2980.2</v>
      </c>
      <c r="AE652" s="5" t="inlineStr"/>
      <c r="AF652" s="5">
        <f>IF(AE652="","",IF(OR(AE652=F652,AND(AE652="crane_footing",F652="isolated_footing")),"yes","no"))</f>
        <v/>
      </c>
    </row>
    <row r="653">
      <c r="A653" s="5" t="n">
        <v>652</v>
      </c>
      <c r="B653" s="5" t="inlineStr">
        <is>
          <t>128</t>
        </is>
      </c>
      <c r="C653" s="5" t="inlineStr">
        <is>
          <t>region between joints</t>
        </is>
      </c>
      <c r="D653" s="5" t="inlineStr">
        <is>
          <t>solid</t>
        </is>
      </c>
      <c r="E653" s="5" t="n">
        <v>30</v>
      </c>
      <c r="F653" s="5" t="inlineStr">
        <is>
          <t>retaining_wall</t>
        </is>
      </c>
      <c r="G653" s="5" t="inlineStr">
        <is>
          <t>Retaining wall ~VP20 3.20 × 0.20 m</t>
        </is>
      </c>
      <c r="H653" s="5" t="inlineStr">
        <is>
          <t>rule: unlabelled wall along the building edge or on a strip footing</t>
        </is>
      </c>
      <c r="I653" s="5" t="inlineStr">
        <is>
          <t>VP20</t>
        </is>
      </c>
      <c r="J653" s="5" t="inlineStr">
        <is>
          <t>inferred: the thickness of this retaining-wall type</t>
        </is>
      </c>
      <c r="K653" s="5" t="inlineStr"/>
      <c r="L653" s="5" t="n">
        <v>320</v>
      </c>
      <c r="M653" s="5" t="n">
        <v>20</v>
      </c>
      <c r="N653" s="10">
        <f>IF(AND(ISNUMBER(L653),M653&gt;0),L653/M653,"")</f>
        <v/>
      </c>
      <c r="O653" s="5" t="n">
        <v>0.638</v>
      </c>
      <c r="P653" s="5" t="n">
        <v>26.6</v>
      </c>
      <c r="Q653" s="5" t="n">
        <v>2</v>
      </c>
      <c r="R653" s="5" t="n">
        <v>0</v>
      </c>
      <c r="S653" s="5" t="n">
        <v>0</v>
      </c>
      <c r="T653" s="5" t="n">
        <v>1</v>
      </c>
      <c r="U653" s="5" t="n">
        <v>1</v>
      </c>
      <c r="V653" s="5" t="n">
        <v>0</v>
      </c>
      <c r="W653" s="5" t="n">
        <v>5</v>
      </c>
      <c r="X653" s="5" t="n">
        <v>0</v>
      </c>
      <c r="Y653" s="5" t="n"/>
      <c r="Z653" s="5" t="inlineStr"/>
      <c r="AA653" s="5" t="n">
        <v>1150.4</v>
      </c>
      <c r="AB653" s="5" t="n">
        <v>2937.9</v>
      </c>
      <c r="AC653" s="5" t="n">
        <v>1237.5</v>
      </c>
      <c r="AD653" s="5" t="n">
        <v>2985.5</v>
      </c>
      <c r="AE653" s="5" t="inlineStr"/>
      <c r="AF653" s="5">
        <f>IF(AE653="","",IF(OR(AE653=F653,AND(AE653="crane_footing",F653="isolated_footing")),"yes","no"))</f>
        <v/>
      </c>
    </row>
    <row r="654">
      <c r="A654" s="5" t="n">
        <v>653</v>
      </c>
      <c r="B654" s="5" t="inlineStr">
        <is>
          <t>128</t>
        </is>
      </c>
      <c r="C654" s="5" t="inlineStr">
        <is>
          <t>region between joints</t>
        </is>
      </c>
      <c r="D654" s="5" t="inlineStr">
        <is>
          <t>solid</t>
        </is>
      </c>
      <c r="E654" s="5" t="n">
        <v>27</v>
      </c>
      <c r="F654" s="5" t="inlineStr">
        <is>
          <t>retaining_wall</t>
        </is>
      </c>
      <c r="G654" s="5" t="inlineStr">
        <is>
          <t>Retaining wall ~VP20 3.12 × 0.20 m</t>
        </is>
      </c>
      <c r="H654" s="5" t="inlineStr">
        <is>
          <t>rule: unlabelled wall along the building edge or on a strip footing</t>
        </is>
      </c>
      <c r="I654" s="5" t="inlineStr">
        <is>
          <t>VP20</t>
        </is>
      </c>
      <c r="J654" s="5" t="inlineStr">
        <is>
          <t>inferred: the thickness of this retaining-wall type</t>
        </is>
      </c>
      <c r="K654" s="5" t="inlineStr"/>
      <c r="L654" s="5" t="n">
        <v>312</v>
      </c>
      <c r="M654" s="5" t="n">
        <v>20</v>
      </c>
      <c r="N654" s="10">
        <f>IF(AND(ISNUMBER(L654),M654&gt;0),L654/M654,"")</f>
        <v/>
      </c>
      <c r="O654" s="5" t="n">
        <v>0.624</v>
      </c>
      <c r="P654" s="5" t="n">
        <v>51.3</v>
      </c>
      <c r="Q654" s="5" t="n">
        <v>0</v>
      </c>
      <c r="R654" s="5" t="n">
        <v>0</v>
      </c>
      <c r="S654" s="5" t="n">
        <v>0</v>
      </c>
      <c r="T654" s="5" t="n">
        <v>0</v>
      </c>
      <c r="U654" s="5" t="n">
        <v>1</v>
      </c>
      <c r="V654" s="5" t="n">
        <v>0</v>
      </c>
      <c r="W654" s="5" t="n">
        <v>1</v>
      </c>
      <c r="X654" s="5" t="n">
        <v>6</v>
      </c>
      <c r="Y654" s="5" t="n"/>
      <c r="Z654" s="5" t="inlineStr"/>
      <c r="AA654" s="5" t="n">
        <v>848.6</v>
      </c>
      <c r="AB654" s="5" t="n">
        <v>2751.2</v>
      </c>
      <c r="AC654" s="5" t="n">
        <v>910.9</v>
      </c>
      <c r="AD654" s="5" t="n">
        <v>2826.8</v>
      </c>
      <c r="AE654" s="5" t="inlineStr"/>
      <c r="AF654" s="5">
        <f>IF(AE654="","",IF(OR(AE654=F654,AND(AE654="crane_footing",F654="isolated_footing")),"yes","no"))</f>
        <v/>
      </c>
    </row>
    <row r="655">
      <c r="A655" s="5" t="n">
        <v>654</v>
      </c>
      <c r="B655" s="5" t="inlineStr">
        <is>
          <t>128</t>
        </is>
      </c>
      <c r="C655" s="5" t="inlineStr">
        <is>
          <t>own label</t>
        </is>
      </c>
      <c r="D655" s="5" t="inlineStr">
        <is>
          <t>outline</t>
        </is>
      </c>
      <c r="E655" s="5" t="n">
        <v>13</v>
      </c>
      <c r="F655" s="5" t="inlineStr">
        <is>
          <t>isolated_footing</t>
        </is>
      </c>
      <c r="G655" s="5" t="inlineStr">
        <is>
          <t>Isolated footing S11 5.00 × 4.00 m</t>
        </is>
      </c>
      <c r="H655" s="5" t="inlineStr">
        <is>
          <t>label vote</t>
        </is>
      </c>
      <c r="I655" s="5" t="inlineStr">
        <is>
          <t>S11</t>
        </is>
      </c>
      <c r="J655" s="5" t="inlineStr">
        <is>
          <t>printed label</t>
        </is>
      </c>
      <c r="K655" s="5" t="inlineStr">
        <is>
          <t>S11-128</t>
        </is>
      </c>
      <c r="L655" s="5" t="n">
        <v>500</v>
      </c>
      <c r="M655" s="5" t="n">
        <v>400</v>
      </c>
      <c r="N655" s="10">
        <f>IF(AND(ISNUMBER(L655),M655&gt;0),L655/M655,"")</f>
        <v/>
      </c>
      <c r="O655" s="5" t="n">
        <v>20.001</v>
      </c>
      <c r="P655" s="5" t="n">
        <v>26.6</v>
      </c>
      <c r="Q655" s="5" t="n">
        <v>2</v>
      </c>
      <c r="R655" s="5" t="n">
        <v>0</v>
      </c>
      <c r="S655" s="5" t="n">
        <v>0</v>
      </c>
      <c r="T655" s="5" t="n">
        <v>0</v>
      </c>
      <c r="U655" s="5" t="n">
        <v>1</v>
      </c>
      <c r="V655" s="5" t="n">
        <v>1</v>
      </c>
      <c r="W655" s="5" t="n">
        <v>49</v>
      </c>
      <c r="X655" s="5" t="n">
        <v>1</v>
      </c>
      <c r="Y655" s="5" t="n"/>
      <c r="Z655" s="5" t="inlineStr"/>
      <c r="AA655" s="5" t="n">
        <v>1507</v>
      </c>
      <c r="AB655" s="5" t="n">
        <v>2800.6</v>
      </c>
      <c r="AC655" s="5" t="n">
        <v>1691.9</v>
      </c>
      <c r="AD655" s="5" t="n">
        <v>2972.4</v>
      </c>
      <c r="AE655" s="5" t="inlineStr">
        <is>
          <t>isolated_footing</t>
        </is>
      </c>
      <c r="AF655" s="5">
        <f>IF(AE655="","",IF(OR(AE655=F655,AND(AE655="crane_footing",F655="isolated_footing")),"yes","no"))</f>
        <v/>
      </c>
    </row>
    <row r="656">
      <c r="A656" s="5" t="n">
        <v>655</v>
      </c>
      <c r="B656" s="5" t="inlineStr">
        <is>
          <t>128</t>
        </is>
      </c>
      <c r="C656" s="5" t="inlineStr">
        <is>
          <t>own label</t>
        </is>
      </c>
      <c r="D656" s="5" t="inlineStr">
        <is>
          <t>outline</t>
        </is>
      </c>
      <c r="E656" s="5" t="n">
        <v>12</v>
      </c>
      <c r="F656" s="5" t="inlineStr">
        <is>
          <t>isolated_footing</t>
        </is>
      </c>
      <c r="G656" s="5" t="inlineStr">
        <is>
          <t>Isolated footing S2 3.50 × 2.00 m</t>
        </is>
      </c>
      <c r="H656" s="5" t="inlineStr">
        <is>
          <t>label vote</t>
        </is>
      </c>
      <c r="I656" s="5" t="inlineStr">
        <is>
          <t>S2</t>
        </is>
      </c>
      <c r="J656" s="5" t="inlineStr">
        <is>
          <t>printed label</t>
        </is>
      </c>
      <c r="K656" s="5" t="inlineStr">
        <is>
          <t>S2-128128</t>
        </is>
      </c>
      <c r="L656" s="5" t="n">
        <v>350</v>
      </c>
      <c r="M656" s="5" t="n">
        <v>200</v>
      </c>
      <c r="N656" s="10">
        <f>IF(AND(ISNUMBER(L656),M656&gt;0),L656/M656,"")</f>
        <v/>
      </c>
      <c r="O656" s="5" t="n">
        <v>7.001</v>
      </c>
      <c r="P656" s="5" t="n">
        <v>116.6</v>
      </c>
      <c r="Q656" s="5" t="n">
        <v>1</v>
      </c>
      <c r="R656" s="5" t="n">
        <v>0</v>
      </c>
      <c r="S656" s="5" t="n">
        <v>0</v>
      </c>
      <c r="T656" s="5" t="n">
        <v>0</v>
      </c>
      <c r="U656" s="5" t="n">
        <v>1</v>
      </c>
      <c r="V656" s="5" t="n">
        <v>1</v>
      </c>
      <c r="W656" s="5" t="n">
        <v>34</v>
      </c>
      <c r="X656" s="5" t="n">
        <v>4</v>
      </c>
      <c r="Y656" s="5" t="n"/>
      <c r="Z656" s="5" t="inlineStr"/>
      <c r="AA656" s="5" t="n">
        <v>1700.6</v>
      </c>
      <c r="AB656" s="5" t="n">
        <v>2370.5</v>
      </c>
      <c r="AC656" s="5" t="n">
        <v>1799.8</v>
      </c>
      <c r="AD656" s="5" t="n">
        <v>2489.4</v>
      </c>
      <c r="AE656" s="5" t="inlineStr">
        <is>
          <t>isolated_footing</t>
        </is>
      </c>
      <c r="AF656" s="5">
        <f>IF(AE656="","",IF(OR(AE656=F656,AND(AE656="crane_footing",F656="isolated_footing")),"yes","no"))</f>
        <v/>
      </c>
    </row>
    <row r="657">
      <c r="A657" s="5" t="n">
        <v>656</v>
      </c>
      <c r="B657" s="5" t="inlineStr">
        <is>
          <t>128</t>
        </is>
      </c>
      <c r="C657" s="5" t="inlineStr">
        <is>
          <t>own label</t>
        </is>
      </c>
      <c r="D657" s="5" t="inlineStr">
        <is>
          <t>outline</t>
        </is>
      </c>
      <c r="E657" s="5" t="n">
        <v>13</v>
      </c>
      <c r="F657" s="5" t="inlineStr">
        <is>
          <t>isolated_footing</t>
        </is>
      </c>
      <c r="G657" s="5" t="inlineStr">
        <is>
          <t>Isolated footing S5 4.50 × 4.00 m</t>
        </is>
      </c>
      <c r="H657" s="5" t="inlineStr">
        <is>
          <t>label vote</t>
        </is>
      </c>
      <c r="I657" s="5" t="inlineStr">
        <is>
          <t>S5</t>
        </is>
      </c>
      <c r="J657" s="5" t="inlineStr">
        <is>
          <t>printed label</t>
        </is>
      </c>
      <c r="K657" s="5" t="inlineStr">
        <is>
          <t>S5-128</t>
        </is>
      </c>
      <c r="L657" s="5" t="n">
        <v>450</v>
      </c>
      <c r="M657" s="5" t="n">
        <v>400</v>
      </c>
      <c r="N657" s="10">
        <f>IF(AND(ISNUMBER(L657),M657&gt;0),L657/M657,"")</f>
        <v/>
      </c>
      <c r="O657" s="5" t="n">
        <v>18.004</v>
      </c>
      <c r="P657" s="5" t="n">
        <v>26.6</v>
      </c>
      <c r="Q657" s="5" t="n">
        <v>3</v>
      </c>
      <c r="R657" s="5" t="n">
        <v>0</v>
      </c>
      <c r="S657" s="5" t="n">
        <v>0</v>
      </c>
      <c r="T657" s="5" t="n">
        <v>0</v>
      </c>
      <c r="U657" s="5" t="n">
        <v>1</v>
      </c>
      <c r="V657" s="5" t="n">
        <v>1</v>
      </c>
      <c r="W657" s="5" t="n">
        <v>7</v>
      </c>
      <c r="X657" s="5" t="n">
        <v>12</v>
      </c>
      <c r="Y657" s="5" t="n"/>
      <c r="Z657" s="5" t="inlineStr"/>
      <c r="AA657" s="5" t="n">
        <v>883.5</v>
      </c>
      <c r="AB657" s="5" t="n">
        <v>2762.2</v>
      </c>
      <c r="AC657" s="5" t="n">
        <v>1055.2</v>
      </c>
      <c r="AD657" s="5" t="n">
        <v>2927.3</v>
      </c>
      <c r="AE657" s="5" t="inlineStr">
        <is>
          <t>isolated_footing</t>
        </is>
      </c>
      <c r="AF657" s="5">
        <f>IF(AE657="","",IF(OR(AE657=F657,AND(AE657="crane_footing",F657="isolated_footing")),"yes","no"))</f>
        <v/>
      </c>
    </row>
    <row r="658">
      <c r="A658" s="5" t="n">
        <v>657</v>
      </c>
      <c r="B658" s="5" t="inlineStr">
        <is>
          <t>128</t>
        </is>
      </c>
      <c r="C658" s="5" t="inlineStr">
        <is>
          <t>nearest labels</t>
        </is>
      </c>
      <c r="D658" s="5" t="inlineStr">
        <is>
          <t>outline</t>
        </is>
      </c>
      <c r="E658" s="5" t="n">
        <v>14</v>
      </c>
      <c r="F658" s="5" t="inlineStr">
        <is>
          <t>combined_footing</t>
        </is>
      </c>
      <c r="G658" s="5" t="inlineStr">
        <is>
          <t>Combined footing SC1 5.00 × 3.50 m</t>
        </is>
      </c>
      <c r="H658" s="5" t="inlineStr">
        <is>
          <t>label vote</t>
        </is>
      </c>
      <c r="I658" s="5" t="inlineStr">
        <is>
          <t>SC1</t>
        </is>
      </c>
      <c r="J658" s="5" t="inlineStr">
        <is>
          <t>printed label</t>
        </is>
      </c>
      <c r="K658" s="5" t="inlineStr">
        <is>
          <t>SC1-</t>
        </is>
      </c>
      <c r="L658" s="5" t="n">
        <v>500</v>
      </c>
      <c r="M658" s="5" t="n">
        <v>350</v>
      </c>
      <c r="N658" s="10">
        <f>IF(AND(ISNUMBER(L658),M658&gt;0),L658/M658,"")</f>
        <v/>
      </c>
      <c r="O658" s="5" t="n">
        <v>17.503</v>
      </c>
      <c r="P658" s="5" t="n">
        <v>116.6</v>
      </c>
      <c r="Q658" s="5" t="n">
        <v>4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2</v>
      </c>
      <c r="W658" s="5" t="n">
        <v>16</v>
      </c>
      <c r="X658" s="5" t="n">
        <v>2</v>
      </c>
      <c r="Y658" s="5" t="n"/>
      <c r="Z658" s="5" t="inlineStr"/>
      <c r="AA658" s="5" t="n">
        <v>1663.6</v>
      </c>
      <c r="AB658" s="5" t="n">
        <v>2874.6</v>
      </c>
      <c r="AC658" s="5" t="n">
        <v>1822.2</v>
      </c>
      <c r="AD658" s="5" t="n">
        <v>3052.9</v>
      </c>
      <c r="AE658" s="5" t="inlineStr">
        <is>
          <t>combined_footing</t>
        </is>
      </c>
      <c r="AF658" s="5">
        <f>IF(AE658="","",IF(OR(AE658=F658,AND(AE658="crane_footing",F658="isolated_footing")),"yes","no"))</f>
        <v/>
      </c>
    </row>
    <row r="659">
      <c r="A659" s="5" t="n">
        <v>658</v>
      </c>
      <c r="B659" s="5" t="inlineStr">
        <is>
          <t>128</t>
        </is>
      </c>
      <c r="C659" s="5" t="inlineStr">
        <is>
          <t>nearest labels</t>
        </is>
      </c>
      <c r="D659" s="5" t="inlineStr">
        <is>
          <t>outline</t>
        </is>
      </c>
      <c r="E659" s="5" t="n">
        <v>14</v>
      </c>
      <c r="F659" s="5" t="inlineStr">
        <is>
          <t>combined_footing</t>
        </is>
      </c>
      <c r="G659" s="5" t="inlineStr">
        <is>
          <t>Combined footing SC3 5.00 × 4.50 m</t>
        </is>
      </c>
      <c r="H659" s="5" t="inlineStr">
        <is>
          <t>label vote</t>
        </is>
      </c>
      <c r="I659" s="5" t="inlineStr">
        <is>
          <t>SC3</t>
        </is>
      </c>
      <c r="J659" s="5" t="inlineStr">
        <is>
          <t>printed label</t>
        </is>
      </c>
      <c r="K659" s="5" t="inlineStr">
        <is>
          <t>SC3</t>
        </is>
      </c>
      <c r="L659" s="5" t="n">
        <v>500</v>
      </c>
      <c r="M659" s="5" t="n">
        <v>450</v>
      </c>
      <c r="N659" s="10">
        <f>IF(AND(ISNUMBER(L659),M659&gt;0),L659/M659,"")</f>
        <v/>
      </c>
      <c r="O659" s="5" t="n">
        <v>22.496</v>
      </c>
      <c r="P659" s="5" t="n">
        <v>140.9</v>
      </c>
      <c r="Q659" s="5" t="n">
        <v>6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2</v>
      </c>
      <c r="W659" s="5" t="n">
        <v>86</v>
      </c>
      <c r="X659" s="5" t="n">
        <v>63</v>
      </c>
      <c r="Y659" s="5" t="n"/>
      <c r="Z659" s="5" t="inlineStr"/>
      <c r="AA659" s="5" t="n">
        <v>933.2</v>
      </c>
      <c r="AB659" s="5" t="n">
        <v>2489.5</v>
      </c>
      <c r="AC659" s="5" t="n">
        <v>1131.6</v>
      </c>
      <c r="AD659" s="5" t="n">
        <v>2685.7</v>
      </c>
      <c r="AE659" s="5" t="inlineStr">
        <is>
          <t>combined_footing</t>
        </is>
      </c>
      <c r="AF659" s="5">
        <f>IF(AE659="","",IF(OR(AE659=F659,AND(AE659="crane_footing",F659="isolated_footing")),"yes","no"))</f>
        <v/>
      </c>
    </row>
    <row r="660">
      <c r="A660" s="5" t="n">
        <v>659</v>
      </c>
      <c r="B660" s="5" t="inlineStr">
        <is>
          <t>128</t>
        </is>
      </c>
      <c r="C660" s="5" t="inlineStr">
        <is>
          <t>region between joints</t>
        </is>
      </c>
      <c r="D660" s="5" t="inlineStr">
        <is>
          <t>band</t>
        </is>
      </c>
      <c r="E660" s="5" t="n">
        <v>5</v>
      </c>
      <c r="F660" s="5" t="inlineStr">
        <is>
          <t>strip_footing</t>
        </is>
      </c>
      <c r="G660" s="5" t="inlineStr">
        <is>
          <t>Strip footing 1.04 × 0.80 m</t>
        </is>
      </c>
      <c r="H660" s="5" t="inlineStr">
        <is>
          <t>label vote</t>
        </is>
      </c>
      <c r="I660" s="5" t="inlineStr">
        <is>
          <t>(none)</t>
        </is>
      </c>
      <c r="J660" s="5" t="inlineStr"/>
      <c r="K660" s="5" t="inlineStr"/>
      <c r="L660" s="5" t="n">
        <v>104</v>
      </c>
      <c r="M660" s="5" t="n">
        <v>80</v>
      </c>
      <c r="N660" s="10">
        <f>IF(AND(ISNUMBER(L660),M660&gt;0),L660/M660,"")</f>
        <v/>
      </c>
      <c r="O660" s="5" t="n">
        <v>0.833</v>
      </c>
      <c r="P660" s="5" t="n">
        <v>26.6</v>
      </c>
      <c r="Q660" s="5" t="n">
        <v>1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1</v>
      </c>
      <c r="X660" s="5" t="n">
        <v>0</v>
      </c>
      <c r="Y660" s="5" t="n">
        <v>1.04</v>
      </c>
      <c r="Z660" s="5" t="inlineStr"/>
      <c r="AA660" s="5" t="n">
        <v>1415.5</v>
      </c>
      <c r="AB660" s="5" t="n">
        <v>2787.8</v>
      </c>
      <c r="AC660" s="5" t="n">
        <v>1453.6</v>
      </c>
      <c r="AD660" s="5" t="n">
        <v>2822.7</v>
      </c>
      <c r="AE660" s="5" t="inlineStr"/>
      <c r="AF660" s="5">
        <f>IF(AE660="","",IF(OR(AE660=F660,AND(AE660="crane_footing",F660="isolated_footing")),"yes","no"))</f>
        <v/>
      </c>
    </row>
    <row r="661">
      <c r="A661" s="5" t="n">
        <v>660</v>
      </c>
      <c r="B661" s="5" t="inlineStr">
        <is>
          <t>128</t>
        </is>
      </c>
      <c r="C661" s="5" t="inlineStr">
        <is>
          <t>region between joints</t>
        </is>
      </c>
      <c r="D661" s="5" t="inlineStr">
        <is>
          <t>band</t>
        </is>
      </c>
      <c r="E661" s="5" t="n">
        <v>5</v>
      </c>
      <c r="F661" s="5" t="inlineStr">
        <is>
          <t>strip_footing</t>
        </is>
      </c>
      <c r="G661" s="5" t="inlineStr">
        <is>
          <t>Strip footing SF1 14.81 × 0.80 m</t>
        </is>
      </c>
      <c r="H661" s="5" t="inlineStr">
        <is>
          <t>label vote</t>
        </is>
      </c>
      <c r="I661" s="5" t="inlineStr">
        <is>
          <t>SF1</t>
        </is>
      </c>
      <c r="J661" s="5" t="inlineStr">
        <is>
          <t>printed label</t>
        </is>
      </c>
      <c r="K661" s="5" t="inlineStr">
        <is>
          <t>SF1 80x25</t>
        </is>
      </c>
      <c r="L661" s="5" t="n">
        <v>1481</v>
      </c>
      <c r="M661" s="5" t="n">
        <v>80</v>
      </c>
      <c r="N661" s="10">
        <f>IF(AND(ISNUMBER(L661),M661&gt;0),L661/M661,"")</f>
        <v/>
      </c>
      <c r="O661" s="5" t="n">
        <v>11.846</v>
      </c>
      <c r="P661" s="5" t="n">
        <v>141</v>
      </c>
      <c r="Q661" s="5" t="n">
        <v>2</v>
      </c>
      <c r="R661" s="5" t="n">
        <v>0</v>
      </c>
      <c r="S661" s="5" t="n">
        <v>0</v>
      </c>
      <c r="T661" s="5" t="n">
        <v>0</v>
      </c>
      <c r="U661" s="5" t="n">
        <v>0</v>
      </c>
      <c r="V661" s="5" t="n">
        <v>1</v>
      </c>
      <c r="W661" s="5" t="n">
        <v>3</v>
      </c>
      <c r="X661" s="5" t="n">
        <v>82</v>
      </c>
      <c r="Y661" s="5" t="n">
        <v>14.81</v>
      </c>
      <c r="Z661" s="5" t="inlineStr"/>
      <c r="AA661" s="5" t="n">
        <v>967.4</v>
      </c>
      <c r="AB661" s="5" t="n">
        <v>2491.2</v>
      </c>
      <c r="AC661" s="5" t="n">
        <v>1321.9</v>
      </c>
      <c r="AD661" s="5" t="n">
        <v>2784.9</v>
      </c>
      <c r="AE661" s="5" t="inlineStr"/>
      <c r="AF661" s="5">
        <f>IF(AE661="","",IF(OR(AE661=F661,AND(AE661="crane_footing",F661="isolated_footing")),"yes","no"))</f>
        <v/>
      </c>
    </row>
    <row r="662">
      <c r="A662" s="5" t="n">
        <v>661</v>
      </c>
      <c r="B662" s="5" t="inlineStr">
        <is>
          <t>128</t>
        </is>
      </c>
      <c r="C662" s="5" t="inlineStr">
        <is>
          <t>region between joints</t>
        </is>
      </c>
      <c r="D662" s="5" t="inlineStr">
        <is>
          <t>band</t>
        </is>
      </c>
      <c r="E662" s="5" t="n">
        <v>1</v>
      </c>
      <c r="F662" s="5" t="inlineStr">
        <is>
          <t>grade_beam</t>
        </is>
      </c>
      <c r="G662" s="5" t="inlineStr">
        <is>
          <t>Grade beam LG25x40 4.31 × 0.25 m</t>
        </is>
      </c>
      <c r="H662" s="5" t="inlineStr">
        <is>
          <t>label vote</t>
        </is>
      </c>
      <c r="I662" s="5" t="inlineStr">
        <is>
          <t>LG25x40</t>
        </is>
      </c>
      <c r="J662" s="5" t="inlineStr">
        <is>
          <t>printed label</t>
        </is>
      </c>
      <c r="K662" s="5" t="inlineStr">
        <is>
          <t>LG 25X40</t>
        </is>
      </c>
      <c r="L662" s="5" t="n">
        <v>431</v>
      </c>
      <c r="M662" s="5" t="n">
        <v>25</v>
      </c>
      <c r="N662" s="10">
        <f>IF(AND(ISNUMBER(L662),M662&gt;0),L662/M662,"")</f>
        <v/>
      </c>
      <c r="O662" s="5" t="n">
        <v>1.078</v>
      </c>
      <c r="P662" s="5" t="n">
        <v>116.7</v>
      </c>
      <c r="Q662" s="5" t="n">
        <v>2</v>
      </c>
      <c r="R662" s="5" t="n">
        <v>0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0</v>
      </c>
      <c r="X662" s="5" t="n">
        <v>6</v>
      </c>
      <c r="Y662" s="5" t="n">
        <v>2.43</v>
      </c>
      <c r="Z662" s="5" t="inlineStr"/>
      <c r="AA662" s="5" t="n">
        <v>977.5</v>
      </c>
      <c r="AB662" s="5" t="n">
        <v>2731.2</v>
      </c>
      <c r="AC662" s="5" t="n">
        <v>1041.2</v>
      </c>
      <c r="AD662" s="5" t="n">
        <v>2848.2</v>
      </c>
      <c r="AE662" s="5" t="inlineStr"/>
      <c r="AF662" s="5">
        <f>IF(AE662="","",IF(OR(AE662=F662,AND(AE662="crane_footing",F662="isolated_footing")),"yes","no"))</f>
        <v/>
      </c>
    </row>
    <row r="663">
      <c r="A663" s="5" t="n">
        <v>662</v>
      </c>
      <c r="B663" s="5" t="inlineStr">
        <is>
          <t>128</t>
        </is>
      </c>
      <c r="C663" s="5" t="inlineStr">
        <is>
          <t>region between joints</t>
        </is>
      </c>
      <c r="D663" s="5" t="inlineStr">
        <is>
          <t>band</t>
        </is>
      </c>
      <c r="E663" s="5" t="n">
        <v>1</v>
      </c>
      <c r="F663" s="5" t="inlineStr">
        <is>
          <t>grade_beam</t>
        </is>
      </c>
      <c r="G663" s="5" t="inlineStr">
        <is>
          <t>Grade beam LG25x40 3.34 × 0.25 m</t>
        </is>
      </c>
      <c r="H663" s="5" t="inlineStr">
        <is>
          <t>label vote</t>
        </is>
      </c>
      <c r="I663" s="5" t="inlineStr">
        <is>
          <t>LG25x40</t>
        </is>
      </c>
      <c r="J663" s="5" t="inlineStr">
        <is>
          <t>printed label</t>
        </is>
      </c>
      <c r="K663" s="5" t="inlineStr">
        <is>
          <t>LG 25x40</t>
        </is>
      </c>
      <c r="L663" s="5" t="n">
        <v>334</v>
      </c>
      <c r="M663" s="5" t="n">
        <v>25</v>
      </c>
      <c r="N663" s="10">
        <f>IF(AND(ISNUMBER(L663),M663&gt;0),L663/M663,"")</f>
        <v/>
      </c>
      <c r="O663" s="5" t="n">
        <v>0.836</v>
      </c>
      <c r="P663" s="5" t="n">
        <v>51</v>
      </c>
      <c r="Q663" s="5" t="n">
        <v>1</v>
      </c>
      <c r="R663" s="5" t="n">
        <v>1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4</v>
      </c>
      <c r="X663" s="5" t="n">
        <v>12</v>
      </c>
      <c r="Y663" s="5" t="n">
        <v>1.44</v>
      </c>
      <c r="Z663" s="5" t="inlineStr"/>
      <c r="AA663" s="5" t="n">
        <v>1235.7</v>
      </c>
      <c r="AB663" s="5" t="n">
        <v>2428.7</v>
      </c>
      <c r="AC663" s="5" t="n">
        <v>1303.6</v>
      </c>
      <c r="AD663" s="5" t="n">
        <v>2510.1</v>
      </c>
      <c r="AE663" s="5" t="inlineStr"/>
      <c r="AF663" s="5">
        <f>IF(AE663="","",IF(OR(AE663=F663,AND(AE663="crane_footing",F663="isolated_footing")),"yes","no"))</f>
        <v/>
      </c>
    </row>
    <row r="664">
      <c r="A664" s="5" t="n">
        <v>663</v>
      </c>
      <c r="B664" s="5" t="inlineStr">
        <is>
          <t>128</t>
        </is>
      </c>
      <c r="C664" s="5" t="inlineStr">
        <is>
          <t>region between joints</t>
        </is>
      </c>
      <c r="D664" s="5" t="inlineStr">
        <is>
          <t>band</t>
        </is>
      </c>
      <c r="E664" s="5" t="n">
        <v>3</v>
      </c>
      <c r="F664" s="5" t="inlineStr">
        <is>
          <t>grade_beam</t>
        </is>
      </c>
      <c r="G664" s="5" t="inlineStr">
        <is>
          <t>Grade beam LG40x15 20.48 × 0.40 m</t>
        </is>
      </c>
      <c r="H664" s="5" t="inlineStr">
        <is>
          <t>label vote</t>
        </is>
      </c>
      <c r="I664" s="5" t="inlineStr">
        <is>
          <t>LG40x15</t>
        </is>
      </c>
      <c r="J664" s="5" t="inlineStr">
        <is>
          <t>printed label</t>
        </is>
      </c>
      <c r="K664" s="5" t="inlineStr">
        <is>
          <t>LG-40x15</t>
        </is>
      </c>
      <c r="L664" s="5" t="n">
        <v>2048</v>
      </c>
      <c r="M664" s="5" t="n">
        <v>40</v>
      </c>
      <c r="N664" s="10">
        <f>IF(AND(ISNUMBER(L664),M664&gt;0),L664/M664,"")</f>
        <v/>
      </c>
      <c r="O664" s="5" t="n">
        <v>8.191000000000001</v>
      </c>
      <c r="P664" s="5" t="n">
        <v>116.6</v>
      </c>
      <c r="Q664" s="5" t="n">
        <v>5</v>
      </c>
      <c r="R664" s="5" t="n">
        <v>0</v>
      </c>
      <c r="S664" s="5" t="n">
        <v>0</v>
      </c>
      <c r="T664" s="5" t="n">
        <v>0</v>
      </c>
      <c r="U664" s="5" t="n">
        <v>0</v>
      </c>
      <c r="V664" s="5" t="n">
        <v>2</v>
      </c>
      <c r="W664" s="5" t="n">
        <v>11</v>
      </c>
      <c r="X664" s="5" t="n">
        <v>7</v>
      </c>
      <c r="Y664" s="5" t="n">
        <v>14.69</v>
      </c>
      <c r="Z664" s="5" t="inlineStr"/>
      <c r="AA664" s="5" t="n">
        <v>1735.1</v>
      </c>
      <c r="AB664" s="5" t="n">
        <v>2412.5</v>
      </c>
      <c r="AC664" s="5" t="n">
        <v>2016.8</v>
      </c>
      <c r="AD664" s="5" t="n">
        <v>2958.2</v>
      </c>
      <c r="AE664" s="5" t="inlineStr"/>
      <c r="AF664" s="5">
        <f>IF(AE664="","",IF(OR(AE664=F664,AND(AE664="crane_footing",F664="isolated_footing")),"yes","no"))</f>
        <v/>
      </c>
    </row>
    <row r="665">
      <c r="A665" s="5" t="n">
        <v>664</v>
      </c>
      <c r="B665" s="5" t="inlineStr">
        <is>
          <t>128</t>
        </is>
      </c>
      <c r="C665" s="5" t="inlineStr">
        <is>
          <t>region between joints</t>
        </is>
      </c>
      <c r="D665" s="5" t="inlineStr">
        <is>
          <t>band</t>
        </is>
      </c>
      <c r="E665" s="5" t="n">
        <v>3</v>
      </c>
      <c r="F665" s="5" t="inlineStr">
        <is>
          <t>grade_beam</t>
        </is>
      </c>
      <c r="G665" s="5" t="inlineStr">
        <is>
          <t>Grade beam LG40x15 19.35 × 0.40 m</t>
        </is>
      </c>
      <c r="H665" s="5" t="inlineStr">
        <is>
          <t>label vote</t>
        </is>
      </c>
      <c r="I665" s="5" t="inlineStr">
        <is>
          <t>LG40x15</t>
        </is>
      </c>
      <c r="J665" s="5" t="inlineStr">
        <is>
          <t>printed label</t>
        </is>
      </c>
      <c r="K665" s="5" t="inlineStr">
        <is>
          <t>LG-40x15</t>
        </is>
      </c>
      <c r="L665" s="5" t="n">
        <v>1935</v>
      </c>
      <c r="M665" s="5" t="n">
        <v>40</v>
      </c>
      <c r="N665" s="10">
        <f>IF(AND(ISNUMBER(L665),M665&gt;0),L665/M665,"")</f>
        <v/>
      </c>
      <c r="O665" s="5" t="n">
        <v>7.738</v>
      </c>
      <c r="P665" s="5" t="n">
        <v>26.6</v>
      </c>
      <c r="Q665" s="5" t="n">
        <v>2</v>
      </c>
      <c r="R665" s="5" t="n">
        <v>0</v>
      </c>
      <c r="S665" s="5" t="n">
        <v>0</v>
      </c>
      <c r="T665" s="5" t="n">
        <v>0</v>
      </c>
      <c r="U665" s="5" t="n">
        <v>0</v>
      </c>
      <c r="V665" s="5" t="n">
        <v>0</v>
      </c>
      <c r="W665" s="5" t="n">
        <v>85</v>
      </c>
      <c r="X665" s="5" t="n">
        <v>6</v>
      </c>
      <c r="Y665" s="5" t="n">
        <v>15.6</v>
      </c>
      <c r="Z665" s="5" t="inlineStr"/>
      <c r="AA665" s="5" t="n">
        <v>1438.6</v>
      </c>
      <c r="AB665" s="5" t="n">
        <v>2269.8</v>
      </c>
      <c r="AC665" s="5" t="n">
        <v>1954.5</v>
      </c>
      <c r="AD665" s="5" t="n">
        <v>2536.4</v>
      </c>
      <c r="AE665" s="5" t="inlineStr"/>
      <c r="AF665" s="5">
        <f>IF(AE665="","",IF(OR(AE665=F665,AND(AE665="crane_footing",F665="isolated_footing")),"yes","no"))</f>
        <v/>
      </c>
    </row>
    <row r="666">
      <c r="A666" s="5" t="n">
        <v>665</v>
      </c>
      <c r="B666" s="5" t="inlineStr">
        <is>
          <t>128</t>
        </is>
      </c>
      <c r="C666" s="5" t="inlineStr">
        <is>
          <t>region between joints</t>
        </is>
      </c>
      <c r="D666" s="5" t="inlineStr">
        <is>
          <t>band</t>
        </is>
      </c>
      <c r="E666" s="5" t="n">
        <v>3</v>
      </c>
      <c r="F666" s="5" t="inlineStr">
        <is>
          <t>grade_beam</t>
        </is>
      </c>
      <c r="G666" s="5" t="inlineStr">
        <is>
          <t>Grade beam LG40x15 13.34 × 0.40 m</t>
        </is>
      </c>
      <c r="H666" s="5" t="inlineStr">
        <is>
          <t>label vote</t>
        </is>
      </c>
      <c r="I666" s="5" t="inlineStr">
        <is>
          <t>LG40x15</t>
        </is>
      </c>
      <c r="J666" s="5" t="inlineStr">
        <is>
          <t>printed label</t>
        </is>
      </c>
      <c r="K666" s="5" t="inlineStr">
        <is>
          <t>LG-40x15</t>
        </is>
      </c>
      <c r="L666" s="5" t="n">
        <v>1334</v>
      </c>
      <c r="M666" s="5" t="n">
        <v>40</v>
      </c>
      <c r="N666" s="10">
        <f>IF(AND(ISNUMBER(L666),M666&gt;0),L666/M666,"")</f>
        <v/>
      </c>
      <c r="O666" s="5" t="n">
        <v>5.337</v>
      </c>
      <c r="P666" s="5" t="n">
        <v>140.9</v>
      </c>
      <c r="Q666" s="5" t="n">
        <v>3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1</v>
      </c>
      <c r="W666" s="5" t="n">
        <v>34</v>
      </c>
      <c r="X666" s="5" t="n">
        <v>5</v>
      </c>
      <c r="Y666" s="5" t="n">
        <v>8.09</v>
      </c>
      <c r="Z666" s="5" t="inlineStr"/>
      <c r="AA666" s="5" t="n">
        <v>1236.8</v>
      </c>
      <c r="AB666" s="5" t="n">
        <v>2174.5</v>
      </c>
      <c r="AC666" s="5" t="n">
        <v>1549.9</v>
      </c>
      <c r="AD666" s="5" t="n">
        <v>2432.1</v>
      </c>
      <c r="AE666" s="5" t="inlineStr"/>
      <c r="AF666" s="5">
        <f>IF(AE666="","",IF(OR(AE666=F666,AND(AE666="crane_footing",F666="isolated_footing")),"yes","no"))</f>
        <v/>
      </c>
    </row>
    <row r="667">
      <c r="A667" s="5" t="n">
        <v>666</v>
      </c>
      <c r="B667" s="5" t="inlineStr">
        <is>
          <t>128</t>
        </is>
      </c>
      <c r="C667" s="5" t="inlineStr">
        <is>
          <t>region between joints</t>
        </is>
      </c>
      <c r="D667" s="5" t="inlineStr">
        <is>
          <t>band</t>
        </is>
      </c>
      <c r="E667" s="5" t="n">
        <v>3</v>
      </c>
      <c r="F667" s="5" t="inlineStr">
        <is>
          <t>grade_beam</t>
        </is>
      </c>
      <c r="G667" s="5" t="inlineStr">
        <is>
          <t>Grade beam LG40x15 12.89 × 0.40 m</t>
        </is>
      </c>
      <c r="H667" s="5" t="inlineStr">
        <is>
          <t>label vote</t>
        </is>
      </c>
      <c r="I667" s="5" t="inlineStr">
        <is>
          <t>LG40x15</t>
        </is>
      </c>
      <c r="J667" s="5" t="inlineStr">
        <is>
          <t>printed label</t>
        </is>
      </c>
      <c r="K667" s="5" t="inlineStr">
        <is>
          <t>LG-40x15</t>
        </is>
      </c>
      <c r="L667" s="5" t="n">
        <v>1289</v>
      </c>
      <c r="M667" s="5" t="n">
        <v>40</v>
      </c>
      <c r="N667" s="10">
        <f>IF(AND(ISNUMBER(L667),M667&gt;0),L667/M667,"")</f>
        <v/>
      </c>
      <c r="O667" s="5" t="n">
        <v>5.155</v>
      </c>
      <c r="P667" s="5" t="n">
        <v>116.6</v>
      </c>
      <c r="Q667" s="5" t="n">
        <v>2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1</v>
      </c>
      <c r="W667" s="5" t="n">
        <v>21</v>
      </c>
      <c r="X667" s="5" t="n">
        <v>4</v>
      </c>
      <c r="Y667" s="5" t="n">
        <v>9.390000000000001</v>
      </c>
      <c r="Z667" s="5" t="inlineStr"/>
      <c r="AA667" s="5" t="n">
        <v>1632.8</v>
      </c>
      <c r="AB667" s="5" t="n">
        <v>2310.7</v>
      </c>
      <c r="AC667" s="5" t="n">
        <v>1813.9</v>
      </c>
      <c r="AD667" s="5" t="n">
        <v>2656.1</v>
      </c>
      <c r="AE667" s="5" t="inlineStr"/>
      <c r="AF667" s="5">
        <f>IF(AE667="","",IF(OR(AE667=F667,AND(AE667="crane_footing",F667="isolated_footing")),"yes","no"))</f>
        <v/>
      </c>
    </row>
    <row r="668">
      <c r="A668" s="5" t="n">
        <v>667</v>
      </c>
      <c r="B668" s="5" t="inlineStr">
        <is>
          <t>128</t>
        </is>
      </c>
      <c r="C668" s="5" t="inlineStr">
        <is>
          <t>nearest labels</t>
        </is>
      </c>
      <c r="D668" s="5" t="inlineStr">
        <is>
          <t>band</t>
        </is>
      </c>
      <c r="E668" s="5" t="n">
        <v>3</v>
      </c>
      <c r="F668" s="5" t="inlineStr">
        <is>
          <t>grade_beam</t>
        </is>
      </c>
      <c r="G668" s="5" t="inlineStr">
        <is>
          <t>Grade beam LG40x15 8.13 × 0.40 m</t>
        </is>
      </c>
      <c r="H668" s="5" t="inlineStr">
        <is>
          <t>label vote</t>
        </is>
      </c>
      <c r="I668" s="5" t="inlineStr">
        <is>
          <t>LG40x15</t>
        </is>
      </c>
      <c r="J668" s="5" t="inlineStr">
        <is>
          <t>printed label</t>
        </is>
      </c>
      <c r="K668" s="5" t="inlineStr">
        <is>
          <t>LG-40x15</t>
        </is>
      </c>
      <c r="L668" s="5" t="n">
        <v>813</v>
      </c>
      <c r="M668" s="5" t="n">
        <v>40</v>
      </c>
      <c r="N668" s="10">
        <f>IF(AND(ISNUMBER(L668),M668&gt;0),L668/M668,"")</f>
        <v/>
      </c>
      <c r="O668" s="5" t="n">
        <v>3.251</v>
      </c>
      <c r="P668" s="5" t="n">
        <v>26.6</v>
      </c>
      <c r="Q668" s="5" t="n">
        <v>2</v>
      </c>
      <c r="R668" s="5" t="n">
        <v>0</v>
      </c>
      <c r="S668" s="5" t="n">
        <v>0</v>
      </c>
      <c r="T668" s="5" t="n">
        <v>0</v>
      </c>
      <c r="U668" s="5" t="n">
        <v>0</v>
      </c>
      <c r="V668" s="5" t="n">
        <v>0</v>
      </c>
      <c r="W668" s="5" t="n">
        <v>0</v>
      </c>
      <c r="X668" s="5" t="n">
        <v>1</v>
      </c>
      <c r="Y668" s="5" t="n">
        <v>8.130000000000001</v>
      </c>
      <c r="Z668" s="5" t="inlineStr"/>
      <c r="AA668" s="5" t="n">
        <v>1442.9</v>
      </c>
      <c r="AB668" s="5" t="n">
        <v>2558.3</v>
      </c>
      <c r="AC668" s="5" t="n">
        <v>1662.7</v>
      </c>
      <c r="AD668" s="5" t="n">
        <v>2676.4</v>
      </c>
      <c r="AE668" s="5" t="inlineStr"/>
      <c r="AF668" s="5">
        <f>IF(AE668="","",IF(OR(AE668=F668,AND(AE668="crane_footing",F668="isolated_footing")),"yes","no"))</f>
        <v/>
      </c>
    </row>
    <row r="669">
      <c r="A669" s="5" t="n">
        <v>668</v>
      </c>
      <c r="B669" s="5" t="inlineStr">
        <is>
          <t>128</t>
        </is>
      </c>
      <c r="C669" s="5" t="inlineStr">
        <is>
          <t>region between joints</t>
        </is>
      </c>
      <c r="D669" s="5" t="inlineStr">
        <is>
          <t>band</t>
        </is>
      </c>
      <c r="E669" s="5" t="n">
        <v>3</v>
      </c>
      <c r="F669" s="5" t="inlineStr">
        <is>
          <t>grade_beam</t>
        </is>
      </c>
      <c r="G669" s="5" t="inlineStr">
        <is>
          <t>Grade beam LG40x15 5.14 × 0.40 m</t>
        </is>
      </c>
      <c r="H669" s="5" t="inlineStr">
        <is>
          <t>label vote</t>
        </is>
      </c>
      <c r="I669" s="5" t="inlineStr">
        <is>
          <t>LG40x15</t>
        </is>
      </c>
      <c r="J669" s="5" t="inlineStr">
        <is>
          <t>printed label</t>
        </is>
      </c>
      <c r="K669" s="5" t="inlineStr">
        <is>
          <t>LG-40x15</t>
        </is>
      </c>
      <c r="L669" s="5" t="n">
        <v>514</v>
      </c>
      <c r="M669" s="5" t="n">
        <v>40</v>
      </c>
      <c r="N669" s="10">
        <f>IF(AND(ISNUMBER(L669),M669&gt;0),L669/M669,"")</f>
        <v/>
      </c>
      <c r="O669" s="5" t="n">
        <v>2.057</v>
      </c>
      <c r="P669" s="5" t="n">
        <v>116.6</v>
      </c>
      <c r="Q669" s="5" t="n">
        <v>2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24</v>
      </c>
      <c r="X669" s="5" t="n">
        <v>0</v>
      </c>
      <c r="Y669" s="5" t="n">
        <v>3.19</v>
      </c>
      <c r="Z669" s="5" t="inlineStr"/>
      <c r="AA669" s="5" t="n">
        <v>1560.3</v>
      </c>
      <c r="AB669" s="5" t="n">
        <v>2729.4</v>
      </c>
      <c r="AC669" s="5" t="n">
        <v>1638.9</v>
      </c>
      <c r="AD669" s="5" t="n">
        <v>2870.4</v>
      </c>
      <c r="AE669" s="5" t="inlineStr"/>
      <c r="AF669" s="5">
        <f>IF(AE669="","",IF(OR(AE669=F669,AND(AE669="crane_footing",F669="isolated_footing")),"yes","no"))</f>
        <v/>
      </c>
    </row>
    <row r="670">
      <c r="A670" s="5" t="n">
        <v>669</v>
      </c>
      <c r="B670" s="5" t="inlineStr">
        <is>
          <t>128</t>
        </is>
      </c>
      <c r="C670" s="5" t="inlineStr">
        <is>
          <t>region between joints</t>
        </is>
      </c>
      <c r="D670" s="5" t="inlineStr">
        <is>
          <t>stamped_region</t>
        </is>
      </c>
      <c r="E670" s="5" t="n">
        <v>39</v>
      </c>
      <c r="F670" s="5" t="inlineStr">
        <is>
          <t>raft</t>
        </is>
      </c>
      <c r="G670" s="5" t="inlineStr">
        <is>
          <t>Raft Radier 100 19.02 × 7.59 m, 121.6 m²</t>
        </is>
      </c>
      <c r="H670" s="5" t="inlineStr">
        <is>
          <t>label vote</t>
        </is>
      </c>
      <c r="I670" s="5" t="inlineStr">
        <is>
          <t>Radier 100</t>
        </is>
      </c>
      <c r="J670" s="5" t="inlineStr">
        <is>
          <t>printed label</t>
        </is>
      </c>
      <c r="K670" s="5" t="inlineStr">
        <is>
          <t>Radier</t>
        </is>
      </c>
      <c r="L670" s="5" t="n">
        <v>1902</v>
      </c>
      <c r="M670" s="5" t="n">
        <v>759</v>
      </c>
      <c r="N670" s="10">
        <f>IF(AND(ISNUMBER(L670),M670&gt;0),L670/M670,"")</f>
        <v/>
      </c>
      <c r="O670" s="5" t="n">
        <v>121.586</v>
      </c>
      <c r="P670" s="5" t="n">
        <v>116.6</v>
      </c>
      <c r="Q670" s="5" t="n">
        <v>16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14</v>
      </c>
      <c r="W670" s="5" t="n">
        <v>290</v>
      </c>
      <c r="X670" s="5" t="n">
        <v>46</v>
      </c>
      <c r="Y670" s="5" t="n"/>
      <c r="Z670" s="5" t="inlineStr">
        <is>
          <t>traced outline</t>
        </is>
      </c>
      <c r="AA670" s="5" t="n">
        <v>1094.7</v>
      </c>
      <c r="AB670" s="5" t="n">
        <v>2469.1</v>
      </c>
      <c r="AC670" s="5" t="n">
        <v>1546.4</v>
      </c>
      <c r="AD670" s="5" t="n">
        <v>3030.8</v>
      </c>
      <c r="AE670" s="5" t="inlineStr"/>
      <c r="AF670" s="5">
        <f>IF(AE670="","",IF(OR(AE670=F670,AND(AE670="crane_footing",F670="isolated_footing")),"yes","no"))</f>
        <v/>
      </c>
    </row>
    <row r="671">
      <c r="A671" s="5" t="n">
        <v>670</v>
      </c>
      <c r="B671" s="5" t="inlineStr">
        <is>
          <t>128</t>
        </is>
      </c>
      <c r="C671" s="5" t="inlineStr">
        <is>
          <t>region between joints</t>
        </is>
      </c>
      <c r="D671" s="5" t="inlineStr">
        <is>
          <t>stamped_region</t>
        </is>
      </c>
      <c r="E671" s="5" t="n">
        <v>39</v>
      </c>
      <c r="F671" s="5" t="inlineStr">
        <is>
          <t>raft</t>
        </is>
      </c>
      <c r="G671" s="5" t="inlineStr">
        <is>
          <t>Raft Radier 100 10.06 × 4.53 m</t>
        </is>
      </c>
      <c r="H671" s="5" t="inlineStr">
        <is>
          <t>label vote</t>
        </is>
      </c>
      <c r="I671" s="5" t="inlineStr">
        <is>
          <t>Radier 100</t>
        </is>
      </c>
      <c r="J671" s="5" t="inlineStr">
        <is>
          <t>printed label</t>
        </is>
      </c>
      <c r="K671" s="5" t="inlineStr">
        <is>
          <t>Radier1</t>
        </is>
      </c>
      <c r="L671" s="5" t="n">
        <v>1006</v>
      </c>
      <c r="M671" s="5" t="n">
        <v>453</v>
      </c>
      <c r="N671" s="10">
        <f>IF(AND(ISNUMBER(L671),M671&gt;0),L671/M671,"")</f>
        <v/>
      </c>
      <c r="O671" s="5" t="n">
        <v>45.223</v>
      </c>
      <c r="P671" s="5" t="n">
        <v>26.7</v>
      </c>
      <c r="Q671" s="5" t="n">
        <v>4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4</v>
      </c>
      <c r="W671" s="5" t="n">
        <v>33</v>
      </c>
      <c r="X671" s="5" t="n">
        <v>7</v>
      </c>
      <c r="Y671" s="5" t="n"/>
      <c r="Z671" s="5" t="inlineStr">
        <is>
          <t>traced outline</t>
        </is>
      </c>
      <c r="AA671" s="5" t="n">
        <v>1593.7</v>
      </c>
      <c r="AB671" s="5" t="n">
        <v>2593.9</v>
      </c>
      <c r="AC671" s="5" t="n">
        <v>1919.2</v>
      </c>
      <c r="AD671" s="5" t="n">
        <v>2844.8</v>
      </c>
      <c r="AE671" s="5" t="inlineStr"/>
      <c r="AF671" s="5">
        <f>IF(AE671="","",IF(OR(AE671=F671,AND(AE671="crane_footing",F671="isolated_footing")),"yes","no"))</f>
        <v/>
      </c>
    </row>
    <row r="672">
      <c r="A672" s="5" t="n">
        <v>671</v>
      </c>
      <c r="B672" s="5" t="inlineStr">
        <is>
          <t>128</t>
        </is>
      </c>
      <c r="C672" s="5" t="inlineStr">
        <is>
          <t>region between joints</t>
        </is>
      </c>
      <c r="D672" s="5" t="inlineStr">
        <is>
          <t>outline</t>
        </is>
      </c>
      <c r="E672" s="5" t="n">
        <v>11</v>
      </c>
      <c r="F672" s="5" t="inlineStr">
        <is>
          <t>sump_pit</t>
        </is>
      </c>
      <c r="G672" s="5" t="inlineStr">
        <is>
          <t>Sump pit Fosse 2.90 × 2.40 m</t>
        </is>
      </c>
      <c r="H672" s="5" t="inlineStr">
        <is>
          <t>label vote</t>
        </is>
      </c>
      <c r="I672" s="5" t="inlineStr">
        <is>
          <t>Fosse</t>
        </is>
      </c>
      <c r="J672" s="5" t="inlineStr">
        <is>
          <t>printed label</t>
        </is>
      </c>
      <c r="K672" s="5" t="inlineStr">
        <is>
          <t>FOSSE DE RELEVAGE2.00x1.50x1.50</t>
        </is>
      </c>
      <c r="L672" s="5" t="n">
        <v>290</v>
      </c>
      <c r="M672" s="5" t="n">
        <v>240</v>
      </c>
      <c r="N672" s="10">
        <f>IF(AND(ISNUMBER(L672),M672&gt;0),L672/M672,"")</f>
        <v/>
      </c>
      <c r="O672" s="5" t="n">
        <v>6.961</v>
      </c>
      <c r="P672" s="5" t="n">
        <v>26.7</v>
      </c>
      <c r="Q672" s="5" t="n">
        <v>1</v>
      </c>
      <c r="R672" s="5" t="n">
        <v>0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13</v>
      </c>
      <c r="X672" s="5" t="n">
        <v>0</v>
      </c>
      <c r="Y672" s="5" t="n"/>
      <c r="Z672" s="5" t="inlineStr"/>
      <c r="AA672" s="5" t="n">
        <v>1443.6</v>
      </c>
      <c r="AB672" s="5" t="n">
        <v>2758.1</v>
      </c>
      <c r="AC672" s="5" t="n">
        <v>1551.9</v>
      </c>
      <c r="AD672" s="5" t="n">
        <v>2859.9</v>
      </c>
      <c r="AE672" s="5" t="inlineStr"/>
      <c r="AF672" s="5">
        <f>IF(AE672="","",IF(OR(AE672=F672,AND(AE672="crane_footing",F672="isolated_footing")),"yes","no"))</f>
        <v/>
      </c>
    </row>
    <row r="673">
      <c r="A673" s="5" t="n">
        <v>672</v>
      </c>
      <c r="B673" s="5" t="inlineStr">
        <is>
          <t>128</t>
        </is>
      </c>
      <c r="C673" s="5" t="inlineStr">
        <is>
          <t>region between joints</t>
        </is>
      </c>
      <c r="D673" s="5" t="inlineStr">
        <is>
          <t>outline</t>
        </is>
      </c>
      <c r="E673" s="5" t="n">
        <v>20</v>
      </c>
      <c r="F673" s="5" t="inlineStr">
        <is>
          <t>unidentified</t>
        </is>
      </c>
      <c r="G673" s="5" t="inlineStr">
        <is>
          <t>C20</t>
        </is>
      </c>
      <c r="H673" s="5" t="inlineStr">
        <is>
          <t>no label votes</t>
        </is>
      </c>
      <c r="I673" s="5" t="inlineStr">
        <is>
          <t>(none)</t>
        </is>
      </c>
      <c r="J673" s="5" t="inlineStr"/>
      <c r="K673" s="5" t="inlineStr"/>
      <c r="L673" s="5" t="n">
        <v>60</v>
      </c>
      <c r="M673" s="5" t="n">
        <v>60</v>
      </c>
      <c r="N673" s="10">
        <f>IF(AND(ISNUMBER(L673),M673&gt;0),L673/M673,"")</f>
        <v/>
      </c>
      <c r="O673" s="5" t="n">
        <v>0.361</v>
      </c>
      <c r="P673" s="5" t="n">
        <v>116.6</v>
      </c>
      <c r="Q673" s="5" t="n">
        <v>0</v>
      </c>
      <c r="R673" s="5" t="n">
        <v>1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91</v>
      </c>
      <c r="X673" s="5" t="n">
        <v>1</v>
      </c>
      <c r="Y673" s="5" t="n"/>
      <c r="Z673" s="5" t="inlineStr"/>
      <c r="AA673" s="5" t="n">
        <v>1581.4</v>
      </c>
      <c r="AB673" s="5" t="n">
        <v>2332.8</v>
      </c>
      <c r="AC673" s="5" t="n">
        <v>1605.2</v>
      </c>
      <c r="AD673" s="5" t="n">
        <v>2356.6</v>
      </c>
      <c r="AE673" s="5" t="inlineStr">
        <is>
          <t>mass_concrete_pad</t>
        </is>
      </c>
      <c r="AF673" s="5">
        <f>IF(AE673="","",IF(OR(AE673=F673,AND(AE673="crane_footing",F673="isolated_footing")),"yes","no"))</f>
        <v/>
      </c>
    </row>
    <row r="674">
      <c r="A674" s="5" t="n">
        <v>673</v>
      </c>
      <c r="B674" s="5" t="inlineStr">
        <is>
          <t>128</t>
        </is>
      </c>
      <c r="C674" s="5" t="inlineStr">
        <is>
          <t>region between joints</t>
        </is>
      </c>
      <c r="D674" s="5" t="inlineStr">
        <is>
          <t>outline</t>
        </is>
      </c>
      <c r="E674" s="5" t="n">
        <v>20</v>
      </c>
      <c r="F674" s="5" t="inlineStr">
        <is>
          <t>unidentified</t>
        </is>
      </c>
      <c r="G674" s="5" t="inlineStr">
        <is>
          <t>C20</t>
        </is>
      </c>
      <c r="H674" s="5" t="inlineStr">
        <is>
          <t>no label votes</t>
        </is>
      </c>
      <c r="I674" s="5" t="inlineStr">
        <is>
          <t>(none)</t>
        </is>
      </c>
      <c r="J674" s="5" t="inlineStr"/>
      <c r="K674" s="5" t="inlineStr"/>
      <c r="L674" s="5" t="n">
        <v>60</v>
      </c>
      <c r="M674" s="5" t="n">
        <v>60</v>
      </c>
      <c r="N674" s="10">
        <f>IF(AND(ISNUMBER(L674),M674&gt;0),L674/M674,"")</f>
        <v/>
      </c>
      <c r="O674" s="5" t="n">
        <v>0.359</v>
      </c>
      <c r="P674" s="5" t="n">
        <v>26.7</v>
      </c>
      <c r="Q674" s="5" t="n">
        <v>0</v>
      </c>
      <c r="R674" s="5" t="n">
        <v>1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86</v>
      </c>
      <c r="X674" s="5" t="n">
        <v>1</v>
      </c>
      <c r="Y674" s="5" t="n"/>
      <c r="Z674" s="5" t="inlineStr"/>
      <c r="AA674" s="5" t="n">
        <v>1578.7</v>
      </c>
      <c r="AB674" s="5" t="n">
        <v>2338.1</v>
      </c>
      <c r="AC674" s="5" t="n">
        <v>1602.5</v>
      </c>
      <c r="AD674" s="5" t="n">
        <v>2361.9</v>
      </c>
      <c r="AE674" s="5" t="inlineStr"/>
      <c r="AF674" s="5">
        <f>IF(AE674="","",IF(OR(AE674=F674,AND(AE674="crane_footing",F674="isolated_footing")),"yes","no"))</f>
        <v/>
      </c>
    </row>
    <row r="675">
      <c r="A675" s="5" t="n">
        <v>674</v>
      </c>
      <c r="B675" s="5" t="inlineStr">
        <is>
          <t>128</t>
        </is>
      </c>
      <c r="C675" s="5" t="inlineStr">
        <is>
          <t>region between joints</t>
        </is>
      </c>
      <c r="D675" s="5" t="inlineStr">
        <is>
          <t>outline</t>
        </is>
      </c>
      <c r="E675" s="5" t="n">
        <v>18</v>
      </c>
      <c r="F675" s="5" t="inlineStr">
        <is>
          <t>unidentified</t>
        </is>
      </c>
      <c r="G675" s="5" t="inlineStr">
        <is>
          <t>C18</t>
        </is>
      </c>
      <c r="H675" s="5" t="inlineStr">
        <is>
          <t>no label votes</t>
        </is>
      </c>
      <c r="I675" s="5" t="inlineStr">
        <is>
          <t>(none)</t>
        </is>
      </c>
      <c r="J675" s="5" t="inlineStr"/>
      <c r="K675" s="5" t="inlineStr"/>
      <c r="L675" s="5" t="n">
        <v>87</v>
      </c>
      <c r="M675" s="5" t="n">
        <v>25</v>
      </c>
      <c r="N675" s="10">
        <f>IF(AND(ISNUMBER(L675),M675&gt;0),L675/M675,"")</f>
        <v/>
      </c>
      <c r="O675" s="5" t="n">
        <v>0.218</v>
      </c>
      <c r="P675" s="5" t="n">
        <v>116.7</v>
      </c>
      <c r="Q675" s="5" t="n">
        <v>2</v>
      </c>
      <c r="R675" s="5" t="n">
        <v>0</v>
      </c>
      <c r="S675" s="5" t="n">
        <v>0</v>
      </c>
      <c r="T675" s="5" t="n">
        <v>1</v>
      </c>
      <c r="U675" s="5" t="n">
        <v>0</v>
      </c>
      <c r="V675" s="5" t="n">
        <v>0</v>
      </c>
      <c r="W675" s="5" t="n">
        <v>2</v>
      </c>
      <c r="X675" s="5" t="n">
        <v>0</v>
      </c>
      <c r="Y675" s="5" t="n"/>
      <c r="Z675" s="5" t="inlineStr"/>
      <c r="AA675" s="5" t="n">
        <v>1409.8</v>
      </c>
      <c r="AB675" s="5" t="n">
        <v>2692.7</v>
      </c>
      <c r="AC675" s="5" t="n">
        <v>1427.9</v>
      </c>
      <c r="AD675" s="5" t="n">
        <v>2719</v>
      </c>
      <c r="AE675" s="5" t="inlineStr"/>
      <c r="AF675" s="5">
        <f>IF(AE675="","",IF(OR(AE675=F675,AND(AE675="crane_footing",F675="isolated_footing")),"yes","no"))</f>
        <v/>
      </c>
    </row>
    <row r="676">
      <c r="A676" s="5" t="n">
        <v>675</v>
      </c>
      <c r="B676" s="5" t="inlineStr">
        <is>
          <t>128</t>
        </is>
      </c>
      <c r="C676" s="5" t="inlineStr">
        <is>
          <t>nearest labels</t>
        </is>
      </c>
      <c r="D676" s="5" t="inlineStr">
        <is>
          <t>band</t>
        </is>
      </c>
      <c r="E676" s="5" t="n">
        <v>0</v>
      </c>
      <c r="F676" s="5" t="inlineStr">
        <is>
          <t>unidentified</t>
        </is>
      </c>
      <c r="G676" s="5" t="inlineStr">
        <is>
          <t>C0</t>
        </is>
      </c>
      <c r="H676" s="5" t="inlineStr">
        <is>
          <t>no label votes</t>
        </is>
      </c>
      <c r="I676" s="5" t="inlineStr">
        <is>
          <t>(none)</t>
        </is>
      </c>
      <c r="J676" s="5" t="inlineStr"/>
      <c r="K676" s="5" t="inlineStr"/>
      <c r="L676" s="5" t="n">
        <v>1334</v>
      </c>
      <c r="M676" s="5" t="n">
        <v>10</v>
      </c>
      <c r="N676" s="10">
        <f>IF(AND(ISNUMBER(L676),M676&gt;0),L676/M676,"")</f>
        <v/>
      </c>
      <c r="O676" s="5" t="n">
        <v>1.347</v>
      </c>
      <c r="P676" s="5" t="n">
        <v>140.9</v>
      </c>
      <c r="Q676" s="5" t="n">
        <v>5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13</v>
      </c>
      <c r="X676" s="5" t="n">
        <v>4</v>
      </c>
      <c r="Y676" s="5" t="n">
        <v>8.09</v>
      </c>
      <c r="Z676" s="5" t="inlineStr"/>
      <c r="AA676" s="5" t="n">
        <v>1234.9</v>
      </c>
      <c r="AB676" s="5" t="n">
        <v>2172.3</v>
      </c>
      <c r="AC676" s="5" t="n">
        <v>1542.4</v>
      </c>
      <c r="AD676" s="5" t="n">
        <v>2423</v>
      </c>
      <c r="AE676" s="5" t="inlineStr"/>
      <c r="AF676" s="5">
        <f>IF(AE676="","",IF(OR(AE676=F676,AND(AE676="crane_footing",F676="isolated_footing")),"yes","no"))</f>
        <v/>
      </c>
    </row>
    <row r="677">
      <c r="A677" s="5" t="n">
        <v>676</v>
      </c>
      <c r="B677" s="5" t="inlineStr">
        <is>
          <t>128</t>
        </is>
      </c>
      <c r="C677" s="5" t="inlineStr">
        <is>
          <t>region between joints</t>
        </is>
      </c>
      <c r="D677" s="5" t="inlineStr">
        <is>
          <t>band</t>
        </is>
      </c>
      <c r="E677" s="5" t="n">
        <v>2</v>
      </c>
      <c r="F677" s="5" t="inlineStr">
        <is>
          <t>unidentified</t>
        </is>
      </c>
      <c r="G677" s="5" t="inlineStr">
        <is>
          <t>C2</t>
        </is>
      </c>
      <c r="H677" s="5" t="inlineStr">
        <is>
          <t>no label votes</t>
        </is>
      </c>
      <c r="I677" s="5" t="inlineStr">
        <is>
          <t>(none)</t>
        </is>
      </c>
      <c r="J677" s="5" t="inlineStr"/>
      <c r="K677" s="5" t="inlineStr"/>
      <c r="L677" s="5" t="n">
        <v>232</v>
      </c>
      <c r="M677" s="5" t="n">
        <v>32</v>
      </c>
      <c r="N677" s="10">
        <f>IF(AND(ISNUMBER(L677),M677&gt;0),L677/M677,"")</f>
        <v/>
      </c>
      <c r="O677" s="5" t="n">
        <v>0.739</v>
      </c>
      <c r="P677" s="5" t="n">
        <v>1.7</v>
      </c>
      <c r="Q677" s="5" t="n">
        <v>1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0</v>
      </c>
      <c r="X677" s="5" t="n">
        <v>3</v>
      </c>
      <c r="Y677" s="5" t="n">
        <v>1.27</v>
      </c>
      <c r="Z677" s="5" t="inlineStr"/>
      <c r="AA677" s="5" t="n">
        <v>876.5</v>
      </c>
      <c r="AB677" s="5" t="n">
        <v>2722.7</v>
      </c>
      <c r="AC677" s="5" t="n">
        <v>945.4</v>
      </c>
      <c r="AD677" s="5" t="n">
        <v>2734.1</v>
      </c>
      <c r="AE677" s="5" t="inlineStr"/>
      <c r="AF677" s="5">
        <f>IF(AE677="","",IF(OR(AE677=F677,AND(AE677="crane_footing",F677="isolated_footing")),"yes","no"))</f>
        <v/>
      </c>
    </row>
    <row r="678">
      <c r="A678" s="5" t="n">
        <v>677</v>
      </c>
      <c r="B678" s="5" t="inlineStr">
        <is>
          <t>128</t>
        </is>
      </c>
      <c r="C678" s="5" t="inlineStr">
        <is>
          <t>region between joints</t>
        </is>
      </c>
      <c r="D678" s="5" t="inlineStr">
        <is>
          <t>band</t>
        </is>
      </c>
      <c r="E678" s="5" t="n">
        <v>2</v>
      </c>
      <c r="F678" s="5" t="inlineStr">
        <is>
          <t>unidentified</t>
        </is>
      </c>
      <c r="G678" s="5" t="inlineStr">
        <is>
          <t>C2</t>
        </is>
      </c>
      <c r="H678" s="5" t="inlineStr">
        <is>
          <t>no label votes</t>
        </is>
      </c>
      <c r="I678" s="5" t="inlineStr">
        <is>
          <t>(none)</t>
        </is>
      </c>
      <c r="J678" s="5" t="inlineStr"/>
      <c r="K678" s="5" t="inlineStr"/>
      <c r="L678" s="5" t="n">
        <v>232</v>
      </c>
      <c r="M678" s="5" t="n">
        <v>32</v>
      </c>
      <c r="N678" s="10">
        <f>IF(AND(ISNUMBER(L678),M678&gt;0),L678/M678,"")</f>
        <v/>
      </c>
      <c r="O678" s="5" t="n">
        <v>0.738</v>
      </c>
      <c r="P678" s="5" t="n">
        <v>1.7</v>
      </c>
      <c r="Q678" s="5" t="n">
        <v>1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0</v>
      </c>
      <c r="X678" s="5" t="n">
        <v>4</v>
      </c>
      <c r="Y678" s="5" t="n">
        <v>1.91</v>
      </c>
      <c r="Z678" s="5" t="inlineStr"/>
      <c r="AA678" s="5" t="n">
        <v>887.7</v>
      </c>
      <c r="AB678" s="5" t="n">
        <v>2713.7</v>
      </c>
      <c r="AC678" s="5" t="n">
        <v>956.5</v>
      </c>
      <c r="AD678" s="5" t="n">
        <v>2725</v>
      </c>
      <c r="AE678" s="5" t="inlineStr"/>
      <c r="AF678" s="5">
        <f>IF(AE678="","",IF(OR(AE678=F678,AND(AE678="crane_footing",F678="isolated_footing")),"yes","no"))</f>
        <v/>
      </c>
    </row>
    <row r="679">
      <c r="A679" s="5" t="n">
        <v>678</v>
      </c>
      <c r="B679" s="5" t="inlineStr">
        <is>
          <t>128</t>
        </is>
      </c>
      <c r="C679" s="5" t="inlineStr">
        <is>
          <t>region between joints</t>
        </is>
      </c>
      <c r="D679" s="5" t="inlineStr">
        <is>
          <t>band</t>
        </is>
      </c>
      <c r="E679" s="5" t="n">
        <v>2</v>
      </c>
      <c r="F679" s="5" t="inlineStr">
        <is>
          <t>unidentified</t>
        </is>
      </c>
      <c r="G679" s="5" t="inlineStr">
        <is>
          <t>C2</t>
        </is>
      </c>
      <c r="H679" s="5" t="inlineStr">
        <is>
          <t>no label votes</t>
        </is>
      </c>
      <c r="I679" s="5" t="inlineStr">
        <is>
          <t>(none)</t>
        </is>
      </c>
      <c r="J679" s="5" t="inlineStr"/>
      <c r="K679" s="5" t="inlineStr"/>
      <c r="L679" s="5" t="n">
        <v>232</v>
      </c>
      <c r="M679" s="5" t="n">
        <v>32</v>
      </c>
      <c r="N679" s="10">
        <f>IF(AND(ISNUMBER(L679),M679&gt;0),L679/M679,"")</f>
        <v/>
      </c>
      <c r="O679" s="5" t="n">
        <v>0.737</v>
      </c>
      <c r="P679" s="5" t="n">
        <v>1.7</v>
      </c>
      <c r="Q679" s="5" t="n">
        <v>1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0</v>
      </c>
      <c r="W679" s="5" t="n">
        <v>0</v>
      </c>
      <c r="X679" s="5" t="n">
        <v>4</v>
      </c>
      <c r="Y679" s="5" t="n">
        <v>2.32</v>
      </c>
      <c r="Z679" s="5" t="inlineStr"/>
      <c r="AA679" s="5" t="n">
        <v>898.9</v>
      </c>
      <c r="AB679" s="5" t="n">
        <v>2704.6</v>
      </c>
      <c r="AC679" s="5" t="n">
        <v>967.5</v>
      </c>
      <c r="AD679" s="5" t="n">
        <v>2716</v>
      </c>
      <c r="AE679" s="5" t="inlineStr"/>
      <c r="AF679" s="5">
        <f>IF(AE679="","",IF(OR(AE679=F679,AND(AE679="crane_footing",F679="isolated_footing")),"yes","no"))</f>
        <v/>
      </c>
    </row>
    <row r="680">
      <c r="A680" s="5" t="n">
        <v>679</v>
      </c>
      <c r="B680" s="5" t="inlineStr">
        <is>
          <t>128</t>
        </is>
      </c>
      <c r="C680" s="5" t="inlineStr">
        <is>
          <t>region between joints</t>
        </is>
      </c>
      <c r="D680" s="5" t="inlineStr">
        <is>
          <t>band</t>
        </is>
      </c>
      <c r="E680" s="5" t="n">
        <v>2</v>
      </c>
      <c r="F680" s="5" t="inlineStr">
        <is>
          <t>unidentified</t>
        </is>
      </c>
      <c r="G680" s="5" t="inlineStr">
        <is>
          <t>C2</t>
        </is>
      </c>
      <c r="H680" s="5" t="inlineStr">
        <is>
          <t>no label votes</t>
        </is>
      </c>
      <c r="I680" s="5" t="inlineStr">
        <is>
          <t>(none)</t>
        </is>
      </c>
      <c r="J680" s="5" t="inlineStr"/>
      <c r="K680" s="5" t="inlineStr"/>
      <c r="L680" s="5" t="n">
        <v>231</v>
      </c>
      <c r="M680" s="5" t="n">
        <v>32</v>
      </c>
      <c r="N680" s="10">
        <f>IF(AND(ISNUMBER(L680),M680&gt;0),L680/M680,"")</f>
        <v/>
      </c>
      <c r="O680" s="5" t="n">
        <v>0.736</v>
      </c>
      <c r="P680" s="5" t="n">
        <v>1.7</v>
      </c>
      <c r="Q680" s="5" t="n">
        <v>1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0</v>
      </c>
      <c r="X680" s="5" t="n">
        <v>4</v>
      </c>
      <c r="Y680" s="5" t="n">
        <v>2.31</v>
      </c>
      <c r="Z680" s="5" t="inlineStr"/>
      <c r="AA680" s="5" t="n">
        <v>910</v>
      </c>
      <c r="AB680" s="5" t="n">
        <v>2695.5</v>
      </c>
      <c r="AC680" s="5" t="n">
        <v>978.6</v>
      </c>
      <c r="AD680" s="5" t="n">
        <v>2706.9</v>
      </c>
      <c r="AE680" s="5" t="inlineStr"/>
      <c r="AF680" s="5">
        <f>IF(AE680="","",IF(OR(AE680=F680,AND(AE680="crane_footing",F680="isolated_footing")),"yes","no"))</f>
        <v/>
      </c>
    </row>
    <row r="681">
      <c r="A681" s="5" t="n">
        <v>680</v>
      </c>
      <c r="B681" s="5" t="inlineStr">
        <is>
          <t>128</t>
        </is>
      </c>
      <c r="C681" s="5" t="inlineStr">
        <is>
          <t>region between joints</t>
        </is>
      </c>
      <c r="D681" s="5" t="inlineStr">
        <is>
          <t>band</t>
        </is>
      </c>
      <c r="E681" s="5" t="n">
        <v>2</v>
      </c>
      <c r="F681" s="5" t="inlineStr">
        <is>
          <t>unidentified</t>
        </is>
      </c>
      <c r="G681" s="5" t="inlineStr">
        <is>
          <t>C2</t>
        </is>
      </c>
      <c r="H681" s="5" t="inlineStr">
        <is>
          <t>no label votes</t>
        </is>
      </c>
      <c r="I681" s="5" t="inlineStr">
        <is>
          <t>(none)</t>
        </is>
      </c>
      <c r="J681" s="5" t="inlineStr"/>
      <c r="K681" s="5" t="inlineStr"/>
      <c r="L681" s="5" t="n">
        <v>231</v>
      </c>
      <c r="M681" s="5" t="n">
        <v>32</v>
      </c>
      <c r="N681" s="10">
        <f>IF(AND(ISNUMBER(L681),M681&gt;0),L681/M681,"")</f>
        <v/>
      </c>
      <c r="O681" s="5" t="n">
        <v>0.735</v>
      </c>
      <c r="P681" s="5" t="n">
        <v>1.6</v>
      </c>
      <c r="Q681" s="5" t="n">
        <v>1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1</v>
      </c>
      <c r="X681" s="5" t="n">
        <v>4</v>
      </c>
      <c r="Y681" s="5" t="n">
        <v>2.31</v>
      </c>
      <c r="Z681" s="5" t="inlineStr"/>
      <c r="AA681" s="5" t="n">
        <v>921.2</v>
      </c>
      <c r="AB681" s="5" t="n">
        <v>2686.5</v>
      </c>
      <c r="AC681" s="5" t="n">
        <v>989.7</v>
      </c>
      <c r="AD681" s="5" t="n">
        <v>2697.8</v>
      </c>
      <c r="AE681" s="5" t="inlineStr"/>
      <c r="AF681" s="5">
        <f>IF(AE681="","",IF(OR(AE681=F681,AND(AE681="crane_footing",F681="isolated_footing")),"yes","no"))</f>
        <v/>
      </c>
    </row>
    <row r="682">
      <c r="A682" s="5" t="n">
        <v>681</v>
      </c>
      <c r="B682" s="5" t="inlineStr">
        <is>
          <t>128</t>
        </is>
      </c>
      <c r="C682" s="5" t="inlineStr">
        <is>
          <t>region between joints</t>
        </is>
      </c>
      <c r="D682" s="5" t="inlineStr">
        <is>
          <t>band</t>
        </is>
      </c>
      <c r="E682" s="5" t="n">
        <v>2</v>
      </c>
      <c r="F682" s="5" t="inlineStr">
        <is>
          <t>unidentified</t>
        </is>
      </c>
      <c r="G682" s="5" t="inlineStr">
        <is>
          <t>C2</t>
        </is>
      </c>
      <c r="H682" s="5" t="inlineStr">
        <is>
          <t>no label votes</t>
        </is>
      </c>
      <c r="I682" s="5" t="inlineStr">
        <is>
          <t>(none)</t>
        </is>
      </c>
      <c r="J682" s="5" t="inlineStr"/>
      <c r="K682" s="5" t="inlineStr"/>
      <c r="L682" s="5" t="n">
        <v>231</v>
      </c>
      <c r="M682" s="5" t="n">
        <v>32</v>
      </c>
      <c r="N682" s="10">
        <f>IF(AND(ISNUMBER(L682),M682&gt;0),L682/M682,"")</f>
        <v/>
      </c>
      <c r="O682" s="5" t="n">
        <v>0.735</v>
      </c>
      <c r="P682" s="5" t="n">
        <v>1.6</v>
      </c>
      <c r="Q682" s="5" t="n">
        <v>1</v>
      </c>
      <c r="R682" s="5" t="n">
        <v>1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0</v>
      </c>
      <c r="X682" s="5" t="n">
        <v>3</v>
      </c>
      <c r="Y682" s="5" t="n">
        <v>0.63</v>
      </c>
      <c r="Z682" s="5" t="inlineStr"/>
      <c r="AA682" s="5" t="n">
        <v>865.9</v>
      </c>
      <c r="AB682" s="5" t="n">
        <v>2731.8</v>
      </c>
      <c r="AC682" s="5" t="n">
        <v>934.3</v>
      </c>
      <c r="AD682" s="5" t="n">
        <v>2743.2</v>
      </c>
      <c r="AE682" s="5" t="inlineStr"/>
      <c r="AF682" s="5">
        <f>IF(AE682="","",IF(OR(AE682=F682,AND(AE682="crane_footing",F682="isolated_footing")),"yes","no"))</f>
        <v/>
      </c>
    </row>
    <row r="683">
      <c r="A683" s="5" t="n">
        <v>682</v>
      </c>
      <c r="B683" s="5" t="inlineStr">
        <is>
          <t>128</t>
        </is>
      </c>
      <c r="C683" s="5" t="inlineStr">
        <is>
          <t>region between joints</t>
        </is>
      </c>
      <c r="D683" s="5" t="inlineStr">
        <is>
          <t>band</t>
        </is>
      </c>
      <c r="E683" s="5" t="n">
        <v>2</v>
      </c>
      <c r="F683" s="5" t="inlineStr">
        <is>
          <t>unidentified</t>
        </is>
      </c>
      <c r="G683" s="5" t="inlineStr">
        <is>
          <t>C2</t>
        </is>
      </c>
      <c r="H683" s="5" t="inlineStr">
        <is>
          <t>no label votes</t>
        </is>
      </c>
      <c r="I683" s="5" t="inlineStr">
        <is>
          <t>(none)</t>
        </is>
      </c>
      <c r="J683" s="5" t="inlineStr"/>
      <c r="K683" s="5" t="inlineStr"/>
      <c r="L683" s="5" t="n">
        <v>231</v>
      </c>
      <c r="M683" s="5" t="n">
        <v>32</v>
      </c>
      <c r="N683" s="10">
        <f>IF(AND(ISNUMBER(L683),M683&gt;0),L683/M683,"")</f>
        <v/>
      </c>
      <c r="O683" s="5" t="n">
        <v>0.734</v>
      </c>
      <c r="P683" s="5" t="n">
        <v>1.6</v>
      </c>
      <c r="Q683" s="5" t="n">
        <v>1</v>
      </c>
      <c r="R683" s="5" t="n">
        <v>0</v>
      </c>
      <c r="S683" s="5" t="n">
        <v>0</v>
      </c>
      <c r="T683" s="5" t="n">
        <v>0</v>
      </c>
      <c r="U683" s="5" t="n">
        <v>0</v>
      </c>
      <c r="V683" s="5" t="n">
        <v>0</v>
      </c>
      <c r="W683" s="5" t="n">
        <v>0</v>
      </c>
      <c r="X683" s="5" t="n">
        <v>4</v>
      </c>
      <c r="Y683" s="5" t="n">
        <v>2.31</v>
      </c>
      <c r="Z683" s="5" t="inlineStr"/>
      <c r="AA683" s="5" t="n">
        <v>932.4</v>
      </c>
      <c r="AB683" s="5" t="n">
        <v>2677.5</v>
      </c>
      <c r="AC683" s="5" t="n">
        <v>1000.8</v>
      </c>
      <c r="AD683" s="5" t="n">
        <v>2688.8</v>
      </c>
      <c r="AE683" s="5" t="inlineStr"/>
      <c r="AF683" s="5">
        <f>IF(AE683="","",IF(OR(AE683=F683,AND(AE683="crane_footing",F683="isolated_footing")),"yes","no"))</f>
        <v/>
      </c>
    </row>
    <row r="684">
      <c r="A684" s="5" t="n">
        <v>683</v>
      </c>
      <c r="B684" s="5" t="inlineStr">
        <is>
          <t>128</t>
        </is>
      </c>
      <c r="C684" s="5" t="inlineStr">
        <is>
          <t>region between joints</t>
        </is>
      </c>
      <c r="D684" s="5" t="inlineStr">
        <is>
          <t>band</t>
        </is>
      </c>
      <c r="E684" s="5" t="n">
        <v>2</v>
      </c>
      <c r="F684" s="5" t="inlineStr">
        <is>
          <t>unidentified</t>
        </is>
      </c>
      <c r="G684" s="5" t="inlineStr">
        <is>
          <t>C2</t>
        </is>
      </c>
      <c r="H684" s="5" t="inlineStr">
        <is>
          <t>no label votes</t>
        </is>
      </c>
      <c r="I684" s="5" t="inlineStr">
        <is>
          <t>(none)</t>
        </is>
      </c>
      <c r="J684" s="5" t="inlineStr"/>
      <c r="K684" s="5" t="inlineStr"/>
      <c r="L684" s="5" t="n">
        <v>230</v>
      </c>
      <c r="M684" s="5" t="n">
        <v>32</v>
      </c>
      <c r="N684" s="10">
        <f>IF(AND(ISNUMBER(L684),M684&gt;0),L684/M684,"")</f>
        <v/>
      </c>
      <c r="O684" s="5" t="n">
        <v>0.732</v>
      </c>
      <c r="P684" s="5" t="n">
        <v>1.6</v>
      </c>
      <c r="Q684" s="5" t="n">
        <v>1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1</v>
      </c>
      <c r="X684" s="5" t="n">
        <v>4</v>
      </c>
      <c r="Y684" s="5" t="n">
        <v>2.19</v>
      </c>
      <c r="Z684" s="5" t="inlineStr"/>
      <c r="AA684" s="5" t="n">
        <v>943.6</v>
      </c>
      <c r="AB684" s="5" t="n">
        <v>2668.4</v>
      </c>
      <c r="AC684" s="5" t="n">
        <v>1011.8</v>
      </c>
      <c r="AD684" s="5" t="n">
        <v>2679.7</v>
      </c>
      <c r="AE684" s="5" t="inlineStr"/>
      <c r="AF684" s="5">
        <f>IF(AE684="","",IF(OR(AE684=F684,AND(AE684="crane_footing",F684="isolated_footing")),"yes","no"))</f>
        <v/>
      </c>
    </row>
    <row r="685">
      <c r="A685" s="5" t="n">
        <v>684</v>
      </c>
      <c r="B685" s="5" t="inlineStr">
        <is>
          <t>128</t>
        </is>
      </c>
      <c r="C685" s="5" t="inlineStr">
        <is>
          <t>region between joints</t>
        </is>
      </c>
      <c r="D685" s="5" t="inlineStr">
        <is>
          <t>band</t>
        </is>
      </c>
      <c r="E685" s="5" t="n">
        <v>2</v>
      </c>
      <c r="F685" s="5" t="inlineStr">
        <is>
          <t>unidentified</t>
        </is>
      </c>
      <c r="G685" s="5" t="inlineStr">
        <is>
          <t>C2</t>
        </is>
      </c>
      <c r="H685" s="5" t="inlineStr">
        <is>
          <t>no label votes</t>
        </is>
      </c>
      <c r="I685" s="5" t="inlineStr">
        <is>
          <t>(none)</t>
        </is>
      </c>
      <c r="J685" s="5" t="inlineStr"/>
      <c r="K685" s="5" t="inlineStr"/>
      <c r="L685" s="5" t="n">
        <v>230</v>
      </c>
      <c r="M685" s="5" t="n">
        <v>32</v>
      </c>
      <c r="N685" s="10">
        <f>IF(AND(ISNUMBER(L685),M685&gt;0),L685/M685,"")</f>
        <v/>
      </c>
      <c r="O685" s="5" t="n">
        <v>0.732</v>
      </c>
      <c r="P685" s="5" t="n">
        <v>1.6</v>
      </c>
      <c r="Q685" s="5" t="n">
        <v>1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0</v>
      </c>
      <c r="X685" s="5" t="n">
        <v>4</v>
      </c>
      <c r="Y685" s="5" t="n">
        <v>1.55</v>
      </c>
      <c r="Z685" s="5" t="inlineStr"/>
      <c r="AA685" s="5" t="n">
        <v>954.7</v>
      </c>
      <c r="AB685" s="5" t="n">
        <v>2659.3</v>
      </c>
      <c r="AC685" s="5" t="n">
        <v>1022.9</v>
      </c>
      <c r="AD685" s="5" t="n">
        <v>2670.7</v>
      </c>
      <c r="AE685" s="5" t="inlineStr"/>
      <c r="AF685" s="5">
        <f>IF(AE685="","",IF(OR(AE685=F685,AND(AE685="crane_footing",F685="isolated_footing")),"yes","no"))</f>
        <v/>
      </c>
    </row>
    <row r="686">
      <c r="A686" s="5" t="n">
        <v>685</v>
      </c>
      <c r="B686" s="5" t="inlineStr">
        <is>
          <t>128</t>
        </is>
      </c>
      <c r="C686" s="5" t="inlineStr">
        <is>
          <t>region between joints</t>
        </is>
      </c>
      <c r="D686" s="5" t="inlineStr">
        <is>
          <t>band</t>
        </is>
      </c>
      <c r="E686" s="5" t="n">
        <v>2</v>
      </c>
      <c r="F686" s="5" t="inlineStr">
        <is>
          <t>unidentified</t>
        </is>
      </c>
      <c r="G686" s="5" t="inlineStr">
        <is>
          <t>C2</t>
        </is>
      </c>
      <c r="H686" s="5" t="inlineStr">
        <is>
          <t>no label votes</t>
        </is>
      </c>
      <c r="I686" s="5" t="inlineStr">
        <is>
          <t>(none)</t>
        </is>
      </c>
      <c r="J686" s="5" t="inlineStr"/>
      <c r="K686" s="5" t="inlineStr"/>
      <c r="L686" s="5" t="n">
        <v>230</v>
      </c>
      <c r="M686" s="5" t="n">
        <v>32</v>
      </c>
      <c r="N686" s="10">
        <f>IF(AND(ISNUMBER(L686),M686&gt;0),L686/M686,"")</f>
        <v/>
      </c>
      <c r="O686" s="5" t="n">
        <v>0.73</v>
      </c>
      <c r="P686" s="5" t="n">
        <v>1.6</v>
      </c>
      <c r="Q686" s="5" t="n">
        <v>1</v>
      </c>
      <c r="R686" s="5" t="n">
        <v>1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0</v>
      </c>
      <c r="X686" s="5" t="n">
        <v>4</v>
      </c>
      <c r="Y686" s="5" t="n">
        <v>0.9</v>
      </c>
      <c r="Z686" s="5" t="inlineStr"/>
      <c r="AA686" s="5" t="n">
        <v>965.9</v>
      </c>
      <c r="AB686" s="5" t="n">
        <v>2650.3</v>
      </c>
      <c r="AC686" s="5" t="n">
        <v>1034</v>
      </c>
      <c r="AD686" s="5" t="n">
        <v>2661.6</v>
      </c>
      <c r="AE686" s="5" t="inlineStr"/>
      <c r="AF686" s="5">
        <f>IF(AE686="","",IF(OR(AE686=F686,AND(AE686="crane_footing",F686="isolated_footing")),"yes","no"))</f>
        <v/>
      </c>
    </row>
    <row r="687">
      <c r="A687" s="5" t="n">
        <v>686</v>
      </c>
      <c r="B687" s="5" t="inlineStr">
        <is>
          <t>128</t>
        </is>
      </c>
      <c r="C687" s="5" t="inlineStr">
        <is>
          <t>region between joints</t>
        </is>
      </c>
      <c r="D687" s="5" t="inlineStr">
        <is>
          <t>band</t>
        </is>
      </c>
      <c r="E687" s="5" t="n">
        <v>2</v>
      </c>
      <c r="F687" s="5" t="inlineStr">
        <is>
          <t>unidentified</t>
        </is>
      </c>
      <c r="G687" s="5" t="inlineStr">
        <is>
          <t>C2</t>
        </is>
      </c>
      <c r="H687" s="5" t="inlineStr">
        <is>
          <t>no label votes</t>
        </is>
      </c>
      <c r="I687" s="5" t="inlineStr">
        <is>
          <t>(none)</t>
        </is>
      </c>
      <c r="J687" s="5" t="inlineStr"/>
      <c r="K687" s="5" t="inlineStr"/>
      <c r="L687" s="5" t="n">
        <v>229</v>
      </c>
      <c r="M687" s="5" t="n">
        <v>32</v>
      </c>
      <c r="N687" s="10">
        <f>IF(AND(ISNUMBER(L687),M687&gt;0),L687/M687,"")</f>
        <v/>
      </c>
      <c r="O687" s="5" t="n">
        <v>0.729</v>
      </c>
      <c r="P687" s="5" t="n">
        <v>1.6</v>
      </c>
      <c r="Q687" s="5" t="n">
        <v>1</v>
      </c>
      <c r="R687" s="5" t="n">
        <v>1</v>
      </c>
      <c r="S687" s="5" t="n">
        <v>0</v>
      </c>
      <c r="T687" s="5" t="n">
        <v>0</v>
      </c>
      <c r="U687" s="5" t="n">
        <v>0</v>
      </c>
      <c r="V687" s="5" t="n">
        <v>0</v>
      </c>
      <c r="W687" s="5" t="n">
        <v>0</v>
      </c>
      <c r="X687" s="5" t="n">
        <v>4</v>
      </c>
      <c r="Y687" s="5" t="n">
        <v>0.26</v>
      </c>
      <c r="Z687" s="5" t="inlineStr"/>
      <c r="AA687" s="5" t="n">
        <v>977.1</v>
      </c>
      <c r="AB687" s="5" t="n">
        <v>2641.2</v>
      </c>
      <c r="AC687" s="5" t="n">
        <v>1045</v>
      </c>
      <c r="AD687" s="5" t="n">
        <v>2652.5</v>
      </c>
      <c r="AE687" s="5" t="inlineStr"/>
      <c r="AF687" s="5">
        <f>IF(AE687="","",IF(OR(AE687=F687,AND(AE687="crane_footing",F687="isolated_footing")),"yes","no"))</f>
        <v/>
      </c>
    </row>
    <row r="688">
      <c r="A688" s="5" t="n">
        <v>687</v>
      </c>
      <c r="B688" s="5" t="inlineStr">
        <is>
          <t>128</t>
        </is>
      </c>
      <c r="C688" s="5" t="inlineStr">
        <is>
          <t>region between joints</t>
        </is>
      </c>
      <c r="D688" s="5" t="inlineStr">
        <is>
          <t>band</t>
        </is>
      </c>
      <c r="E688" s="5" t="n">
        <v>2</v>
      </c>
      <c r="F688" s="5" t="inlineStr">
        <is>
          <t>unidentified</t>
        </is>
      </c>
      <c r="G688" s="5" t="inlineStr">
        <is>
          <t>C2</t>
        </is>
      </c>
      <c r="H688" s="5" t="inlineStr">
        <is>
          <t>no label votes</t>
        </is>
      </c>
      <c r="I688" s="5" t="inlineStr">
        <is>
          <t>(none)</t>
        </is>
      </c>
      <c r="J688" s="5" t="inlineStr"/>
      <c r="K688" s="5" t="inlineStr"/>
      <c r="L688" s="5" t="n">
        <v>229</v>
      </c>
      <c r="M688" s="5" t="n">
        <v>32</v>
      </c>
      <c r="N688" s="10">
        <f>IF(AND(ISNUMBER(L688),M688&gt;0),L688/M688,"")</f>
        <v/>
      </c>
      <c r="O688" s="5" t="n">
        <v>0.727</v>
      </c>
      <c r="P688" s="5" t="n">
        <v>1.6</v>
      </c>
      <c r="Q688" s="5" t="n">
        <v>1</v>
      </c>
      <c r="R688" s="5" t="n">
        <v>1</v>
      </c>
      <c r="S688" s="5" t="n">
        <v>0</v>
      </c>
      <c r="T688" s="5" t="n">
        <v>0</v>
      </c>
      <c r="U688" s="5" t="n">
        <v>0</v>
      </c>
      <c r="V688" s="5" t="n">
        <v>0</v>
      </c>
      <c r="W688" s="5" t="n">
        <v>7</v>
      </c>
      <c r="X688" s="5" t="n">
        <v>3</v>
      </c>
      <c r="Y688" s="5" t="n">
        <v>0</v>
      </c>
      <c r="Z688" s="5" t="inlineStr"/>
      <c r="AA688" s="5" t="n">
        <v>988.3</v>
      </c>
      <c r="AB688" s="5" t="n">
        <v>2632.2</v>
      </c>
      <c r="AC688" s="5" t="n">
        <v>1056.1</v>
      </c>
      <c r="AD688" s="5" t="n">
        <v>2643.5</v>
      </c>
      <c r="AE688" s="5" t="inlineStr"/>
      <c r="AF688" s="5">
        <f>IF(AE688="","",IF(OR(AE688=F688,AND(AE688="crane_footing",F688="isolated_footing")),"yes","no"))</f>
        <v/>
      </c>
    </row>
    <row r="689">
      <c r="A689" s="5" t="n">
        <v>688</v>
      </c>
      <c r="B689" s="5" t="inlineStr">
        <is>
          <t>128</t>
        </is>
      </c>
      <c r="C689" s="5" t="inlineStr">
        <is>
          <t>region between joints</t>
        </is>
      </c>
      <c r="D689" s="5" t="inlineStr">
        <is>
          <t>band</t>
        </is>
      </c>
      <c r="E689" s="5" t="n">
        <v>2</v>
      </c>
      <c r="F689" s="5" t="inlineStr">
        <is>
          <t>unidentified</t>
        </is>
      </c>
      <c r="G689" s="5" t="inlineStr">
        <is>
          <t>C2</t>
        </is>
      </c>
      <c r="H689" s="5" t="inlineStr">
        <is>
          <t>no label votes</t>
        </is>
      </c>
      <c r="I689" s="5" t="inlineStr">
        <is>
          <t>(none)</t>
        </is>
      </c>
      <c r="J689" s="5" t="inlineStr"/>
      <c r="K689" s="5" t="inlineStr"/>
      <c r="L689" s="5" t="n">
        <v>229</v>
      </c>
      <c r="M689" s="5" t="n">
        <v>32</v>
      </c>
      <c r="N689" s="10">
        <f>IF(AND(ISNUMBER(L689),M689&gt;0),L689/M689,"")</f>
        <v/>
      </c>
      <c r="O689" s="5" t="n">
        <v>0.727</v>
      </c>
      <c r="P689" s="5" t="n">
        <v>101.6</v>
      </c>
      <c r="Q689" s="5" t="n">
        <v>0</v>
      </c>
      <c r="R689" s="5" t="n">
        <v>0</v>
      </c>
      <c r="S689" s="5" t="n">
        <v>0</v>
      </c>
      <c r="T689" s="5" t="n">
        <v>0</v>
      </c>
      <c r="U689" s="5" t="n">
        <v>0</v>
      </c>
      <c r="V689" s="5" t="n">
        <v>0</v>
      </c>
      <c r="W689" s="5" t="n">
        <v>0</v>
      </c>
      <c r="X689" s="5" t="n">
        <v>6</v>
      </c>
      <c r="Y689" s="5" t="n">
        <v>2.08</v>
      </c>
      <c r="Z689" s="5" t="inlineStr"/>
      <c r="AA689" s="5" t="n">
        <v>1246.3</v>
      </c>
      <c r="AB689" s="5" t="n">
        <v>2476.4</v>
      </c>
      <c r="AC689" s="5" t="n">
        <v>1269.1</v>
      </c>
      <c r="AD689" s="5" t="n">
        <v>2544.4</v>
      </c>
      <c r="AE689" s="5" t="inlineStr"/>
      <c r="AF689" s="5">
        <f>IF(AE689="","",IF(OR(AE689=F689,AND(AE689="crane_footing",F689="isolated_footing")),"yes","no"))</f>
        <v/>
      </c>
    </row>
    <row r="690">
      <c r="A690" s="5" t="n">
        <v>689</v>
      </c>
      <c r="B690" s="5" t="inlineStr">
        <is>
          <t>128</t>
        </is>
      </c>
      <c r="C690" s="5" t="inlineStr">
        <is>
          <t>region between joints</t>
        </is>
      </c>
      <c r="D690" s="5" t="inlineStr">
        <is>
          <t>band</t>
        </is>
      </c>
      <c r="E690" s="5" t="n">
        <v>2</v>
      </c>
      <c r="F690" s="5" t="inlineStr">
        <is>
          <t>unidentified</t>
        </is>
      </c>
      <c r="G690" s="5" t="inlineStr">
        <is>
          <t>C2</t>
        </is>
      </c>
      <c r="H690" s="5" t="inlineStr">
        <is>
          <t>no label votes</t>
        </is>
      </c>
      <c r="I690" s="5" t="inlineStr">
        <is>
          <t>(none)</t>
        </is>
      </c>
      <c r="J690" s="5" t="inlineStr"/>
      <c r="K690" s="5" t="inlineStr"/>
      <c r="L690" s="5" t="n">
        <v>228</v>
      </c>
      <c r="M690" s="5" t="n">
        <v>32</v>
      </c>
      <c r="N690" s="10">
        <f>IF(AND(ISNUMBER(L690),M690&gt;0),L690/M690,"")</f>
        <v/>
      </c>
      <c r="O690" s="5" t="n">
        <v>0.725</v>
      </c>
      <c r="P690" s="5" t="n">
        <v>101.6</v>
      </c>
      <c r="Q690" s="5" t="n">
        <v>0</v>
      </c>
      <c r="R690" s="5" t="n">
        <v>0</v>
      </c>
      <c r="S690" s="5" t="n">
        <v>0</v>
      </c>
      <c r="T690" s="5" t="n">
        <v>0</v>
      </c>
      <c r="U690" s="5" t="n">
        <v>0</v>
      </c>
      <c r="V690" s="5" t="n">
        <v>0</v>
      </c>
      <c r="W690" s="5" t="n">
        <v>0</v>
      </c>
      <c r="X690" s="5" t="n">
        <v>6</v>
      </c>
      <c r="Y690" s="5" t="n">
        <v>2.08</v>
      </c>
      <c r="Z690" s="5" t="inlineStr"/>
      <c r="AA690" s="5" t="n">
        <v>1234.9</v>
      </c>
      <c r="AB690" s="5" t="n">
        <v>2485.8</v>
      </c>
      <c r="AC690" s="5" t="n">
        <v>1257.6</v>
      </c>
      <c r="AD690" s="5" t="n">
        <v>2553.6</v>
      </c>
      <c r="AE690" s="5" t="inlineStr"/>
      <c r="AF690" s="5">
        <f>IF(AE690="","",IF(OR(AE690=F690,AND(AE690="crane_footing",F690="isolated_footing")),"yes","no"))</f>
        <v/>
      </c>
    </row>
    <row r="691">
      <c r="A691" s="5" t="n">
        <v>690</v>
      </c>
      <c r="B691" s="5" t="inlineStr">
        <is>
          <t>128</t>
        </is>
      </c>
      <c r="C691" s="5" t="inlineStr">
        <is>
          <t>region between joints</t>
        </is>
      </c>
      <c r="D691" s="5" t="inlineStr">
        <is>
          <t>band</t>
        </is>
      </c>
      <c r="E691" s="5" t="n">
        <v>2</v>
      </c>
      <c r="F691" s="5" t="inlineStr">
        <is>
          <t>unidentified</t>
        </is>
      </c>
      <c r="G691" s="5" t="inlineStr">
        <is>
          <t>C2</t>
        </is>
      </c>
      <c r="H691" s="5" t="inlineStr">
        <is>
          <t>no label votes</t>
        </is>
      </c>
      <c r="I691" s="5" t="inlineStr">
        <is>
          <t>(none)</t>
        </is>
      </c>
      <c r="J691" s="5" t="inlineStr"/>
      <c r="K691" s="5" t="inlineStr"/>
      <c r="L691" s="5" t="n">
        <v>228</v>
      </c>
      <c r="M691" s="5" t="n">
        <v>32</v>
      </c>
      <c r="N691" s="10">
        <f>IF(AND(ISNUMBER(L691),M691&gt;0),L691/M691,"")</f>
        <v/>
      </c>
      <c r="O691" s="5" t="n">
        <v>0.723</v>
      </c>
      <c r="P691" s="5" t="n">
        <v>101.7</v>
      </c>
      <c r="Q691" s="5" t="n">
        <v>0</v>
      </c>
      <c r="R691" s="5" t="n">
        <v>0</v>
      </c>
      <c r="S691" s="5" t="n">
        <v>0</v>
      </c>
      <c r="T691" s="5" t="n">
        <v>0</v>
      </c>
      <c r="U691" s="5" t="n">
        <v>0</v>
      </c>
      <c r="V691" s="5" t="n">
        <v>0</v>
      </c>
      <c r="W691" s="5" t="n">
        <v>1</v>
      </c>
      <c r="X691" s="5" t="n">
        <v>7</v>
      </c>
      <c r="Y691" s="5" t="n">
        <v>2.08</v>
      </c>
      <c r="Z691" s="5" t="inlineStr"/>
      <c r="AA691" s="5" t="n">
        <v>1223.4</v>
      </c>
      <c r="AB691" s="5" t="n">
        <v>2495.2</v>
      </c>
      <c r="AC691" s="5" t="n">
        <v>1246.1</v>
      </c>
      <c r="AD691" s="5" t="n">
        <v>2562.9</v>
      </c>
      <c r="AE691" s="5" t="inlineStr"/>
      <c r="AF691" s="5">
        <f>IF(AE691="","",IF(OR(AE691=F691,AND(AE691="crane_footing",F691="isolated_footing")),"yes","no"))</f>
        <v/>
      </c>
    </row>
    <row r="692">
      <c r="A692" s="5" t="n">
        <v>691</v>
      </c>
      <c r="B692" s="5" t="inlineStr">
        <is>
          <t>128</t>
        </is>
      </c>
      <c r="C692" s="5" t="inlineStr">
        <is>
          <t>region between joints</t>
        </is>
      </c>
      <c r="D692" s="5" t="inlineStr">
        <is>
          <t>band</t>
        </is>
      </c>
      <c r="E692" s="5" t="n">
        <v>2</v>
      </c>
      <c r="F692" s="5" t="inlineStr">
        <is>
          <t>unidentified</t>
        </is>
      </c>
      <c r="G692" s="5" t="inlineStr">
        <is>
          <t>C2</t>
        </is>
      </c>
      <c r="H692" s="5" t="inlineStr">
        <is>
          <t>no label votes</t>
        </is>
      </c>
      <c r="I692" s="5" t="inlineStr">
        <is>
          <t>(none)</t>
        </is>
      </c>
      <c r="J692" s="5" t="inlineStr"/>
      <c r="K692" s="5" t="inlineStr"/>
      <c r="L692" s="5" t="n">
        <v>227</v>
      </c>
      <c r="M692" s="5" t="n">
        <v>32</v>
      </c>
      <c r="N692" s="10">
        <f>IF(AND(ISNUMBER(L692),M692&gt;0),L692/M692,"")</f>
        <v/>
      </c>
      <c r="O692" s="5" t="n">
        <v>0.722</v>
      </c>
      <c r="P692" s="5" t="n">
        <v>101.7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0</v>
      </c>
      <c r="V692" s="5" t="n">
        <v>0</v>
      </c>
      <c r="W692" s="5" t="n">
        <v>0</v>
      </c>
      <c r="X692" s="5" t="n">
        <v>7</v>
      </c>
      <c r="Y692" s="5" t="n">
        <v>2.08</v>
      </c>
      <c r="Z692" s="5" t="inlineStr"/>
      <c r="AA692" s="5" t="n">
        <v>1211.9</v>
      </c>
      <c r="AB692" s="5" t="n">
        <v>2504.6</v>
      </c>
      <c r="AC692" s="5" t="n">
        <v>1234.6</v>
      </c>
      <c r="AD692" s="5" t="n">
        <v>2572.2</v>
      </c>
      <c r="AE692" s="5" t="inlineStr"/>
      <c r="AF692" s="5">
        <f>IF(AE692="","",IF(OR(AE692=F692,AND(AE692="crane_footing",F692="isolated_footing")),"yes","no"))</f>
        <v/>
      </c>
    </row>
    <row r="693">
      <c r="A693" s="5" t="n">
        <v>692</v>
      </c>
      <c r="B693" s="5" t="inlineStr">
        <is>
          <t>128</t>
        </is>
      </c>
      <c r="C693" s="5" t="inlineStr">
        <is>
          <t>region between joints</t>
        </is>
      </c>
      <c r="D693" s="5" t="inlineStr">
        <is>
          <t>band</t>
        </is>
      </c>
      <c r="E693" s="5" t="n">
        <v>2</v>
      </c>
      <c r="F693" s="5" t="inlineStr">
        <is>
          <t>unidentified</t>
        </is>
      </c>
      <c r="G693" s="5" t="inlineStr">
        <is>
          <t>C2</t>
        </is>
      </c>
      <c r="H693" s="5" t="inlineStr">
        <is>
          <t>no label votes</t>
        </is>
      </c>
      <c r="I693" s="5" t="inlineStr">
        <is>
          <t>(none)</t>
        </is>
      </c>
      <c r="J693" s="5" t="inlineStr"/>
      <c r="K693" s="5" t="inlineStr"/>
      <c r="L693" s="5" t="n">
        <v>227</v>
      </c>
      <c r="M693" s="5" t="n">
        <v>32</v>
      </c>
      <c r="N693" s="10">
        <f>IF(AND(ISNUMBER(L693),M693&gt;0),L693/M693,"")</f>
        <v/>
      </c>
      <c r="O693" s="5" t="n">
        <v>0.721</v>
      </c>
      <c r="P693" s="5" t="n">
        <v>101.6</v>
      </c>
      <c r="Q693" s="5" t="n">
        <v>0</v>
      </c>
      <c r="R693" s="5" t="n">
        <v>0</v>
      </c>
      <c r="S693" s="5" t="n">
        <v>0</v>
      </c>
      <c r="T693" s="5" t="n">
        <v>0</v>
      </c>
      <c r="U693" s="5" t="n">
        <v>0</v>
      </c>
      <c r="V693" s="5" t="n">
        <v>0</v>
      </c>
      <c r="W693" s="5" t="n">
        <v>0</v>
      </c>
      <c r="X693" s="5" t="n">
        <v>6</v>
      </c>
      <c r="Y693" s="5" t="n">
        <v>2.07</v>
      </c>
      <c r="Z693" s="5" t="inlineStr"/>
      <c r="AA693" s="5" t="n">
        <v>1200.4</v>
      </c>
      <c r="AB693" s="5" t="n">
        <v>2514</v>
      </c>
      <c r="AC693" s="5" t="n">
        <v>1223.1</v>
      </c>
      <c r="AD693" s="5" t="n">
        <v>2581.5</v>
      </c>
      <c r="AE693" s="5" t="inlineStr"/>
      <c r="AF693" s="5">
        <f>IF(AE693="","",IF(OR(AE693=F693,AND(AE693="crane_footing",F693="isolated_footing")),"yes","no"))</f>
        <v/>
      </c>
    </row>
    <row r="694">
      <c r="A694" s="5" t="n">
        <v>693</v>
      </c>
      <c r="B694" s="5" t="inlineStr">
        <is>
          <t>128</t>
        </is>
      </c>
      <c r="C694" s="5" t="inlineStr">
        <is>
          <t>region between joints</t>
        </is>
      </c>
      <c r="D694" s="5" t="inlineStr">
        <is>
          <t>band</t>
        </is>
      </c>
      <c r="E694" s="5" t="n">
        <v>2</v>
      </c>
      <c r="F694" s="5" t="inlineStr">
        <is>
          <t>unidentified</t>
        </is>
      </c>
      <c r="G694" s="5" t="inlineStr">
        <is>
          <t>C2</t>
        </is>
      </c>
      <c r="H694" s="5" t="inlineStr">
        <is>
          <t>no label votes</t>
        </is>
      </c>
      <c r="I694" s="5" t="inlineStr">
        <is>
          <t>(none)</t>
        </is>
      </c>
      <c r="J694" s="5" t="inlineStr"/>
      <c r="K694" s="5" t="inlineStr"/>
      <c r="L694" s="5" t="n">
        <v>227</v>
      </c>
      <c r="M694" s="5" t="n">
        <v>32</v>
      </c>
      <c r="N694" s="10">
        <f>IF(AND(ISNUMBER(L694),M694&gt;0),L694/M694,"")</f>
        <v/>
      </c>
      <c r="O694" s="5" t="n">
        <v>0.721</v>
      </c>
      <c r="P694" s="5" t="n">
        <v>1.7</v>
      </c>
      <c r="Q694" s="5" t="n">
        <v>1</v>
      </c>
      <c r="R694" s="5" t="n">
        <v>1</v>
      </c>
      <c r="S694" s="5" t="n">
        <v>0</v>
      </c>
      <c r="T694" s="5" t="n">
        <v>0</v>
      </c>
      <c r="U694" s="5" t="n">
        <v>0</v>
      </c>
      <c r="V694" s="5" t="n">
        <v>0</v>
      </c>
      <c r="W694" s="5" t="n">
        <v>1</v>
      </c>
      <c r="X694" s="5" t="n">
        <v>4</v>
      </c>
      <c r="Y694" s="5" t="n">
        <v>0</v>
      </c>
      <c r="Z694" s="5" t="inlineStr"/>
      <c r="AA694" s="5" t="n">
        <v>1055.4</v>
      </c>
      <c r="AB694" s="5" t="n">
        <v>2577.8</v>
      </c>
      <c r="AC694" s="5" t="n">
        <v>1122.5</v>
      </c>
      <c r="AD694" s="5" t="n">
        <v>2589.1</v>
      </c>
      <c r="AE694" s="5" t="inlineStr"/>
      <c r="AF694" s="5">
        <f>IF(AE694="","",IF(OR(AE694=F694,AND(AE694="crane_footing",F694="isolated_footing")),"yes","no"))</f>
        <v/>
      </c>
    </row>
    <row r="695">
      <c r="A695" s="5" t="n">
        <v>694</v>
      </c>
      <c r="B695" s="5" t="inlineStr">
        <is>
          <t>128</t>
        </is>
      </c>
      <c r="C695" s="5" t="inlineStr">
        <is>
          <t>region between joints</t>
        </is>
      </c>
      <c r="D695" s="5" t="inlineStr">
        <is>
          <t>band</t>
        </is>
      </c>
      <c r="E695" s="5" t="n">
        <v>2</v>
      </c>
      <c r="F695" s="5" t="inlineStr">
        <is>
          <t>unidentified</t>
        </is>
      </c>
      <c r="G695" s="5" t="inlineStr">
        <is>
          <t>C2</t>
        </is>
      </c>
      <c r="H695" s="5" t="inlineStr">
        <is>
          <t>no label votes</t>
        </is>
      </c>
      <c r="I695" s="5" t="inlineStr">
        <is>
          <t>(none)</t>
        </is>
      </c>
      <c r="J695" s="5" t="inlineStr"/>
      <c r="K695" s="5" t="inlineStr"/>
      <c r="L695" s="5" t="n">
        <v>226</v>
      </c>
      <c r="M695" s="5" t="n">
        <v>32</v>
      </c>
      <c r="N695" s="10">
        <f>IF(AND(ISNUMBER(L695),M695&gt;0),L695/M695,"")</f>
        <v/>
      </c>
      <c r="O695" s="5" t="n">
        <v>0.719</v>
      </c>
      <c r="P695" s="5" t="n">
        <v>1.7</v>
      </c>
      <c r="Q695" s="5" t="n">
        <v>1</v>
      </c>
      <c r="R695" s="5" t="n">
        <v>1</v>
      </c>
      <c r="S695" s="5" t="n">
        <v>0</v>
      </c>
      <c r="T695" s="5" t="n">
        <v>0</v>
      </c>
      <c r="U695" s="5" t="n">
        <v>0</v>
      </c>
      <c r="V695" s="5" t="n">
        <v>0</v>
      </c>
      <c r="W695" s="5" t="n">
        <v>0</v>
      </c>
      <c r="X695" s="5" t="n">
        <v>4</v>
      </c>
      <c r="Y695" s="5" t="n">
        <v>0.55</v>
      </c>
      <c r="Z695" s="5" t="inlineStr"/>
      <c r="AA695" s="5" t="n">
        <v>1066.5</v>
      </c>
      <c r="AB695" s="5" t="n">
        <v>2568.7</v>
      </c>
      <c r="AC695" s="5" t="n">
        <v>1133.6</v>
      </c>
      <c r="AD695" s="5" t="n">
        <v>2580</v>
      </c>
      <c r="AE695" s="5" t="inlineStr"/>
      <c r="AF695" s="5">
        <f>IF(AE695="","",IF(OR(AE695=F695,AND(AE695="crane_footing",F695="isolated_footing")),"yes","no"))</f>
        <v/>
      </c>
    </row>
    <row r="696">
      <c r="A696" s="5" t="n">
        <v>695</v>
      </c>
      <c r="B696" s="5" t="inlineStr">
        <is>
          <t>128</t>
        </is>
      </c>
      <c r="C696" s="5" t="inlineStr">
        <is>
          <t>region between joints</t>
        </is>
      </c>
      <c r="D696" s="5" t="inlineStr">
        <is>
          <t>band</t>
        </is>
      </c>
      <c r="E696" s="5" t="n">
        <v>2</v>
      </c>
      <c r="F696" s="5" t="inlineStr">
        <is>
          <t>unidentified</t>
        </is>
      </c>
      <c r="G696" s="5" t="inlineStr">
        <is>
          <t>C2</t>
        </is>
      </c>
      <c r="H696" s="5" t="inlineStr">
        <is>
          <t>no label votes</t>
        </is>
      </c>
      <c r="I696" s="5" t="inlineStr">
        <is>
          <t>(none)</t>
        </is>
      </c>
      <c r="J696" s="5" t="inlineStr"/>
      <c r="K696" s="5" t="inlineStr"/>
      <c r="L696" s="5" t="n">
        <v>226</v>
      </c>
      <c r="M696" s="5" t="n">
        <v>32</v>
      </c>
      <c r="N696" s="10">
        <f>IF(AND(ISNUMBER(L696),M696&gt;0),L696/M696,"")</f>
        <v/>
      </c>
      <c r="O696" s="5" t="n">
        <v>0.719</v>
      </c>
      <c r="P696" s="5" t="n">
        <v>101.6</v>
      </c>
      <c r="Q696" s="5" t="n">
        <v>0</v>
      </c>
      <c r="R696" s="5" t="n">
        <v>0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0</v>
      </c>
      <c r="X696" s="5" t="n">
        <v>6</v>
      </c>
      <c r="Y696" s="5" t="n">
        <v>2.07</v>
      </c>
      <c r="Z696" s="5" t="inlineStr"/>
      <c r="AA696" s="5" t="n">
        <v>1188.9</v>
      </c>
      <c r="AB696" s="5" t="n">
        <v>2523.5</v>
      </c>
      <c r="AC696" s="5" t="n">
        <v>1211.6</v>
      </c>
      <c r="AD696" s="5" t="n">
        <v>2590.7</v>
      </c>
      <c r="AE696" s="5" t="inlineStr"/>
      <c r="AF696" s="5">
        <f>IF(AE696="","",IF(OR(AE696=F696,AND(AE696="crane_footing",F696="isolated_footing")),"yes","no"))</f>
        <v/>
      </c>
    </row>
    <row r="697">
      <c r="A697" s="5" t="n">
        <v>696</v>
      </c>
      <c r="B697" s="5" t="inlineStr">
        <is>
          <t>128</t>
        </is>
      </c>
      <c r="C697" s="5" t="inlineStr">
        <is>
          <t>region between joints</t>
        </is>
      </c>
      <c r="D697" s="5" t="inlineStr">
        <is>
          <t>band</t>
        </is>
      </c>
      <c r="E697" s="5" t="n">
        <v>2</v>
      </c>
      <c r="F697" s="5" t="inlineStr">
        <is>
          <t>unidentified</t>
        </is>
      </c>
      <c r="G697" s="5" t="inlineStr">
        <is>
          <t>C2</t>
        </is>
      </c>
      <c r="H697" s="5" t="inlineStr">
        <is>
          <t>no label votes</t>
        </is>
      </c>
      <c r="I697" s="5" t="inlineStr">
        <is>
          <t>(none)</t>
        </is>
      </c>
      <c r="J697" s="5" t="inlineStr"/>
      <c r="K697" s="5" t="inlineStr"/>
      <c r="L697" s="5" t="n">
        <v>226</v>
      </c>
      <c r="M697" s="5" t="n">
        <v>32</v>
      </c>
      <c r="N697" s="10">
        <f>IF(AND(ISNUMBER(L697),M697&gt;0),L697/M697,"")</f>
        <v/>
      </c>
      <c r="O697" s="5" t="n">
        <v>0.718</v>
      </c>
      <c r="P697" s="5" t="n">
        <v>1.7</v>
      </c>
      <c r="Q697" s="5" t="n">
        <v>1</v>
      </c>
      <c r="R697" s="5" t="n">
        <v>0</v>
      </c>
      <c r="S697" s="5" t="n">
        <v>0</v>
      </c>
      <c r="T697" s="5" t="n">
        <v>0</v>
      </c>
      <c r="U697" s="5" t="n">
        <v>0</v>
      </c>
      <c r="V697" s="5" t="n">
        <v>0</v>
      </c>
      <c r="W697" s="5" t="n">
        <v>2</v>
      </c>
      <c r="X697" s="5" t="n">
        <v>4</v>
      </c>
      <c r="Y697" s="5" t="n">
        <v>1.19</v>
      </c>
      <c r="Z697" s="5" t="inlineStr"/>
      <c r="AA697" s="5" t="n">
        <v>1077.7</v>
      </c>
      <c r="AB697" s="5" t="n">
        <v>2559.7</v>
      </c>
      <c r="AC697" s="5" t="n">
        <v>1144.6</v>
      </c>
      <c r="AD697" s="5" t="n">
        <v>2571</v>
      </c>
      <c r="AE697" s="5" t="inlineStr"/>
      <c r="AF697" s="5">
        <f>IF(AE697="","",IF(OR(AE697=F697,AND(AE697="crane_footing",F697="isolated_footing")),"yes","no"))</f>
        <v/>
      </c>
    </row>
    <row r="698">
      <c r="A698" s="5" t="n">
        <v>697</v>
      </c>
      <c r="B698" s="5" t="inlineStr">
        <is>
          <t>128</t>
        </is>
      </c>
      <c r="C698" s="5" t="inlineStr">
        <is>
          <t>region between joints</t>
        </is>
      </c>
      <c r="D698" s="5" t="inlineStr">
        <is>
          <t>band</t>
        </is>
      </c>
      <c r="E698" s="5" t="n">
        <v>2</v>
      </c>
      <c r="F698" s="5" t="inlineStr">
        <is>
          <t>unidentified</t>
        </is>
      </c>
      <c r="G698" s="5" t="inlineStr">
        <is>
          <t>C2</t>
        </is>
      </c>
      <c r="H698" s="5" t="inlineStr">
        <is>
          <t>no label votes</t>
        </is>
      </c>
      <c r="I698" s="5" t="inlineStr">
        <is>
          <t>(none)</t>
        </is>
      </c>
      <c r="J698" s="5" t="inlineStr"/>
      <c r="K698" s="5" t="inlineStr"/>
      <c r="L698" s="5" t="n">
        <v>226</v>
      </c>
      <c r="M698" s="5" t="n">
        <v>32</v>
      </c>
      <c r="N698" s="10">
        <f>IF(AND(ISNUMBER(L698),M698&gt;0),L698/M698,"")</f>
        <v/>
      </c>
      <c r="O698" s="5" t="n">
        <v>0.717</v>
      </c>
      <c r="P698" s="5" t="n">
        <v>1.7</v>
      </c>
      <c r="Q698" s="5" t="n">
        <v>1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0</v>
      </c>
      <c r="X698" s="5" t="n">
        <v>4</v>
      </c>
      <c r="Y698" s="5" t="n">
        <v>1.83</v>
      </c>
      <c r="Z698" s="5" t="inlineStr"/>
      <c r="AA698" s="5" t="n">
        <v>1088.9</v>
      </c>
      <c r="AB698" s="5" t="n">
        <v>2550.6</v>
      </c>
      <c r="AC698" s="5" t="n">
        <v>1155.7</v>
      </c>
      <c r="AD698" s="5" t="n">
        <v>2561.9</v>
      </c>
      <c r="AE698" s="5" t="inlineStr"/>
      <c r="AF698" s="5">
        <f>IF(AE698="","",IF(OR(AE698=F698,AND(AE698="crane_footing",F698="isolated_footing")),"yes","no"))</f>
        <v/>
      </c>
    </row>
    <row r="699">
      <c r="A699" s="5" t="n">
        <v>698</v>
      </c>
      <c r="B699" s="5" t="inlineStr">
        <is>
          <t>128</t>
        </is>
      </c>
      <c r="C699" s="5" t="inlineStr">
        <is>
          <t>region between joints</t>
        </is>
      </c>
      <c r="D699" s="5" t="inlineStr">
        <is>
          <t>band</t>
        </is>
      </c>
      <c r="E699" s="5" t="n">
        <v>2</v>
      </c>
      <c r="F699" s="5" t="inlineStr">
        <is>
          <t>unidentified</t>
        </is>
      </c>
      <c r="G699" s="5" t="inlineStr">
        <is>
          <t>C2</t>
        </is>
      </c>
      <c r="H699" s="5" t="inlineStr">
        <is>
          <t>no label votes</t>
        </is>
      </c>
      <c r="I699" s="5" t="inlineStr">
        <is>
          <t>(none)</t>
        </is>
      </c>
      <c r="J699" s="5" t="inlineStr"/>
      <c r="K699" s="5" t="inlineStr"/>
      <c r="L699" s="5" t="n">
        <v>226</v>
      </c>
      <c r="M699" s="5" t="n">
        <v>32</v>
      </c>
      <c r="N699" s="10">
        <f>IF(AND(ISNUMBER(L699),M699&gt;0),L699/M699,"")</f>
        <v/>
      </c>
      <c r="O699" s="5" t="n">
        <v>0.717</v>
      </c>
      <c r="P699" s="5" t="n">
        <v>101.7</v>
      </c>
      <c r="Q699" s="5" t="n">
        <v>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0</v>
      </c>
      <c r="X699" s="5" t="n">
        <v>6</v>
      </c>
      <c r="Y699" s="5" t="n">
        <v>2.07</v>
      </c>
      <c r="Z699" s="5" t="inlineStr"/>
      <c r="AA699" s="5" t="n">
        <v>1177.4</v>
      </c>
      <c r="AB699" s="5" t="n">
        <v>2532.9</v>
      </c>
      <c r="AC699" s="5" t="n">
        <v>1200.1</v>
      </c>
      <c r="AD699" s="5" t="n">
        <v>2600</v>
      </c>
      <c r="AE699" s="5" t="inlineStr"/>
      <c r="AF699" s="5">
        <f>IF(AE699="","",IF(OR(AE699=F699,AND(AE699="crane_footing",F699="isolated_footing")),"yes","no"))</f>
        <v/>
      </c>
    </row>
    <row r="700">
      <c r="A700" s="5" t="n">
        <v>699</v>
      </c>
      <c r="B700" s="5" t="inlineStr">
        <is>
          <t>128</t>
        </is>
      </c>
      <c r="C700" s="5" t="inlineStr">
        <is>
          <t>region between joints</t>
        </is>
      </c>
      <c r="D700" s="5" t="inlineStr">
        <is>
          <t>band</t>
        </is>
      </c>
      <c r="E700" s="5" t="n">
        <v>2</v>
      </c>
      <c r="F700" s="5" t="inlineStr">
        <is>
          <t>unidentified</t>
        </is>
      </c>
      <c r="G700" s="5" t="inlineStr">
        <is>
          <t>C2</t>
        </is>
      </c>
      <c r="H700" s="5" t="inlineStr">
        <is>
          <t>no label votes</t>
        </is>
      </c>
      <c r="I700" s="5" t="inlineStr">
        <is>
          <t>(none)</t>
        </is>
      </c>
      <c r="J700" s="5" t="inlineStr"/>
      <c r="K700" s="5" t="inlineStr"/>
      <c r="L700" s="5" t="n">
        <v>225</v>
      </c>
      <c r="M700" s="5" t="n">
        <v>32</v>
      </c>
      <c r="N700" s="10">
        <f>IF(AND(ISNUMBER(L700),M700&gt;0),L700/M700,"")</f>
        <v/>
      </c>
      <c r="O700" s="5" t="n">
        <v>0.716</v>
      </c>
      <c r="P700" s="5" t="n">
        <v>1.7</v>
      </c>
      <c r="Q700" s="5" t="n">
        <v>1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0</v>
      </c>
      <c r="X700" s="5" t="n">
        <v>4</v>
      </c>
      <c r="Y700" s="5" t="n">
        <v>2.25</v>
      </c>
      <c r="Z700" s="5" t="inlineStr"/>
      <c r="AA700" s="5" t="n">
        <v>1100</v>
      </c>
      <c r="AB700" s="5" t="n">
        <v>2541.5</v>
      </c>
      <c r="AC700" s="5" t="n">
        <v>1166.8</v>
      </c>
      <c r="AD700" s="5" t="n">
        <v>2552.9</v>
      </c>
      <c r="AE700" s="5" t="inlineStr"/>
      <c r="AF700" s="5">
        <f>IF(AE700="","",IF(OR(AE700=F700,AND(AE700="crane_footing",F700="isolated_footing")),"yes","no"))</f>
        <v/>
      </c>
    </row>
    <row r="701">
      <c r="A701" s="5" t="n">
        <v>700</v>
      </c>
      <c r="B701" s="5" t="inlineStr">
        <is>
          <t>128</t>
        </is>
      </c>
      <c r="C701" s="5" t="inlineStr">
        <is>
          <t>region between joints</t>
        </is>
      </c>
      <c r="D701" s="5" t="inlineStr">
        <is>
          <t>band</t>
        </is>
      </c>
      <c r="E701" s="5" t="n">
        <v>2</v>
      </c>
      <c r="F701" s="5" t="inlineStr">
        <is>
          <t>unidentified</t>
        </is>
      </c>
      <c r="G701" s="5" t="inlineStr">
        <is>
          <t>C2</t>
        </is>
      </c>
      <c r="H701" s="5" t="inlineStr">
        <is>
          <t>no label votes</t>
        </is>
      </c>
      <c r="I701" s="5" t="inlineStr">
        <is>
          <t>(none)</t>
        </is>
      </c>
      <c r="J701" s="5" t="inlineStr"/>
      <c r="K701" s="5" t="inlineStr"/>
      <c r="L701" s="5" t="n">
        <v>225</v>
      </c>
      <c r="M701" s="5" t="n">
        <v>32</v>
      </c>
      <c r="N701" s="10">
        <f>IF(AND(ISNUMBER(L701),M701&gt;0),L701/M701,"")</f>
        <v/>
      </c>
      <c r="O701" s="5" t="n">
        <v>0.716</v>
      </c>
      <c r="P701" s="5" t="n">
        <v>101.7</v>
      </c>
      <c r="Q701" s="5" t="n">
        <v>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0</v>
      </c>
      <c r="X701" s="5" t="n">
        <v>6</v>
      </c>
      <c r="Y701" s="5" t="n">
        <v>2.25</v>
      </c>
      <c r="Z701" s="5" t="inlineStr"/>
      <c r="AA701" s="5" t="n">
        <v>1165.9</v>
      </c>
      <c r="AB701" s="5" t="n">
        <v>2542.3</v>
      </c>
      <c r="AC701" s="5" t="n">
        <v>1188.6</v>
      </c>
      <c r="AD701" s="5" t="n">
        <v>2609.3</v>
      </c>
      <c r="AE701" s="5" t="inlineStr"/>
      <c r="AF701" s="5">
        <f>IF(AE701="","",IF(OR(AE701=F701,AND(AE701="crane_footing",F701="isolated_footing")),"yes","no"))</f>
        <v/>
      </c>
    </row>
    <row r="702">
      <c r="A702" s="5" t="n">
        <v>701</v>
      </c>
      <c r="B702" s="5" t="inlineStr">
        <is>
          <t>128</t>
        </is>
      </c>
      <c r="C702" s="5" t="inlineStr">
        <is>
          <t>region between joints</t>
        </is>
      </c>
      <c r="D702" s="5" t="inlineStr">
        <is>
          <t>band</t>
        </is>
      </c>
      <c r="E702" s="5" t="n">
        <v>2</v>
      </c>
      <c r="F702" s="5" t="inlineStr">
        <is>
          <t>unidentified</t>
        </is>
      </c>
      <c r="G702" s="5" t="inlineStr">
        <is>
          <t>C2</t>
        </is>
      </c>
      <c r="H702" s="5" t="inlineStr">
        <is>
          <t>no label votes</t>
        </is>
      </c>
      <c r="I702" s="5" t="inlineStr">
        <is>
          <t>(none)</t>
        </is>
      </c>
      <c r="J702" s="5" t="inlineStr"/>
      <c r="K702" s="5" t="inlineStr"/>
      <c r="L702" s="5" t="n">
        <v>225</v>
      </c>
      <c r="M702" s="5" t="n">
        <v>32</v>
      </c>
      <c r="N702" s="10">
        <f>IF(AND(ISNUMBER(L702),M702&gt;0),L702/M702,"")</f>
        <v/>
      </c>
      <c r="O702" s="5" t="n">
        <v>0.715</v>
      </c>
      <c r="P702" s="5" t="n">
        <v>1.7</v>
      </c>
      <c r="Q702" s="5" t="n">
        <v>1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0</v>
      </c>
      <c r="X702" s="5" t="n">
        <v>4</v>
      </c>
      <c r="Y702" s="5" t="n">
        <v>2.25</v>
      </c>
      <c r="Z702" s="5" t="inlineStr"/>
      <c r="AA702" s="5" t="n">
        <v>1111.2</v>
      </c>
      <c r="AB702" s="5" t="n">
        <v>2532.5</v>
      </c>
      <c r="AC702" s="5" t="n">
        <v>1177.9</v>
      </c>
      <c r="AD702" s="5" t="n">
        <v>2543.8</v>
      </c>
      <c r="AE702" s="5" t="inlineStr"/>
      <c r="AF702" s="5">
        <f>IF(AE702="","",IF(OR(AE702=F702,AND(AE702="crane_footing",F702="isolated_footing")),"yes","no"))</f>
        <v/>
      </c>
    </row>
    <row r="703">
      <c r="A703" s="5" t="n">
        <v>702</v>
      </c>
      <c r="B703" s="5" t="inlineStr">
        <is>
          <t>128</t>
        </is>
      </c>
      <c r="C703" s="5" t="inlineStr">
        <is>
          <t>region between joints</t>
        </is>
      </c>
      <c r="D703" s="5" t="inlineStr">
        <is>
          <t>band</t>
        </is>
      </c>
      <c r="E703" s="5" t="n">
        <v>2</v>
      </c>
      <c r="F703" s="5" t="inlineStr">
        <is>
          <t>unidentified</t>
        </is>
      </c>
      <c r="G703" s="5" t="inlineStr">
        <is>
          <t>C2</t>
        </is>
      </c>
      <c r="H703" s="5" t="inlineStr">
        <is>
          <t>no label votes</t>
        </is>
      </c>
      <c r="I703" s="5" t="inlineStr">
        <is>
          <t>(none)</t>
        </is>
      </c>
      <c r="J703" s="5" t="inlineStr"/>
      <c r="K703" s="5" t="inlineStr"/>
      <c r="L703" s="5" t="n">
        <v>225</v>
      </c>
      <c r="M703" s="5" t="n">
        <v>32</v>
      </c>
      <c r="N703" s="10">
        <f>IF(AND(ISNUMBER(L703),M703&gt;0),L703/M703,"")</f>
        <v/>
      </c>
      <c r="O703" s="5" t="n">
        <v>0.715</v>
      </c>
      <c r="P703" s="5" t="n">
        <v>101.6</v>
      </c>
      <c r="Q703" s="5" t="n">
        <v>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0</v>
      </c>
      <c r="X703" s="5" t="n">
        <v>6</v>
      </c>
      <c r="Y703" s="5" t="n">
        <v>2.25</v>
      </c>
      <c r="Z703" s="5" t="inlineStr"/>
      <c r="AA703" s="5" t="n">
        <v>1154.5</v>
      </c>
      <c r="AB703" s="5" t="n">
        <v>2551.7</v>
      </c>
      <c r="AC703" s="5" t="n">
        <v>1177.1</v>
      </c>
      <c r="AD703" s="5" t="n">
        <v>2618.6</v>
      </c>
      <c r="AE703" s="5" t="inlineStr"/>
      <c r="AF703" s="5">
        <f>IF(AE703="","",IF(OR(AE703=F703,AND(AE703="crane_footing",F703="isolated_footing")),"yes","no"))</f>
        <v/>
      </c>
    </row>
    <row r="704">
      <c r="A704" s="5" t="n">
        <v>703</v>
      </c>
      <c r="B704" s="5" t="inlineStr">
        <is>
          <t>128</t>
        </is>
      </c>
      <c r="C704" s="5" t="inlineStr">
        <is>
          <t>region between joints</t>
        </is>
      </c>
      <c r="D704" s="5" t="inlineStr">
        <is>
          <t>band</t>
        </is>
      </c>
      <c r="E704" s="5" t="n">
        <v>2</v>
      </c>
      <c r="F704" s="5" t="inlineStr">
        <is>
          <t>unidentified</t>
        </is>
      </c>
      <c r="G704" s="5" t="inlineStr">
        <is>
          <t>C2</t>
        </is>
      </c>
      <c r="H704" s="5" t="inlineStr">
        <is>
          <t>no label votes</t>
        </is>
      </c>
      <c r="I704" s="5" t="inlineStr">
        <is>
          <t>(none)</t>
        </is>
      </c>
      <c r="J704" s="5" t="inlineStr"/>
      <c r="K704" s="5" t="inlineStr"/>
      <c r="L704" s="5" t="n">
        <v>225</v>
      </c>
      <c r="M704" s="5" t="n">
        <v>32</v>
      </c>
      <c r="N704" s="10">
        <f>IF(AND(ISNUMBER(L704),M704&gt;0),L704/M704,"")</f>
        <v/>
      </c>
      <c r="O704" s="5" t="n">
        <v>0.714</v>
      </c>
      <c r="P704" s="5" t="n">
        <v>1.7</v>
      </c>
      <c r="Q704" s="5" t="n">
        <v>1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0</v>
      </c>
      <c r="X704" s="5" t="n">
        <v>4</v>
      </c>
      <c r="Y704" s="5" t="n">
        <v>1.98</v>
      </c>
      <c r="Z704" s="5" t="inlineStr"/>
      <c r="AA704" s="5" t="n">
        <v>1122.4</v>
      </c>
      <c r="AB704" s="5" t="n">
        <v>2523.4</v>
      </c>
      <c r="AC704" s="5" t="n">
        <v>1189</v>
      </c>
      <c r="AD704" s="5" t="n">
        <v>2534.7</v>
      </c>
      <c r="AE704" s="5" t="inlineStr"/>
      <c r="AF704" s="5">
        <f>IF(AE704="","",IF(OR(AE704=F704,AND(AE704="crane_footing",F704="isolated_footing")),"yes","no"))</f>
        <v/>
      </c>
    </row>
    <row r="705">
      <c r="A705" s="5" t="n">
        <v>704</v>
      </c>
      <c r="B705" s="5" t="inlineStr">
        <is>
          <t>128</t>
        </is>
      </c>
      <c r="C705" s="5" t="inlineStr">
        <is>
          <t>region between joints</t>
        </is>
      </c>
      <c r="D705" s="5" t="inlineStr">
        <is>
          <t>band</t>
        </is>
      </c>
      <c r="E705" s="5" t="n">
        <v>2</v>
      </c>
      <c r="F705" s="5" t="inlineStr">
        <is>
          <t>unidentified</t>
        </is>
      </c>
      <c r="G705" s="5" t="inlineStr">
        <is>
          <t>C2</t>
        </is>
      </c>
      <c r="H705" s="5" t="inlineStr">
        <is>
          <t>no label votes</t>
        </is>
      </c>
      <c r="I705" s="5" t="inlineStr">
        <is>
          <t>(none)</t>
        </is>
      </c>
      <c r="J705" s="5" t="inlineStr"/>
      <c r="K705" s="5" t="inlineStr"/>
      <c r="L705" s="5" t="n">
        <v>224</v>
      </c>
      <c r="M705" s="5" t="n">
        <v>32</v>
      </c>
      <c r="N705" s="10">
        <f>IF(AND(ISNUMBER(L705),M705&gt;0),L705/M705,"")</f>
        <v/>
      </c>
      <c r="O705" s="5" t="n">
        <v>0.713</v>
      </c>
      <c r="P705" s="5" t="n">
        <v>1.7</v>
      </c>
      <c r="Q705" s="5" t="n">
        <v>1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0</v>
      </c>
      <c r="X705" s="5" t="n">
        <v>4</v>
      </c>
      <c r="Y705" s="5" t="n">
        <v>1.33</v>
      </c>
      <c r="Z705" s="5" t="inlineStr"/>
      <c r="AA705" s="5" t="n">
        <v>1133.6</v>
      </c>
      <c r="AB705" s="5" t="n">
        <v>2514.4</v>
      </c>
      <c r="AC705" s="5" t="n">
        <v>1200</v>
      </c>
      <c r="AD705" s="5" t="n">
        <v>2525.7</v>
      </c>
      <c r="AE705" s="5" t="inlineStr"/>
      <c r="AF705" s="5">
        <f>IF(AE705="","",IF(OR(AE705=F705,AND(AE705="crane_footing",F705="isolated_footing")),"yes","no"))</f>
        <v/>
      </c>
    </row>
    <row r="706">
      <c r="A706" s="5" t="n">
        <v>705</v>
      </c>
      <c r="B706" s="5" t="inlineStr">
        <is>
          <t>128</t>
        </is>
      </c>
      <c r="C706" s="5" t="inlineStr">
        <is>
          <t>region between joints</t>
        </is>
      </c>
      <c r="D706" s="5" t="inlineStr">
        <is>
          <t>band</t>
        </is>
      </c>
      <c r="E706" s="5" t="n">
        <v>2</v>
      </c>
      <c r="F706" s="5" t="inlineStr">
        <is>
          <t>unidentified</t>
        </is>
      </c>
      <c r="G706" s="5" t="inlineStr">
        <is>
          <t>C2</t>
        </is>
      </c>
      <c r="H706" s="5" t="inlineStr">
        <is>
          <t>no label votes</t>
        </is>
      </c>
      <c r="I706" s="5" t="inlineStr">
        <is>
          <t>(none)</t>
        </is>
      </c>
      <c r="J706" s="5" t="inlineStr"/>
      <c r="K706" s="5" t="inlineStr"/>
      <c r="L706" s="5" t="n">
        <v>224</v>
      </c>
      <c r="M706" s="5" t="n">
        <v>32</v>
      </c>
      <c r="N706" s="10">
        <f>IF(AND(ISNUMBER(L706),M706&gt;0),L706/M706,"")</f>
        <v/>
      </c>
      <c r="O706" s="5" t="n">
        <v>0.712</v>
      </c>
      <c r="P706" s="5" t="n">
        <v>101.6</v>
      </c>
      <c r="Q706" s="5" t="n">
        <v>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0</v>
      </c>
      <c r="X706" s="5" t="n">
        <v>6</v>
      </c>
      <c r="Y706" s="5" t="n">
        <v>2.24</v>
      </c>
      <c r="Z706" s="5" t="inlineStr"/>
      <c r="AA706" s="5" t="n">
        <v>1143</v>
      </c>
      <c r="AB706" s="5" t="n">
        <v>2561.2</v>
      </c>
      <c r="AC706" s="5" t="n">
        <v>1165.5</v>
      </c>
      <c r="AD706" s="5" t="n">
        <v>2627.9</v>
      </c>
      <c r="AE706" s="5" t="inlineStr"/>
      <c r="AF706" s="5">
        <f>IF(AE706="","",IF(OR(AE706=F706,AND(AE706="crane_footing",F706="isolated_footing")),"yes","no"))</f>
        <v/>
      </c>
    </row>
    <row r="707">
      <c r="A707" s="5" t="n">
        <v>706</v>
      </c>
      <c r="B707" s="5" t="inlineStr">
        <is>
          <t>128</t>
        </is>
      </c>
      <c r="C707" s="5" t="inlineStr">
        <is>
          <t>region between joints</t>
        </is>
      </c>
      <c r="D707" s="5" t="inlineStr">
        <is>
          <t>band</t>
        </is>
      </c>
      <c r="E707" s="5" t="n">
        <v>2</v>
      </c>
      <c r="F707" s="5" t="inlineStr">
        <is>
          <t>unidentified</t>
        </is>
      </c>
      <c r="G707" s="5" t="inlineStr">
        <is>
          <t>C2</t>
        </is>
      </c>
      <c r="H707" s="5" t="inlineStr">
        <is>
          <t>no label votes</t>
        </is>
      </c>
      <c r="I707" s="5" t="inlineStr">
        <is>
          <t>(none)</t>
        </is>
      </c>
      <c r="J707" s="5" t="inlineStr"/>
      <c r="K707" s="5" t="inlineStr"/>
      <c r="L707" s="5" t="n">
        <v>224</v>
      </c>
      <c r="M707" s="5" t="n">
        <v>32</v>
      </c>
      <c r="N707" s="10">
        <f>IF(AND(ISNUMBER(L707),M707&gt;0),L707/M707,"")</f>
        <v/>
      </c>
      <c r="O707" s="5" t="n">
        <v>0.711</v>
      </c>
      <c r="P707" s="5" t="n">
        <v>1.7</v>
      </c>
      <c r="Q707" s="5" t="n">
        <v>1</v>
      </c>
      <c r="R707" s="5" t="n">
        <v>1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0</v>
      </c>
      <c r="X707" s="5" t="n">
        <v>4</v>
      </c>
      <c r="Y707" s="5" t="n">
        <v>0.6899999999999999</v>
      </c>
      <c r="Z707" s="5" t="inlineStr"/>
      <c r="AA707" s="5" t="n">
        <v>1144.8</v>
      </c>
      <c r="AB707" s="5" t="n">
        <v>2505.3</v>
      </c>
      <c r="AC707" s="5" t="n">
        <v>1211.1</v>
      </c>
      <c r="AD707" s="5" t="n">
        <v>2516.6</v>
      </c>
      <c r="AE707" s="5" t="inlineStr"/>
      <c r="AF707" s="5">
        <f>IF(AE707="","",IF(OR(AE707=F707,AND(AE707="crane_footing",F707="isolated_footing")),"yes","no"))</f>
        <v/>
      </c>
    </row>
    <row r="708">
      <c r="A708" s="5" t="n">
        <v>707</v>
      </c>
      <c r="B708" s="5" t="inlineStr">
        <is>
          <t>128</t>
        </is>
      </c>
      <c r="C708" s="5" t="inlineStr">
        <is>
          <t>region between joints</t>
        </is>
      </c>
      <c r="D708" s="5" t="inlineStr">
        <is>
          <t>band</t>
        </is>
      </c>
      <c r="E708" s="5" t="n">
        <v>2</v>
      </c>
      <c r="F708" s="5" t="inlineStr">
        <is>
          <t>unidentified</t>
        </is>
      </c>
      <c r="G708" s="5" t="inlineStr">
        <is>
          <t>C2</t>
        </is>
      </c>
      <c r="H708" s="5" t="inlineStr">
        <is>
          <t>no label votes</t>
        </is>
      </c>
      <c r="I708" s="5" t="inlineStr">
        <is>
          <t>(none)</t>
        </is>
      </c>
      <c r="J708" s="5" t="inlineStr"/>
      <c r="K708" s="5" t="inlineStr"/>
      <c r="L708" s="5" t="n">
        <v>224</v>
      </c>
      <c r="M708" s="5" t="n">
        <v>32</v>
      </c>
      <c r="N708" s="10">
        <f>IF(AND(ISNUMBER(L708),M708&gt;0),L708/M708,"")</f>
        <v/>
      </c>
      <c r="O708" s="5" t="n">
        <v>0.711</v>
      </c>
      <c r="P708" s="5" t="n">
        <v>101.6</v>
      </c>
      <c r="Q708" s="5" t="n">
        <v>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0</v>
      </c>
      <c r="X708" s="5" t="n">
        <v>6</v>
      </c>
      <c r="Y708" s="5" t="n">
        <v>2.24</v>
      </c>
      <c r="Z708" s="5" t="inlineStr"/>
      <c r="AA708" s="5" t="n">
        <v>1131.5</v>
      </c>
      <c r="AB708" s="5" t="n">
        <v>2570.6</v>
      </c>
      <c r="AC708" s="5" t="n">
        <v>1154</v>
      </c>
      <c r="AD708" s="5" t="n">
        <v>2637.2</v>
      </c>
      <c r="AE708" s="5" t="inlineStr"/>
      <c r="AF708" s="5">
        <f>IF(AE708="","",IF(OR(AE708=F708,AND(AE708="crane_footing",F708="isolated_footing")),"yes","no"))</f>
        <v/>
      </c>
    </row>
    <row r="709">
      <c r="A709" s="5" t="n">
        <v>708</v>
      </c>
      <c r="B709" s="5" t="inlineStr">
        <is>
          <t>128</t>
        </is>
      </c>
      <c r="C709" s="5" t="inlineStr">
        <is>
          <t>region between joints</t>
        </is>
      </c>
      <c r="D709" s="5" t="inlineStr">
        <is>
          <t>band</t>
        </is>
      </c>
      <c r="E709" s="5" t="n">
        <v>2</v>
      </c>
      <c r="F709" s="5" t="inlineStr">
        <is>
          <t>unidentified</t>
        </is>
      </c>
      <c r="G709" s="5" t="inlineStr">
        <is>
          <t>C2</t>
        </is>
      </c>
      <c r="H709" s="5" t="inlineStr">
        <is>
          <t>no label votes</t>
        </is>
      </c>
      <c r="I709" s="5" t="inlineStr">
        <is>
          <t>(none)</t>
        </is>
      </c>
      <c r="J709" s="5" t="inlineStr"/>
      <c r="K709" s="5" t="inlineStr"/>
      <c r="L709" s="5" t="n">
        <v>224</v>
      </c>
      <c r="M709" s="5" t="n">
        <v>32</v>
      </c>
      <c r="N709" s="10">
        <f>IF(AND(ISNUMBER(L709),M709&gt;0),L709/M709,"")</f>
        <v/>
      </c>
      <c r="O709" s="5" t="n">
        <v>0.711</v>
      </c>
      <c r="P709" s="5" t="n">
        <v>1.7</v>
      </c>
      <c r="Q709" s="5" t="n">
        <v>1</v>
      </c>
      <c r="R709" s="5" t="n">
        <v>1</v>
      </c>
      <c r="S709" s="5" t="n">
        <v>0</v>
      </c>
      <c r="T709" s="5" t="n">
        <v>0</v>
      </c>
      <c r="U709" s="5" t="n">
        <v>0</v>
      </c>
      <c r="V709" s="5" t="n">
        <v>0</v>
      </c>
      <c r="W709" s="5" t="n">
        <v>1</v>
      </c>
      <c r="X709" s="5" t="n">
        <v>4</v>
      </c>
      <c r="Y709" s="5" t="n">
        <v>0.05</v>
      </c>
      <c r="Z709" s="5" t="inlineStr"/>
      <c r="AA709" s="5" t="n">
        <v>1155.9</v>
      </c>
      <c r="AB709" s="5" t="n">
        <v>2496.2</v>
      </c>
      <c r="AC709" s="5" t="n">
        <v>1222.2</v>
      </c>
      <c r="AD709" s="5" t="n">
        <v>2507.5</v>
      </c>
      <c r="AE709" s="5" t="inlineStr"/>
      <c r="AF709" s="5">
        <f>IF(AE709="","",IF(OR(AE709=F709,AND(AE709="crane_footing",F709="isolated_footing")),"yes","no"))</f>
        <v/>
      </c>
    </row>
    <row r="710">
      <c r="A710" s="5" t="n">
        <v>709</v>
      </c>
      <c r="B710" s="5" t="inlineStr">
        <is>
          <t>128</t>
        </is>
      </c>
      <c r="C710" s="5" t="inlineStr">
        <is>
          <t>region between joints</t>
        </is>
      </c>
      <c r="D710" s="5" t="inlineStr">
        <is>
          <t>band</t>
        </is>
      </c>
      <c r="E710" s="5" t="n">
        <v>2</v>
      </c>
      <c r="F710" s="5" t="inlineStr">
        <is>
          <t>unidentified</t>
        </is>
      </c>
      <c r="G710" s="5" t="inlineStr">
        <is>
          <t>C2</t>
        </is>
      </c>
      <c r="H710" s="5" t="inlineStr">
        <is>
          <t>no label votes</t>
        </is>
      </c>
      <c r="I710" s="5" t="inlineStr">
        <is>
          <t>(none)</t>
        </is>
      </c>
      <c r="J710" s="5" t="inlineStr"/>
      <c r="K710" s="5" t="inlineStr"/>
      <c r="L710" s="5" t="n">
        <v>223</v>
      </c>
      <c r="M710" s="5" t="n">
        <v>32</v>
      </c>
      <c r="N710" s="10">
        <f>IF(AND(ISNUMBER(L710),M710&gt;0),L710/M710,"")</f>
        <v/>
      </c>
      <c r="O710" s="5" t="n">
        <v>0.711</v>
      </c>
      <c r="P710" s="5" t="n">
        <v>1.6</v>
      </c>
      <c r="Q710" s="5" t="n">
        <v>0</v>
      </c>
      <c r="R710" s="5" t="n">
        <v>1</v>
      </c>
      <c r="S710" s="5" t="n">
        <v>0</v>
      </c>
      <c r="T710" s="5" t="n">
        <v>0</v>
      </c>
      <c r="U710" s="5" t="n">
        <v>0</v>
      </c>
      <c r="V710" s="5" t="n">
        <v>0</v>
      </c>
      <c r="W710" s="5" t="n">
        <v>1</v>
      </c>
      <c r="X710" s="5" t="n">
        <v>3</v>
      </c>
      <c r="Y710" s="5" t="n">
        <v>0.22</v>
      </c>
      <c r="Z710" s="5" t="inlineStr"/>
      <c r="AA710" s="5" t="n">
        <v>857</v>
      </c>
      <c r="AB710" s="5" t="n">
        <v>2741</v>
      </c>
      <c r="AC710" s="5" t="n">
        <v>923.3</v>
      </c>
      <c r="AD710" s="5" t="n">
        <v>2752.2</v>
      </c>
      <c r="AE710" s="5" t="inlineStr"/>
      <c r="AF710" s="5">
        <f>IF(AE710="","",IF(OR(AE710=F710,AND(AE710="crane_footing",F710="isolated_footing")),"yes","no"))</f>
        <v/>
      </c>
    </row>
    <row r="711">
      <c r="A711" s="5" t="n">
        <v>710</v>
      </c>
      <c r="B711" s="5" t="inlineStr">
        <is>
          <t>128</t>
        </is>
      </c>
      <c r="C711" s="5" t="inlineStr">
        <is>
          <t>region between joints</t>
        </is>
      </c>
      <c r="D711" s="5" t="inlineStr">
        <is>
          <t>band</t>
        </is>
      </c>
      <c r="E711" s="5" t="n">
        <v>2</v>
      </c>
      <c r="F711" s="5" t="inlineStr">
        <is>
          <t>unidentified</t>
        </is>
      </c>
      <c r="G711" s="5" t="inlineStr">
        <is>
          <t>C2</t>
        </is>
      </c>
      <c r="H711" s="5" t="inlineStr">
        <is>
          <t>no label votes</t>
        </is>
      </c>
      <c r="I711" s="5" t="inlineStr">
        <is>
          <t>(none)</t>
        </is>
      </c>
      <c r="J711" s="5" t="inlineStr"/>
      <c r="K711" s="5" t="inlineStr"/>
      <c r="L711" s="5" t="n">
        <v>223</v>
      </c>
      <c r="M711" s="5" t="n">
        <v>32</v>
      </c>
      <c r="N711" s="10">
        <f>IF(AND(ISNUMBER(L711),M711&gt;0),L711/M711,"")</f>
        <v/>
      </c>
      <c r="O711" s="5" t="n">
        <v>0.709</v>
      </c>
      <c r="P711" s="5" t="n">
        <v>1.6</v>
      </c>
      <c r="Q711" s="5" t="n">
        <v>1</v>
      </c>
      <c r="R711" s="5" t="n">
        <v>1</v>
      </c>
      <c r="S711" s="5" t="n">
        <v>0</v>
      </c>
      <c r="T711" s="5" t="n">
        <v>0</v>
      </c>
      <c r="U711" s="5" t="n">
        <v>0</v>
      </c>
      <c r="V711" s="5" t="n">
        <v>0</v>
      </c>
      <c r="W711" s="5" t="n">
        <v>0</v>
      </c>
      <c r="X711" s="5" t="n">
        <v>3</v>
      </c>
      <c r="Y711" s="5" t="n">
        <v>0</v>
      </c>
      <c r="Z711" s="5" t="inlineStr"/>
      <c r="AA711" s="5" t="n">
        <v>1167.1</v>
      </c>
      <c r="AB711" s="5" t="n">
        <v>2487.2</v>
      </c>
      <c r="AC711" s="5" t="n">
        <v>1233.2</v>
      </c>
      <c r="AD711" s="5" t="n">
        <v>2498.4</v>
      </c>
      <c r="AE711" s="5" t="inlineStr"/>
      <c r="AF711" s="5">
        <f>IF(AE711="","",IF(OR(AE711=F711,AND(AE711="crane_footing",F711="isolated_footing")),"yes","no"))</f>
        <v/>
      </c>
    </row>
    <row r="712">
      <c r="A712" s="5" t="n">
        <v>711</v>
      </c>
      <c r="B712" s="5" t="inlineStr">
        <is>
          <t>128</t>
        </is>
      </c>
      <c r="C712" s="5" t="inlineStr">
        <is>
          <t>region between joints</t>
        </is>
      </c>
      <c r="D712" s="5" t="inlineStr">
        <is>
          <t>band</t>
        </is>
      </c>
      <c r="E712" s="5" t="n">
        <v>2</v>
      </c>
      <c r="F712" s="5" t="inlineStr">
        <is>
          <t>unidentified</t>
        </is>
      </c>
      <c r="G712" s="5" t="inlineStr">
        <is>
          <t>C2</t>
        </is>
      </c>
      <c r="H712" s="5" t="inlineStr">
        <is>
          <t>no label votes</t>
        </is>
      </c>
      <c r="I712" s="5" t="inlineStr">
        <is>
          <t>(none)</t>
        </is>
      </c>
      <c r="J712" s="5" t="inlineStr"/>
      <c r="K712" s="5" t="inlineStr"/>
      <c r="L712" s="5" t="n">
        <v>223</v>
      </c>
      <c r="M712" s="5" t="n">
        <v>32</v>
      </c>
      <c r="N712" s="10">
        <f>IF(AND(ISNUMBER(L712),M712&gt;0),L712/M712,"")</f>
        <v/>
      </c>
      <c r="O712" s="5" t="n">
        <v>0.709</v>
      </c>
      <c r="P712" s="5" t="n">
        <v>101.6</v>
      </c>
      <c r="Q712" s="5" t="n">
        <v>0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0</v>
      </c>
      <c r="W712" s="5" t="n">
        <v>1</v>
      </c>
      <c r="X712" s="5" t="n">
        <v>6</v>
      </c>
      <c r="Y712" s="5" t="n">
        <v>2.23</v>
      </c>
      <c r="Z712" s="5" t="inlineStr"/>
      <c r="AA712" s="5" t="n">
        <v>1120</v>
      </c>
      <c r="AB712" s="5" t="n">
        <v>2580</v>
      </c>
      <c r="AC712" s="5" t="n">
        <v>1142.5</v>
      </c>
      <c r="AD712" s="5" t="n">
        <v>2646.4</v>
      </c>
      <c r="AE712" s="5" t="inlineStr"/>
      <c r="AF712" s="5">
        <f>IF(AE712="","",IF(OR(AE712=F712,AND(AE712="crane_footing",F712="isolated_footing")),"yes","no"))</f>
        <v/>
      </c>
    </row>
    <row r="713">
      <c r="A713" s="5" t="n">
        <v>712</v>
      </c>
      <c r="B713" s="5" t="inlineStr">
        <is>
          <t>128</t>
        </is>
      </c>
      <c r="C713" s="5" t="inlineStr">
        <is>
          <t>region between joints</t>
        </is>
      </c>
      <c r="D713" s="5" t="inlineStr">
        <is>
          <t>band</t>
        </is>
      </c>
      <c r="E713" s="5" t="n">
        <v>2</v>
      </c>
      <c r="F713" s="5" t="inlineStr">
        <is>
          <t>unidentified</t>
        </is>
      </c>
      <c r="G713" s="5" t="inlineStr">
        <is>
          <t>C2</t>
        </is>
      </c>
      <c r="H713" s="5" t="inlineStr">
        <is>
          <t>no label votes</t>
        </is>
      </c>
      <c r="I713" s="5" t="inlineStr">
        <is>
          <t>(none)</t>
        </is>
      </c>
      <c r="J713" s="5" t="inlineStr"/>
      <c r="K713" s="5" t="inlineStr"/>
      <c r="L713" s="5" t="n">
        <v>223</v>
      </c>
      <c r="M713" s="5" t="n">
        <v>32</v>
      </c>
      <c r="N713" s="10">
        <f>IF(AND(ISNUMBER(L713),M713&gt;0),L713/M713,"")</f>
        <v/>
      </c>
      <c r="O713" s="5" t="n">
        <v>0.708</v>
      </c>
      <c r="P713" s="5" t="n">
        <v>101.6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0</v>
      </c>
      <c r="W713" s="5" t="n">
        <v>0</v>
      </c>
      <c r="X713" s="5" t="n">
        <v>6</v>
      </c>
      <c r="Y713" s="5" t="n">
        <v>1.96</v>
      </c>
      <c r="Z713" s="5" t="inlineStr"/>
      <c r="AA713" s="5" t="n">
        <v>1108.5</v>
      </c>
      <c r="AB713" s="5" t="n">
        <v>2589.4</v>
      </c>
      <c r="AC713" s="5" t="n">
        <v>1131</v>
      </c>
      <c r="AD713" s="5" t="n">
        <v>2655.7</v>
      </c>
      <c r="AE713" s="5" t="inlineStr"/>
      <c r="AF713" s="5">
        <f>IF(AE713="","",IF(OR(AE713=F713,AND(AE713="crane_footing",F713="isolated_footing")),"yes","no"))</f>
        <v/>
      </c>
    </row>
    <row r="714">
      <c r="A714" s="5" t="n">
        <v>713</v>
      </c>
      <c r="B714" s="5" t="inlineStr">
        <is>
          <t>128</t>
        </is>
      </c>
      <c r="C714" s="5" t="inlineStr">
        <is>
          <t>region between joints</t>
        </is>
      </c>
      <c r="D714" s="5" t="inlineStr">
        <is>
          <t>band</t>
        </is>
      </c>
      <c r="E714" s="5" t="n">
        <v>2</v>
      </c>
      <c r="F714" s="5" t="inlineStr">
        <is>
          <t>unidentified</t>
        </is>
      </c>
      <c r="G714" s="5" t="inlineStr">
        <is>
          <t>C2</t>
        </is>
      </c>
      <c r="H714" s="5" t="inlineStr">
        <is>
          <t>no label votes</t>
        </is>
      </c>
      <c r="I714" s="5" t="inlineStr">
        <is>
          <t>(none)</t>
        </is>
      </c>
      <c r="J714" s="5" t="inlineStr"/>
      <c r="K714" s="5" t="inlineStr"/>
      <c r="L714" s="5" t="n">
        <v>223</v>
      </c>
      <c r="M714" s="5" t="n">
        <v>32</v>
      </c>
      <c r="N714" s="10">
        <f>IF(AND(ISNUMBER(L714),M714&gt;0),L714/M714,"")</f>
        <v/>
      </c>
      <c r="O714" s="5" t="n">
        <v>0.708</v>
      </c>
      <c r="P714" s="5" t="n">
        <v>1.6</v>
      </c>
      <c r="Q714" s="5" t="n">
        <v>1</v>
      </c>
      <c r="R714" s="5" t="n">
        <v>1</v>
      </c>
      <c r="S714" s="5" t="n">
        <v>0</v>
      </c>
      <c r="T714" s="5" t="n">
        <v>0</v>
      </c>
      <c r="U714" s="5" t="n">
        <v>0</v>
      </c>
      <c r="V714" s="5" t="n">
        <v>0</v>
      </c>
      <c r="W714" s="5" t="n">
        <v>1</v>
      </c>
      <c r="X714" s="5" t="n">
        <v>4</v>
      </c>
      <c r="Y714" s="5" t="n">
        <v>0</v>
      </c>
      <c r="Z714" s="5" t="inlineStr"/>
      <c r="AA714" s="5" t="n">
        <v>1178.3</v>
      </c>
      <c r="AB714" s="5" t="n">
        <v>2478.1</v>
      </c>
      <c r="AC714" s="5" t="n">
        <v>1244.3</v>
      </c>
      <c r="AD714" s="5" t="n">
        <v>2489.4</v>
      </c>
      <c r="AE714" s="5" t="inlineStr"/>
      <c r="AF714" s="5">
        <f>IF(AE714="","",IF(OR(AE714=F714,AND(AE714="crane_footing",F714="isolated_footing")),"yes","no"))</f>
        <v/>
      </c>
    </row>
    <row r="715">
      <c r="A715" s="5" t="n">
        <v>714</v>
      </c>
      <c r="B715" s="5" t="inlineStr">
        <is>
          <t>128</t>
        </is>
      </c>
      <c r="C715" s="5" t="inlineStr">
        <is>
          <t>region between joints</t>
        </is>
      </c>
      <c r="D715" s="5" t="inlineStr">
        <is>
          <t>band</t>
        </is>
      </c>
      <c r="E715" s="5" t="n">
        <v>2</v>
      </c>
      <c r="F715" s="5" t="inlineStr">
        <is>
          <t>unidentified</t>
        </is>
      </c>
      <c r="G715" s="5" t="inlineStr">
        <is>
          <t>C2</t>
        </is>
      </c>
      <c r="H715" s="5" t="inlineStr">
        <is>
          <t>no label votes</t>
        </is>
      </c>
      <c r="I715" s="5" t="inlineStr">
        <is>
          <t>(none)</t>
        </is>
      </c>
      <c r="J715" s="5" t="inlineStr"/>
      <c r="K715" s="5" t="inlineStr"/>
      <c r="L715" s="5" t="n">
        <v>222</v>
      </c>
      <c r="M715" s="5" t="n">
        <v>32</v>
      </c>
      <c r="N715" s="10">
        <f>IF(AND(ISNUMBER(L715),M715&gt;0),L715/M715,"")</f>
        <v/>
      </c>
      <c r="O715" s="5" t="n">
        <v>0.707</v>
      </c>
      <c r="P715" s="5" t="n">
        <v>1.6</v>
      </c>
      <c r="Q715" s="5" t="n">
        <v>1</v>
      </c>
      <c r="R715" s="5" t="n">
        <v>1</v>
      </c>
      <c r="S715" s="5" t="n">
        <v>0</v>
      </c>
      <c r="T715" s="5" t="n">
        <v>0</v>
      </c>
      <c r="U715" s="5" t="n">
        <v>0</v>
      </c>
      <c r="V715" s="5" t="n">
        <v>0</v>
      </c>
      <c r="W715" s="5" t="n">
        <v>0</v>
      </c>
      <c r="X715" s="5" t="n">
        <v>4</v>
      </c>
      <c r="Y715" s="5" t="n">
        <v>0</v>
      </c>
      <c r="Z715" s="5" t="inlineStr"/>
      <c r="AA715" s="5" t="n">
        <v>1189.5</v>
      </c>
      <c r="AB715" s="5" t="n">
        <v>2469.1</v>
      </c>
      <c r="AC715" s="5" t="n">
        <v>1255.3</v>
      </c>
      <c r="AD715" s="5" t="n">
        <v>2480.3</v>
      </c>
      <c r="AE715" s="5" t="inlineStr"/>
      <c r="AF715" s="5">
        <f>IF(AE715="","",IF(OR(AE715=F715,AND(AE715="crane_footing",F715="isolated_footing")),"yes","no"))</f>
        <v/>
      </c>
    </row>
    <row r="716">
      <c r="A716" s="5" t="n">
        <v>715</v>
      </c>
      <c r="B716" s="5" t="inlineStr">
        <is>
          <t>128</t>
        </is>
      </c>
      <c r="C716" s="5" t="inlineStr">
        <is>
          <t>region between joints</t>
        </is>
      </c>
      <c r="D716" s="5" t="inlineStr">
        <is>
          <t>band</t>
        </is>
      </c>
      <c r="E716" s="5" t="n">
        <v>2</v>
      </c>
      <c r="F716" s="5" t="inlineStr">
        <is>
          <t>unidentified</t>
        </is>
      </c>
      <c r="G716" s="5" t="inlineStr">
        <is>
          <t>C2</t>
        </is>
      </c>
      <c r="H716" s="5" t="inlineStr">
        <is>
          <t>no label votes</t>
        </is>
      </c>
      <c r="I716" s="5" t="inlineStr">
        <is>
          <t>(none)</t>
        </is>
      </c>
      <c r="J716" s="5" t="inlineStr"/>
      <c r="K716" s="5" t="inlineStr"/>
      <c r="L716" s="5" t="n">
        <v>222</v>
      </c>
      <c r="M716" s="5" t="n">
        <v>32</v>
      </c>
      <c r="N716" s="10">
        <f>IF(AND(ISNUMBER(L716),M716&gt;0),L716/M716,"")</f>
        <v/>
      </c>
      <c r="O716" s="5" t="n">
        <v>0.706</v>
      </c>
      <c r="P716" s="5" t="n">
        <v>101.7</v>
      </c>
      <c r="Q716" s="5" t="n">
        <v>1</v>
      </c>
      <c r="R716" s="5" t="n">
        <v>0</v>
      </c>
      <c r="S716" s="5" t="n">
        <v>0</v>
      </c>
      <c r="T716" s="5" t="n">
        <v>0</v>
      </c>
      <c r="U716" s="5" t="n">
        <v>0</v>
      </c>
      <c r="V716" s="5" t="n">
        <v>0</v>
      </c>
      <c r="W716" s="5" t="n">
        <v>0</v>
      </c>
      <c r="X716" s="5" t="n">
        <v>6</v>
      </c>
      <c r="Y716" s="5" t="n">
        <v>1.96</v>
      </c>
      <c r="Z716" s="5" t="inlineStr"/>
      <c r="AA716" s="5" t="n">
        <v>1097.1</v>
      </c>
      <c r="AB716" s="5" t="n">
        <v>2598.9</v>
      </c>
      <c r="AC716" s="5" t="n">
        <v>1119.5</v>
      </c>
      <c r="AD716" s="5" t="n">
        <v>2665</v>
      </c>
      <c r="AE716" s="5" t="inlineStr"/>
      <c r="AF716" s="5">
        <f>IF(AE716="","",IF(OR(AE716=F716,AND(AE716="crane_footing",F716="isolated_footing")),"yes","no"))</f>
        <v/>
      </c>
    </row>
    <row r="717">
      <c r="A717" s="5" t="n">
        <v>716</v>
      </c>
      <c r="B717" s="5" t="inlineStr">
        <is>
          <t>128</t>
        </is>
      </c>
      <c r="C717" s="5" t="inlineStr">
        <is>
          <t>region between joints</t>
        </is>
      </c>
      <c r="D717" s="5" t="inlineStr">
        <is>
          <t>band</t>
        </is>
      </c>
      <c r="E717" s="5" t="n">
        <v>2</v>
      </c>
      <c r="F717" s="5" t="inlineStr">
        <is>
          <t>unidentified</t>
        </is>
      </c>
      <c r="G717" s="5" t="inlineStr">
        <is>
          <t>C2</t>
        </is>
      </c>
      <c r="H717" s="5" t="inlineStr">
        <is>
          <t>no label votes</t>
        </is>
      </c>
      <c r="I717" s="5" t="inlineStr">
        <is>
          <t>(none)</t>
        </is>
      </c>
      <c r="J717" s="5" t="inlineStr"/>
      <c r="K717" s="5" t="inlineStr"/>
      <c r="L717" s="5" t="n">
        <v>222</v>
      </c>
      <c r="M717" s="5" t="n">
        <v>32</v>
      </c>
      <c r="N717" s="10">
        <f>IF(AND(ISNUMBER(L717),M717&gt;0),L717/M717,"")</f>
        <v/>
      </c>
      <c r="O717" s="5" t="n">
        <v>0.705</v>
      </c>
      <c r="P717" s="5" t="n">
        <v>101.6</v>
      </c>
      <c r="Q717" s="5" t="n">
        <v>1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0</v>
      </c>
      <c r="X717" s="5" t="n">
        <v>6</v>
      </c>
      <c r="Y717" s="5" t="n">
        <v>1.96</v>
      </c>
      <c r="Z717" s="5" t="inlineStr"/>
      <c r="AA717" s="5" t="n">
        <v>1085.6</v>
      </c>
      <c r="AB717" s="5" t="n">
        <v>2608.3</v>
      </c>
      <c r="AC717" s="5" t="n">
        <v>1108</v>
      </c>
      <c r="AD717" s="5" t="n">
        <v>2674.3</v>
      </c>
      <c r="AE717" s="5" t="inlineStr"/>
      <c r="AF717" s="5">
        <f>IF(AE717="","",IF(OR(AE717=F717,AND(AE717="crane_footing",F717="isolated_footing")),"yes","no"))</f>
        <v/>
      </c>
    </row>
    <row r="718">
      <c r="A718" s="5" t="n">
        <v>717</v>
      </c>
      <c r="B718" s="5" t="inlineStr">
        <is>
          <t>128</t>
        </is>
      </c>
      <c r="C718" s="5" t="inlineStr">
        <is>
          <t>region between joints</t>
        </is>
      </c>
      <c r="D718" s="5" t="inlineStr">
        <is>
          <t>band</t>
        </is>
      </c>
      <c r="E718" s="5" t="n">
        <v>2</v>
      </c>
      <c r="F718" s="5" t="inlineStr">
        <is>
          <t>unidentified</t>
        </is>
      </c>
      <c r="G718" s="5" t="inlineStr">
        <is>
          <t>C2</t>
        </is>
      </c>
      <c r="H718" s="5" t="inlineStr">
        <is>
          <t>no label votes</t>
        </is>
      </c>
      <c r="I718" s="5" t="inlineStr">
        <is>
          <t>(none)</t>
        </is>
      </c>
      <c r="J718" s="5" t="inlineStr"/>
      <c r="K718" s="5" t="inlineStr"/>
      <c r="L718" s="5" t="n">
        <v>221</v>
      </c>
      <c r="M718" s="5" t="n">
        <v>32</v>
      </c>
      <c r="N718" s="10">
        <f>IF(AND(ISNUMBER(L718),M718&gt;0),L718/M718,"")</f>
        <v/>
      </c>
      <c r="O718" s="5" t="n">
        <v>0.703</v>
      </c>
      <c r="P718" s="5" t="n">
        <v>101.6</v>
      </c>
      <c r="Q718" s="5" t="n">
        <v>1</v>
      </c>
      <c r="R718" s="5" t="n">
        <v>0</v>
      </c>
      <c r="S718" s="5" t="n">
        <v>0</v>
      </c>
      <c r="T718" s="5" t="n">
        <v>0</v>
      </c>
      <c r="U718" s="5" t="n">
        <v>0</v>
      </c>
      <c r="V718" s="5" t="n">
        <v>0</v>
      </c>
      <c r="W718" s="5" t="n">
        <v>1</v>
      </c>
      <c r="X718" s="5" t="n">
        <v>6</v>
      </c>
      <c r="Y718" s="5" t="n">
        <v>1.95</v>
      </c>
      <c r="Z718" s="5" t="inlineStr"/>
      <c r="AA718" s="5" t="n">
        <v>1074.1</v>
      </c>
      <c r="AB718" s="5" t="n">
        <v>2617.7</v>
      </c>
      <c r="AC718" s="5" t="n">
        <v>1096.4</v>
      </c>
      <c r="AD718" s="5" t="n">
        <v>2683.5</v>
      </c>
      <c r="AE718" s="5" t="inlineStr"/>
      <c r="AF718" s="5">
        <f>IF(AE718="","",IF(OR(AE718=F718,AND(AE718="crane_footing",F718="isolated_footing")),"yes","no"))</f>
        <v/>
      </c>
    </row>
    <row r="719">
      <c r="A719" s="5" t="n">
        <v>718</v>
      </c>
      <c r="B719" s="5" t="inlineStr">
        <is>
          <t>128</t>
        </is>
      </c>
      <c r="C719" s="5" t="inlineStr">
        <is>
          <t>region between joints</t>
        </is>
      </c>
      <c r="D719" s="5" t="inlineStr">
        <is>
          <t>band</t>
        </is>
      </c>
      <c r="E719" s="5" t="n">
        <v>2</v>
      </c>
      <c r="F719" s="5" t="inlineStr">
        <is>
          <t>unidentified</t>
        </is>
      </c>
      <c r="G719" s="5" t="inlineStr">
        <is>
          <t>C2</t>
        </is>
      </c>
      <c r="H719" s="5" t="inlineStr">
        <is>
          <t>no label votes</t>
        </is>
      </c>
      <c r="I719" s="5" t="inlineStr">
        <is>
          <t>(none)</t>
        </is>
      </c>
      <c r="J719" s="5" t="inlineStr"/>
      <c r="K719" s="5" t="inlineStr"/>
      <c r="L719" s="5" t="n">
        <v>221</v>
      </c>
      <c r="M719" s="5" t="n">
        <v>32</v>
      </c>
      <c r="N719" s="10">
        <f>IF(AND(ISNUMBER(L719),M719&gt;0),L719/M719,"")</f>
        <v/>
      </c>
      <c r="O719" s="5" t="n">
        <v>0.701</v>
      </c>
      <c r="P719" s="5" t="n">
        <v>101.6</v>
      </c>
      <c r="Q719" s="5" t="n">
        <v>1</v>
      </c>
      <c r="R719" s="5" t="n">
        <v>0</v>
      </c>
      <c r="S719" s="5" t="n">
        <v>0</v>
      </c>
      <c r="T719" s="5" t="n">
        <v>0</v>
      </c>
      <c r="U719" s="5" t="n">
        <v>0</v>
      </c>
      <c r="V719" s="5" t="n">
        <v>0</v>
      </c>
      <c r="W719" s="5" t="n">
        <v>1</v>
      </c>
      <c r="X719" s="5" t="n">
        <v>5</v>
      </c>
      <c r="Y719" s="5" t="n">
        <v>1.95</v>
      </c>
      <c r="Z719" s="5" t="inlineStr"/>
      <c r="AA719" s="5" t="n">
        <v>1062.6</v>
      </c>
      <c r="AB719" s="5" t="n">
        <v>2627.2</v>
      </c>
      <c r="AC719" s="5" t="n">
        <v>1084.9</v>
      </c>
      <c r="AD719" s="5" t="n">
        <v>2692.9</v>
      </c>
      <c r="AE719" s="5" t="inlineStr"/>
      <c r="AF719" s="5">
        <f>IF(AE719="","",IF(OR(AE719=F719,AND(AE719="crane_footing",F719="isolated_footing")),"yes","no"))</f>
        <v/>
      </c>
    </row>
    <row r="720">
      <c r="A720" s="5" t="n">
        <v>719</v>
      </c>
      <c r="B720" s="5" t="inlineStr">
        <is>
          <t>128</t>
        </is>
      </c>
      <c r="C720" s="5" t="inlineStr">
        <is>
          <t>region between joints</t>
        </is>
      </c>
      <c r="D720" s="5" t="inlineStr">
        <is>
          <t>band</t>
        </is>
      </c>
      <c r="E720" s="5" t="n">
        <v>2</v>
      </c>
      <c r="F720" s="5" t="inlineStr">
        <is>
          <t>unidentified</t>
        </is>
      </c>
      <c r="G720" s="5" t="inlineStr">
        <is>
          <t>C2</t>
        </is>
      </c>
      <c r="H720" s="5" t="inlineStr">
        <is>
          <t>no label votes</t>
        </is>
      </c>
      <c r="I720" s="5" t="inlineStr">
        <is>
          <t>(none)</t>
        </is>
      </c>
      <c r="J720" s="5" t="inlineStr"/>
      <c r="K720" s="5" t="inlineStr"/>
      <c r="L720" s="5" t="n">
        <v>220</v>
      </c>
      <c r="M720" s="5" t="n">
        <v>32</v>
      </c>
      <c r="N720" s="10">
        <f>IF(AND(ISNUMBER(L720),M720&gt;0),L720/M720,"")</f>
        <v/>
      </c>
      <c r="O720" s="5" t="n">
        <v>0.7</v>
      </c>
      <c r="P720" s="5" t="n">
        <v>101.6</v>
      </c>
      <c r="Q720" s="5" t="n">
        <v>1</v>
      </c>
      <c r="R720" s="5" t="n">
        <v>0</v>
      </c>
      <c r="S720" s="5" t="n">
        <v>0</v>
      </c>
      <c r="T720" s="5" t="n">
        <v>0</v>
      </c>
      <c r="U720" s="5" t="n">
        <v>0</v>
      </c>
      <c r="V720" s="5" t="n">
        <v>0</v>
      </c>
      <c r="W720" s="5" t="n">
        <v>1</v>
      </c>
      <c r="X720" s="5" t="n">
        <v>5</v>
      </c>
      <c r="Y720" s="5" t="n">
        <v>1.95</v>
      </c>
      <c r="Z720" s="5" t="inlineStr"/>
      <c r="AA720" s="5" t="n">
        <v>1051.1</v>
      </c>
      <c r="AB720" s="5" t="n">
        <v>2636.5</v>
      </c>
      <c r="AC720" s="5" t="n">
        <v>1073.4</v>
      </c>
      <c r="AD720" s="5" t="n">
        <v>2702.1</v>
      </c>
      <c r="AE720" s="5" t="inlineStr"/>
      <c r="AF720" s="5">
        <f>IF(AE720="","",IF(OR(AE720=F720,AND(AE720="crane_footing",F720="isolated_footing")),"yes","no"))</f>
        <v/>
      </c>
    </row>
    <row r="721">
      <c r="A721" s="5" t="n">
        <v>720</v>
      </c>
      <c r="B721" s="5" t="inlineStr">
        <is>
          <t>128</t>
        </is>
      </c>
      <c r="C721" s="5" t="inlineStr">
        <is>
          <t>region between joints</t>
        </is>
      </c>
      <c r="D721" s="5" t="inlineStr">
        <is>
          <t>band</t>
        </is>
      </c>
      <c r="E721" s="5" t="n">
        <v>2</v>
      </c>
      <c r="F721" s="5" t="inlineStr">
        <is>
          <t>unidentified</t>
        </is>
      </c>
      <c r="G721" s="5" t="inlineStr">
        <is>
          <t>C2</t>
        </is>
      </c>
      <c r="H721" s="5" t="inlineStr">
        <is>
          <t>no label votes</t>
        </is>
      </c>
      <c r="I721" s="5" t="inlineStr">
        <is>
          <t>(none)</t>
        </is>
      </c>
      <c r="J721" s="5" t="inlineStr"/>
      <c r="K721" s="5" t="inlineStr"/>
      <c r="L721" s="5" t="n">
        <v>220</v>
      </c>
      <c r="M721" s="5" t="n">
        <v>32</v>
      </c>
      <c r="N721" s="10">
        <f>IF(AND(ISNUMBER(L721),M721&gt;0),L721/M721,"")</f>
        <v/>
      </c>
      <c r="O721" s="5" t="n">
        <v>0.699</v>
      </c>
      <c r="P721" s="5" t="n">
        <v>101.7</v>
      </c>
      <c r="Q721" s="5" t="n">
        <v>1</v>
      </c>
      <c r="R721" s="5" t="n">
        <v>0</v>
      </c>
      <c r="S721" s="5" t="n">
        <v>0</v>
      </c>
      <c r="T721" s="5" t="n">
        <v>0</v>
      </c>
      <c r="U721" s="5" t="n">
        <v>0</v>
      </c>
      <c r="V721" s="5" t="n">
        <v>0</v>
      </c>
      <c r="W721" s="5" t="n">
        <v>0</v>
      </c>
      <c r="X721" s="5" t="n">
        <v>5</v>
      </c>
      <c r="Y721" s="5" t="n">
        <v>1.95</v>
      </c>
      <c r="Z721" s="5" t="inlineStr"/>
      <c r="AA721" s="5" t="n">
        <v>1039.6</v>
      </c>
      <c r="AB721" s="5" t="n">
        <v>2646</v>
      </c>
      <c r="AC721" s="5" t="n">
        <v>1061.9</v>
      </c>
      <c r="AD721" s="5" t="n">
        <v>2711.4</v>
      </c>
      <c r="AE721" s="5" t="inlineStr"/>
      <c r="AF721" s="5">
        <f>IF(AE721="","",IF(OR(AE721=F721,AND(AE721="crane_footing",F721="isolated_footing")),"yes","no"))</f>
        <v/>
      </c>
    </row>
    <row r="722">
      <c r="A722" s="5" t="n">
        <v>721</v>
      </c>
      <c r="B722" s="5" t="inlineStr">
        <is>
          <t>128</t>
        </is>
      </c>
      <c r="C722" s="5" t="inlineStr">
        <is>
          <t>region between joints</t>
        </is>
      </c>
      <c r="D722" s="5" t="inlineStr">
        <is>
          <t>band</t>
        </is>
      </c>
      <c r="E722" s="5" t="n">
        <v>2</v>
      </c>
      <c r="F722" s="5" t="inlineStr">
        <is>
          <t>unidentified</t>
        </is>
      </c>
      <c r="G722" s="5" t="inlineStr">
        <is>
          <t>C2</t>
        </is>
      </c>
      <c r="H722" s="5" t="inlineStr">
        <is>
          <t>no label votes</t>
        </is>
      </c>
      <c r="I722" s="5" t="inlineStr">
        <is>
          <t>(none)</t>
        </is>
      </c>
      <c r="J722" s="5" t="inlineStr"/>
      <c r="K722" s="5" t="inlineStr"/>
      <c r="L722" s="5" t="n">
        <v>219</v>
      </c>
      <c r="M722" s="5" t="n">
        <v>32</v>
      </c>
      <c r="N722" s="10">
        <f>IF(AND(ISNUMBER(L722),M722&gt;0),L722/M722,"")</f>
        <v/>
      </c>
      <c r="O722" s="5" t="n">
        <v>0.697</v>
      </c>
      <c r="P722" s="5" t="n">
        <v>101.6</v>
      </c>
      <c r="Q722" s="5" t="n">
        <v>1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0</v>
      </c>
      <c r="W722" s="5" t="n">
        <v>1</v>
      </c>
      <c r="X722" s="5" t="n">
        <v>5</v>
      </c>
      <c r="Y722" s="5" t="n">
        <v>1.95</v>
      </c>
      <c r="Z722" s="5" t="inlineStr"/>
      <c r="AA722" s="5" t="n">
        <v>1028.2</v>
      </c>
      <c r="AB722" s="5" t="n">
        <v>2655.4</v>
      </c>
      <c r="AC722" s="5" t="n">
        <v>1050.4</v>
      </c>
      <c r="AD722" s="5" t="n">
        <v>2720.7</v>
      </c>
      <c r="AE722" s="5" t="inlineStr"/>
      <c r="AF722" s="5">
        <f>IF(AE722="","",IF(OR(AE722=F722,AND(AE722="crane_footing",F722="isolated_footing")),"yes","no"))</f>
        <v/>
      </c>
    </row>
    <row r="723">
      <c r="A723" s="5" t="n">
        <v>722</v>
      </c>
      <c r="B723" s="5" t="inlineStr">
        <is>
          <t>128</t>
        </is>
      </c>
      <c r="C723" s="5" t="inlineStr">
        <is>
          <t>region between joints</t>
        </is>
      </c>
      <c r="D723" s="5" t="inlineStr">
        <is>
          <t>band</t>
        </is>
      </c>
      <c r="E723" s="5" t="n">
        <v>2</v>
      </c>
      <c r="F723" s="5" t="inlineStr">
        <is>
          <t>unidentified</t>
        </is>
      </c>
      <c r="G723" s="5" t="inlineStr">
        <is>
          <t>C2</t>
        </is>
      </c>
      <c r="H723" s="5" t="inlineStr">
        <is>
          <t>no label votes</t>
        </is>
      </c>
      <c r="I723" s="5" t="inlineStr">
        <is>
          <t>(none)</t>
        </is>
      </c>
      <c r="J723" s="5" t="inlineStr"/>
      <c r="K723" s="5" t="inlineStr"/>
      <c r="L723" s="5" t="n">
        <v>219</v>
      </c>
      <c r="M723" s="5" t="n">
        <v>32</v>
      </c>
      <c r="N723" s="10">
        <f>IF(AND(ISNUMBER(L723),M723&gt;0),L723/M723,"")</f>
        <v/>
      </c>
      <c r="O723" s="5" t="n">
        <v>0.695</v>
      </c>
      <c r="P723" s="5" t="n">
        <v>101.6</v>
      </c>
      <c r="Q723" s="5" t="n">
        <v>1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0</v>
      </c>
      <c r="W723" s="5" t="n">
        <v>1</v>
      </c>
      <c r="X723" s="5" t="n">
        <v>6</v>
      </c>
      <c r="Y723" s="5" t="n">
        <v>1.94</v>
      </c>
      <c r="Z723" s="5" t="inlineStr"/>
      <c r="AA723" s="5" t="n">
        <v>1016.7</v>
      </c>
      <c r="AB723" s="5" t="n">
        <v>2664.9</v>
      </c>
      <c r="AC723" s="5" t="n">
        <v>1038.9</v>
      </c>
      <c r="AD723" s="5" t="n">
        <v>2730</v>
      </c>
      <c r="AE723" s="5" t="inlineStr"/>
      <c r="AF723" s="5">
        <f>IF(AE723="","",IF(OR(AE723=F723,AND(AE723="crane_footing",F723="isolated_footing")),"yes","no"))</f>
        <v/>
      </c>
    </row>
    <row r="724">
      <c r="A724" s="5" t="n">
        <v>723</v>
      </c>
      <c r="B724" s="5" t="inlineStr">
        <is>
          <t>128</t>
        </is>
      </c>
      <c r="C724" s="5" t="inlineStr">
        <is>
          <t>region between joints</t>
        </is>
      </c>
      <c r="D724" s="5" t="inlineStr">
        <is>
          <t>band</t>
        </is>
      </c>
      <c r="E724" s="5" t="n">
        <v>2</v>
      </c>
      <c r="F724" s="5" t="inlineStr">
        <is>
          <t>unidentified</t>
        </is>
      </c>
      <c r="G724" s="5" t="inlineStr">
        <is>
          <t>C2</t>
        </is>
      </c>
      <c r="H724" s="5" t="inlineStr">
        <is>
          <t>no label votes</t>
        </is>
      </c>
      <c r="I724" s="5" t="inlineStr">
        <is>
          <t>(none)</t>
        </is>
      </c>
      <c r="J724" s="5" t="inlineStr"/>
      <c r="K724" s="5" t="inlineStr"/>
      <c r="L724" s="5" t="n">
        <v>218</v>
      </c>
      <c r="M724" s="5" t="n">
        <v>32</v>
      </c>
      <c r="N724" s="10">
        <f>IF(AND(ISNUMBER(L724),M724&gt;0),L724/M724,"")</f>
        <v/>
      </c>
      <c r="O724" s="5" t="n">
        <v>0.694</v>
      </c>
      <c r="P724" s="5" t="n">
        <v>101.7</v>
      </c>
      <c r="Q724" s="5" t="n">
        <v>1</v>
      </c>
      <c r="R724" s="5" t="n">
        <v>0</v>
      </c>
      <c r="S724" s="5" t="n">
        <v>0</v>
      </c>
      <c r="T724" s="5" t="n">
        <v>0</v>
      </c>
      <c r="U724" s="5" t="n">
        <v>0</v>
      </c>
      <c r="V724" s="5" t="n">
        <v>0</v>
      </c>
      <c r="W724" s="5" t="n">
        <v>0</v>
      </c>
      <c r="X724" s="5" t="n">
        <v>6</v>
      </c>
      <c r="Y724" s="5" t="n">
        <v>1.94</v>
      </c>
      <c r="Z724" s="5" t="inlineStr"/>
      <c r="AA724" s="5" t="n">
        <v>1005.2</v>
      </c>
      <c r="AB724" s="5" t="n">
        <v>2674.3</v>
      </c>
      <c r="AC724" s="5" t="n">
        <v>1027.4</v>
      </c>
      <c r="AD724" s="5" t="n">
        <v>2739.3</v>
      </c>
      <c r="AE724" s="5" t="inlineStr"/>
      <c r="AF724" s="5">
        <f>IF(AE724="","",IF(OR(AE724=F724,AND(AE724="crane_footing",F724="isolated_footing")),"yes","no"))</f>
        <v/>
      </c>
    </row>
    <row r="725">
      <c r="A725" s="5" t="n">
        <v>724</v>
      </c>
      <c r="B725" s="5" t="inlineStr">
        <is>
          <t>128</t>
        </is>
      </c>
      <c r="C725" s="5" t="inlineStr">
        <is>
          <t>region between joints</t>
        </is>
      </c>
      <c r="D725" s="5" t="inlineStr">
        <is>
          <t>band</t>
        </is>
      </c>
      <c r="E725" s="5" t="n">
        <v>2</v>
      </c>
      <c r="F725" s="5" t="inlineStr">
        <is>
          <t>unidentified</t>
        </is>
      </c>
      <c r="G725" s="5" t="inlineStr">
        <is>
          <t>C2</t>
        </is>
      </c>
      <c r="H725" s="5" t="inlineStr">
        <is>
          <t>no label votes</t>
        </is>
      </c>
      <c r="I725" s="5" t="inlineStr">
        <is>
          <t>(none)</t>
        </is>
      </c>
      <c r="J725" s="5" t="inlineStr"/>
      <c r="K725" s="5" t="inlineStr"/>
      <c r="L725" s="5" t="n">
        <v>218</v>
      </c>
      <c r="M725" s="5" t="n">
        <v>32</v>
      </c>
      <c r="N725" s="10">
        <f>IF(AND(ISNUMBER(L725),M725&gt;0),L725/M725,"")</f>
        <v/>
      </c>
      <c r="O725" s="5" t="n">
        <v>0.6929999999999999</v>
      </c>
      <c r="P725" s="5" t="n">
        <v>101.6</v>
      </c>
      <c r="Q725" s="5" t="n">
        <v>1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0</v>
      </c>
      <c r="W725" s="5" t="n">
        <v>0</v>
      </c>
      <c r="X725" s="5" t="n">
        <v>6</v>
      </c>
      <c r="Y725" s="5" t="n">
        <v>2.18</v>
      </c>
      <c r="Z725" s="5" t="inlineStr"/>
      <c r="AA725" s="5" t="n">
        <v>993.7</v>
      </c>
      <c r="AB725" s="5" t="n">
        <v>2683.7</v>
      </c>
      <c r="AC725" s="5" t="n">
        <v>1015.9</v>
      </c>
      <c r="AD725" s="5" t="n">
        <v>2748.6</v>
      </c>
      <c r="AE725" s="5" t="inlineStr"/>
      <c r="AF725" s="5">
        <f>IF(AE725="","",IF(OR(AE725=F725,AND(AE725="crane_footing",F725="isolated_footing")),"yes","no"))</f>
        <v/>
      </c>
    </row>
    <row r="726">
      <c r="A726" s="5" t="n">
        <v>725</v>
      </c>
      <c r="B726" s="5" t="inlineStr">
        <is>
          <t>128</t>
        </is>
      </c>
      <c r="C726" s="5" t="inlineStr">
        <is>
          <t>region between joints</t>
        </is>
      </c>
      <c r="D726" s="5" t="inlineStr">
        <is>
          <t>band</t>
        </is>
      </c>
      <c r="E726" s="5" t="n">
        <v>2</v>
      </c>
      <c r="F726" s="5" t="inlineStr">
        <is>
          <t>unidentified</t>
        </is>
      </c>
      <c r="G726" s="5" t="inlineStr">
        <is>
          <t>C2</t>
        </is>
      </c>
      <c r="H726" s="5" t="inlineStr">
        <is>
          <t>no label votes</t>
        </is>
      </c>
      <c r="I726" s="5" t="inlineStr">
        <is>
          <t>(none)</t>
        </is>
      </c>
      <c r="J726" s="5" t="inlineStr"/>
      <c r="K726" s="5" t="inlineStr"/>
      <c r="L726" s="5" t="n">
        <v>217</v>
      </c>
      <c r="M726" s="5" t="n">
        <v>32</v>
      </c>
      <c r="N726" s="10">
        <f>IF(AND(ISNUMBER(L726),M726&gt;0),L726/M726,"")</f>
        <v/>
      </c>
      <c r="O726" s="5" t="n">
        <v>0.6909999999999999</v>
      </c>
      <c r="P726" s="5" t="n">
        <v>101.6</v>
      </c>
      <c r="Q726" s="5" t="n">
        <v>1</v>
      </c>
      <c r="R726" s="5" t="n">
        <v>0</v>
      </c>
      <c r="S726" s="5" t="n">
        <v>0</v>
      </c>
      <c r="T726" s="5" t="n">
        <v>0</v>
      </c>
      <c r="U726" s="5" t="n">
        <v>0</v>
      </c>
      <c r="V726" s="5" t="n">
        <v>0</v>
      </c>
      <c r="W726" s="5" t="n">
        <v>0</v>
      </c>
      <c r="X726" s="5" t="n">
        <v>7</v>
      </c>
      <c r="Y726" s="5" t="n">
        <v>2.17</v>
      </c>
      <c r="Z726" s="5" t="inlineStr"/>
      <c r="AA726" s="5" t="n">
        <v>982.2</v>
      </c>
      <c r="AB726" s="5" t="n">
        <v>2693.1</v>
      </c>
      <c r="AC726" s="5" t="n">
        <v>1004.4</v>
      </c>
      <c r="AD726" s="5" t="n">
        <v>2757.9</v>
      </c>
      <c r="AE726" s="5" t="inlineStr"/>
      <c r="AF726" s="5">
        <f>IF(AE726="","",IF(OR(AE726=F726,AND(AE726="crane_footing",F726="isolated_footing")),"yes","no"))</f>
        <v/>
      </c>
    </row>
    <row r="727">
      <c r="A727" s="5" t="n">
        <v>726</v>
      </c>
      <c r="B727" s="5" t="inlineStr">
        <is>
          <t>128</t>
        </is>
      </c>
      <c r="C727" s="5" t="inlineStr">
        <is>
          <t>region between joints</t>
        </is>
      </c>
      <c r="D727" s="5" t="inlineStr">
        <is>
          <t>band</t>
        </is>
      </c>
      <c r="E727" s="5" t="n">
        <v>2</v>
      </c>
      <c r="F727" s="5" t="inlineStr">
        <is>
          <t>unidentified</t>
        </is>
      </c>
      <c r="G727" s="5" t="inlineStr">
        <is>
          <t>C2</t>
        </is>
      </c>
      <c r="H727" s="5" t="inlineStr">
        <is>
          <t>no label votes</t>
        </is>
      </c>
      <c r="I727" s="5" t="inlineStr">
        <is>
          <t>(none)</t>
        </is>
      </c>
      <c r="J727" s="5" t="inlineStr"/>
      <c r="K727" s="5" t="inlineStr"/>
      <c r="L727" s="5" t="n">
        <v>217</v>
      </c>
      <c r="M727" s="5" t="n">
        <v>32</v>
      </c>
      <c r="N727" s="10">
        <f>IF(AND(ISNUMBER(L727),M727&gt;0),L727/M727,"")</f>
        <v/>
      </c>
      <c r="O727" s="5" t="n">
        <v>0.6889999999999999</v>
      </c>
      <c r="P727" s="5" t="n">
        <v>101.6</v>
      </c>
      <c r="Q727" s="5" t="n">
        <v>1</v>
      </c>
      <c r="R727" s="5" t="n">
        <v>0</v>
      </c>
      <c r="S727" s="5" t="n">
        <v>0</v>
      </c>
      <c r="T727" s="5" t="n">
        <v>0</v>
      </c>
      <c r="U727" s="5" t="n">
        <v>0</v>
      </c>
      <c r="V727" s="5" t="n">
        <v>0</v>
      </c>
      <c r="W727" s="5" t="n">
        <v>1</v>
      </c>
      <c r="X727" s="5" t="n">
        <v>7</v>
      </c>
      <c r="Y727" s="5" t="n">
        <v>2.17</v>
      </c>
      <c r="Z727" s="5" t="inlineStr"/>
      <c r="AA727" s="5" t="n">
        <v>970.7</v>
      </c>
      <c r="AB727" s="5" t="n">
        <v>2702.5</v>
      </c>
      <c r="AC727" s="5" t="n">
        <v>992.8</v>
      </c>
      <c r="AD727" s="5" t="n">
        <v>2767.1</v>
      </c>
      <c r="AE727" s="5" t="inlineStr"/>
      <c r="AF727" s="5">
        <f>IF(AE727="","",IF(OR(AE727=F727,AND(AE727="crane_footing",F727="isolated_footing")),"yes","no"))</f>
        <v/>
      </c>
    </row>
    <row r="728">
      <c r="A728" s="5" t="n">
        <v>727</v>
      </c>
      <c r="B728" s="5" t="inlineStr">
        <is>
          <t>128</t>
        </is>
      </c>
      <c r="C728" s="5" t="inlineStr">
        <is>
          <t>region between joints</t>
        </is>
      </c>
      <c r="D728" s="5" t="inlineStr">
        <is>
          <t>band</t>
        </is>
      </c>
      <c r="E728" s="5" t="n">
        <v>2</v>
      </c>
      <c r="F728" s="5" t="inlineStr">
        <is>
          <t>unidentified</t>
        </is>
      </c>
      <c r="G728" s="5" t="inlineStr">
        <is>
          <t>C2</t>
        </is>
      </c>
      <c r="H728" s="5" t="inlineStr">
        <is>
          <t>no label votes</t>
        </is>
      </c>
      <c r="I728" s="5" t="inlineStr">
        <is>
          <t>(none)</t>
        </is>
      </c>
      <c r="J728" s="5" t="inlineStr"/>
      <c r="K728" s="5" t="inlineStr"/>
      <c r="L728" s="5" t="n">
        <v>216</v>
      </c>
      <c r="M728" s="5" t="n">
        <v>32</v>
      </c>
      <c r="N728" s="10">
        <f>IF(AND(ISNUMBER(L728),M728&gt;0),L728/M728,"")</f>
        <v/>
      </c>
      <c r="O728" s="5" t="n">
        <v>0.6879999999999999</v>
      </c>
      <c r="P728" s="5" t="n">
        <v>101.6</v>
      </c>
      <c r="Q728" s="5" t="n">
        <v>1</v>
      </c>
      <c r="R728" s="5" t="n">
        <v>0</v>
      </c>
      <c r="S728" s="5" t="n">
        <v>0</v>
      </c>
      <c r="T728" s="5" t="n">
        <v>0</v>
      </c>
      <c r="U728" s="5" t="n">
        <v>0</v>
      </c>
      <c r="V728" s="5" t="n">
        <v>0</v>
      </c>
      <c r="W728" s="5" t="n">
        <v>0</v>
      </c>
      <c r="X728" s="5" t="n">
        <v>7</v>
      </c>
      <c r="Y728" s="5" t="n">
        <v>2.16</v>
      </c>
      <c r="Z728" s="5" t="inlineStr"/>
      <c r="AA728" s="5" t="n">
        <v>959.2</v>
      </c>
      <c r="AB728" s="5" t="n">
        <v>2712</v>
      </c>
      <c r="AC728" s="5" t="n">
        <v>981.3</v>
      </c>
      <c r="AD728" s="5" t="n">
        <v>2776.4</v>
      </c>
      <c r="AE728" s="5" t="inlineStr"/>
      <c r="AF728" s="5">
        <f>IF(AE728="","",IF(OR(AE728=F728,AND(AE728="crane_footing",F728="isolated_footing")),"yes","no"))</f>
        <v/>
      </c>
    </row>
    <row r="729">
      <c r="A729" s="5" t="n">
        <v>728</v>
      </c>
      <c r="B729" s="5" t="inlineStr">
        <is>
          <t>128</t>
        </is>
      </c>
      <c r="C729" s="5" t="inlineStr">
        <is>
          <t>region between joints</t>
        </is>
      </c>
      <c r="D729" s="5" t="inlineStr">
        <is>
          <t>band</t>
        </is>
      </c>
      <c r="E729" s="5" t="n">
        <v>2</v>
      </c>
      <c r="F729" s="5" t="inlineStr">
        <is>
          <t>unidentified</t>
        </is>
      </c>
      <c r="G729" s="5" t="inlineStr">
        <is>
          <t>C2</t>
        </is>
      </c>
      <c r="H729" s="5" t="inlineStr">
        <is>
          <t>no label votes</t>
        </is>
      </c>
      <c r="I729" s="5" t="inlineStr">
        <is>
          <t>(none)</t>
        </is>
      </c>
      <c r="J729" s="5" t="inlineStr"/>
      <c r="K729" s="5" t="inlineStr"/>
      <c r="L729" s="5" t="n">
        <v>216</v>
      </c>
      <c r="M729" s="5" t="n">
        <v>32</v>
      </c>
      <c r="N729" s="10">
        <f>IF(AND(ISNUMBER(L729),M729&gt;0),L729/M729,"")</f>
        <v/>
      </c>
      <c r="O729" s="5" t="n">
        <v>0.6860000000000001</v>
      </c>
      <c r="P729" s="5" t="n">
        <v>1.6</v>
      </c>
      <c r="Q729" s="5" t="n">
        <v>1</v>
      </c>
      <c r="R729" s="5" t="n">
        <v>1</v>
      </c>
      <c r="S729" s="5" t="n">
        <v>0</v>
      </c>
      <c r="T729" s="5" t="n">
        <v>0</v>
      </c>
      <c r="U729" s="5" t="n">
        <v>0</v>
      </c>
      <c r="V729" s="5" t="n">
        <v>0</v>
      </c>
      <c r="W729" s="5" t="n">
        <v>0</v>
      </c>
      <c r="X729" s="5" t="n">
        <v>3</v>
      </c>
      <c r="Y729" s="5" t="n">
        <v>0</v>
      </c>
      <c r="Z729" s="5" t="inlineStr"/>
      <c r="AA729" s="5" t="n">
        <v>1202.5</v>
      </c>
      <c r="AB729" s="5" t="n">
        <v>2460</v>
      </c>
      <c r="AC729" s="5" t="n">
        <v>1266.5</v>
      </c>
      <c r="AD729" s="5" t="n">
        <v>2471.3</v>
      </c>
      <c r="AE729" s="5" t="inlineStr"/>
      <c r="AF729" s="5">
        <f>IF(AE729="","",IF(OR(AE729=F729,AND(AE729="crane_footing",F729="isolated_footing")),"yes","no"))</f>
        <v/>
      </c>
    </row>
    <row r="730">
      <c r="A730" s="5" t="n">
        <v>729</v>
      </c>
      <c r="B730" s="5" t="inlineStr">
        <is>
          <t>128</t>
        </is>
      </c>
      <c r="C730" s="5" t="inlineStr">
        <is>
          <t>region between joints</t>
        </is>
      </c>
      <c r="D730" s="5" t="inlineStr">
        <is>
          <t>band</t>
        </is>
      </c>
      <c r="E730" s="5" t="n">
        <v>2</v>
      </c>
      <c r="F730" s="5" t="inlineStr">
        <is>
          <t>unidentified</t>
        </is>
      </c>
      <c r="G730" s="5" t="inlineStr">
        <is>
          <t>C2</t>
        </is>
      </c>
      <c r="H730" s="5" t="inlineStr">
        <is>
          <t>no label votes</t>
        </is>
      </c>
      <c r="I730" s="5" t="inlineStr">
        <is>
          <t>(none)</t>
        </is>
      </c>
      <c r="J730" s="5" t="inlineStr"/>
      <c r="K730" s="5" t="inlineStr"/>
      <c r="L730" s="5" t="n">
        <v>216</v>
      </c>
      <c r="M730" s="5" t="n">
        <v>32</v>
      </c>
      <c r="N730" s="10">
        <f>IF(AND(ISNUMBER(L730),M730&gt;0),L730/M730,"")</f>
        <v/>
      </c>
      <c r="O730" s="5" t="n">
        <v>0.6860000000000001</v>
      </c>
      <c r="P730" s="5" t="n">
        <v>101.6</v>
      </c>
      <c r="Q730" s="5" t="n">
        <v>0</v>
      </c>
      <c r="R730" s="5" t="n">
        <v>0</v>
      </c>
      <c r="S730" s="5" t="n">
        <v>0</v>
      </c>
      <c r="T730" s="5" t="n">
        <v>0</v>
      </c>
      <c r="U730" s="5" t="n">
        <v>0</v>
      </c>
      <c r="V730" s="5" t="n">
        <v>0</v>
      </c>
      <c r="W730" s="5" t="n">
        <v>0</v>
      </c>
      <c r="X730" s="5" t="n">
        <v>5</v>
      </c>
      <c r="Y730" s="5" t="n">
        <v>1.7</v>
      </c>
      <c r="Z730" s="5" t="inlineStr"/>
      <c r="AA730" s="5" t="n">
        <v>947.8</v>
      </c>
      <c r="AB730" s="5" t="n">
        <v>2721.4</v>
      </c>
      <c r="AC730" s="5" t="n">
        <v>969.8</v>
      </c>
      <c r="AD730" s="5" t="n">
        <v>2785.7</v>
      </c>
      <c r="AE730" s="5" t="inlineStr"/>
      <c r="AF730" s="5">
        <f>IF(AE730="","",IF(OR(AE730=F730,AND(AE730="crane_footing",F730="isolated_footing")),"yes","no"))</f>
        <v/>
      </c>
    </row>
    <row r="731">
      <c r="A731" s="5" t="n">
        <v>730</v>
      </c>
      <c r="B731" s="5" t="inlineStr">
        <is>
          <t>128</t>
        </is>
      </c>
      <c r="C731" s="5" t="inlineStr">
        <is>
          <t>region between joints</t>
        </is>
      </c>
      <c r="D731" s="5" t="inlineStr">
        <is>
          <t>band</t>
        </is>
      </c>
      <c r="E731" s="5" t="n">
        <v>2</v>
      </c>
      <c r="F731" s="5" t="inlineStr">
        <is>
          <t>unidentified</t>
        </is>
      </c>
      <c r="G731" s="5" t="inlineStr">
        <is>
          <t>C2</t>
        </is>
      </c>
      <c r="H731" s="5" t="inlineStr">
        <is>
          <t>no label votes</t>
        </is>
      </c>
      <c r="I731" s="5" t="inlineStr">
        <is>
          <t>(none)</t>
        </is>
      </c>
      <c r="J731" s="5" t="inlineStr"/>
      <c r="K731" s="5" t="inlineStr"/>
      <c r="L731" s="5" t="n">
        <v>215</v>
      </c>
      <c r="M731" s="5" t="n">
        <v>32</v>
      </c>
      <c r="N731" s="10">
        <f>IF(AND(ISNUMBER(L731),M731&gt;0),L731/M731,"")</f>
        <v/>
      </c>
      <c r="O731" s="5" t="n">
        <v>0.6850000000000001</v>
      </c>
      <c r="P731" s="5" t="n">
        <v>101.6</v>
      </c>
      <c r="Q731" s="5" t="n">
        <v>0</v>
      </c>
      <c r="R731" s="5" t="n">
        <v>0</v>
      </c>
      <c r="S731" s="5" t="n">
        <v>0</v>
      </c>
      <c r="T731" s="5" t="n">
        <v>0</v>
      </c>
      <c r="U731" s="5" t="n">
        <v>0</v>
      </c>
      <c r="V731" s="5" t="n">
        <v>0</v>
      </c>
      <c r="W731" s="5" t="n">
        <v>1</v>
      </c>
      <c r="X731" s="5" t="n">
        <v>5</v>
      </c>
      <c r="Y731" s="5" t="n">
        <v>1.23</v>
      </c>
      <c r="Z731" s="5" t="inlineStr"/>
      <c r="AA731" s="5" t="n">
        <v>936.3</v>
      </c>
      <c r="AB731" s="5" t="n">
        <v>2730.8</v>
      </c>
      <c r="AC731" s="5" t="n">
        <v>958.3</v>
      </c>
      <c r="AD731" s="5" t="n">
        <v>2795</v>
      </c>
      <c r="AE731" s="5" t="inlineStr"/>
      <c r="AF731" s="5">
        <f>IF(AE731="","",IF(OR(AE731=F731,AND(AE731="crane_footing",F731="isolated_footing")),"yes","no"))</f>
        <v/>
      </c>
    </row>
    <row r="732">
      <c r="A732" s="5" t="n">
        <v>731</v>
      </c>
      <c r="B732" s="5" t="inlineStr">
        <is>
          <t>128</t>
        </is>
      </c>
      <c r="C732" s="5" t="inlineStr">
        <is>
          <t>region between joints</t>
        </is>
      </c>
      <c r="D732" s="5" t="inlineStr">
        <is>
          <t>band</t>
        </is>
      </c>
      <c r="E732" s="5" t="n">
        <v>2</v>
      </c>
      <c r="F732" s="5" t="inlineStr">
        <is>
          <t>unidentified</t>
        </is>
      </c>
      <c r="G732" s="5" t="inlineStr">
        <is>
          <t>C2</t>
        </is>
      </c>
      <c r="H732" s="5" t="inlineStr">
        <is>
          <t>no label votes</t>
        </is>
      </c>
      <c r="I732" s="5" t="inlineStr">
        <is>
          <t>(none)</t>
        </is>
      </c>
      <c r="J732" s="5" t="inlineStr"/>
      <c r="K732" s="5" t="inlineStr"/>
      <c r="L732" s="5" t="n">
        <v>215</v>
      </c>
      <c r="M732" s="5" t="n">
        <v>32</v>
      </c>
      <c r="N732" s="10">
        <f>IF(AND(ISNUMBER(L732),M732&gt;0),L732/M732,"")</f>
        <v/>
      </c>
      <c r="O732" s="5" t="n">
        <v>0.6830000000000001</v>
      </c>
      <c r="P732" s="5" t="n">
        <v>101.7</v>
      </c>
      <c r="Q732" s="5" t="n">
        <v>0</v>
      </c>
      <c r="R732" s="5" t="n">
        <v>1</v>
      </c>
      <c r="S732" s="5" t="n">
        <v>0</v>
      </c>
      <c r="T732" s="5" t="n">
        <v>0</v>
      </c>
      <c r="U732" s="5" t="n">
        <v>0</v>
      </c>
      <c r="V732" s="5" t="n">
        <v>0</v>
      </c>
      <c r="W732" s="5" t="n">
        <v>0</v>
      </c>
      <c r="X732" s="5" t="n">
        <v>5</v>
      </c>
      <c r="Y732" s="5" t="n">
        <v>0.75</v>
      </c>
      <c r="Z732" s="5" t="inlineStr"/>
      <c r="AA732" s="5" t="n">
        <v>924.8</v>
      </c>
      <c r="AB732" s="5" t="n">
        <v>2740.2</v>
      </c>
      <c r="AC732" s="5" t="n">
        <v>946.8</v>
      </c>
      <c r="AD732" s="5" t="n">
        <v>2804.2</v>
      </c>
      <c r="AE732" s="5" t="inlineStr"/>
      <c r="AF732" s="5">
        <f>IF(AE732="","",IF(OR(AE732=F732,AND(AE732="crane_footing",F732="isolated_footing")),"yes","no"))</f>
        <v/>
      </c>
    </row>
    <row r="733">
      <c r="A733" s="5" t="n">
        <v>732</v>
      </c>
      <c r="B733" s="5" t="inlineStr">
        <is>
          <t>128</t>
        </is>
      </c>
      <c r="C733" s="5" t="inlineStr">
        <is>
          <t>region between joints</t>
        </is>
      </c>
      <c r="D733" s="5" t="inlineStr">
        <is>
          <t>band</t>
        </is>
      </c>
      <c r="E733" s="5" t="n">
        <v>2</v>
      </c>
      <c r="F733" s="5" t="inlineStr">
        <is>
          <t>unidentified</t>
        </is>
      </c>
      <c r="G733" s="5" t="inlineStr">
        <is>
          <t>C2</t>
        </is>
      </c>
      <c r="H733" s="5" t="inlineStr">
        <is>
          <t>no label votes</t>
        </is>
      </c>
      <c r="I733" s="5" t="inlineStr">
        <is>
          <t>(none)</t>
        </is>
      </c>
      <c r="J733" s="5" t="inlineStr"/>
      <c r="K733" s="5" t="inlineStr"/>
      <c r="L733" s="5" t="n">
        <v>214</v>
      </c>
      <c r="M733" s="5" t="n">
        <v>32</v>
      </c>
      <c r="N733" s="10">
        <f>IF(AND(ISNUMBER(L733),M733&gt;0),L733/M733,"")</f>
        <v/>
      </c>
      <c r="O733" s="5" t="n">
        <v>0.6820000000000001</v>
      </c>
      <c r="P733" s="5" t="n">
        <v>101.6</v>
      </c>
      <c r="Q733" s="5" t="n">
        <v>0</v>
      </c>
      <c r="R733" s="5" t="n">
        <v>0</v>
      </c>
      <c r="S733" s="5" t="n">
        <v>0</v>
      </c>
      <c r="T733" s="5" t="n">
        <v>0</v>
      </c>
      <c r="U733" s="5" t="n">
        <v>0</v>
      </c>
      <c r="V733" s="5" t="n">
        <v>0</v>
      </c>
      <c r="W733" s="5" t="n">
        <v>0</v>
      </c>
      <c r="X733" s="5" t="n">
        <v>6</v>
      </c>
      <c r="Y733" s="5" t="n">
        <v>1.35</v>
      </c>
      <c r="Z733" s="5" t="inlineStr"/>
      <c r="AA733" s="5" t="n">
        <v>913.3</v>
      </c>
      <c r="AB733" s="5" t="n">
        <v>2749.7</v>
      </c>
      <c r="AC733" s="5" t="n">
        <v>935.3</v>
      </c>
      <c r="AD733" s="5" t="n">
        <v>2813.5</v>
      </c>
      <c r="AE733" s="5" t="inlineStr"/>
      <c r="AF733" s="5">
        <f>IF(AE733="","",IF(OR(AE733=F733,AND(AE733="crane_footing",F733="isolated_footing")),"yes","no"))</f>
        <v/>
      </c>
    </row>
    <row r="734">
      <c r="A734" s="5" t="n">
        <v>733</v>
      </c>
      <c r="B734" s="5" t="inlineStr">
        <is>
          <t>128</t>
        </is>
      </c>
      <c r="C734" s="5" t="inlineStr">
        <is>
          <t>region between joints</t>
        </is>
      </c>
      <c r="D734" s="5" t="inlineStr">
        <is>
          <t>band</t>
        </is>
      </c>
      <c r="E734" s="5" t="n">
        <v>2</v>
      </c>
      <c r="F734" s="5" t="inlineStr">
        <is>
          <t>unidentified</t>
        </is>
      </c>
      <c r="G734" s="5" t="inlineStr">
        <is>
          <t>C2</t>
        </is>
      </c>
      <c r="H734" s="5" t="inlineStr">
        <is>
          <t>no label votes</t>
        </is>
      </c>
      <c r="I734" s="5" t="inlineStr">
        <is>
          <t>(none)</t>
        </is>
      </c>
      <c r="J734" s="5" t="inlineStr"/>
      <c r="K734" s="5" t="inlineStr"/>
      <c r="L734" s="5" t="n">
        <v>213</v>
      </c>
      <c r="M734" s="5" t="n">
        <v>32</v>
      </c>
      <c r="N734" s="10">
        <f>IF(AND(ISNUMBER(L734),M734&gt;0),L734/M734,"")</f>
        <v/>
      </c>
      <c r="O734" s="5" t="n">
        <v>0.678</v>
      </c>
      <c r="P734" s="5" t="n">
        <v>1.7</v>
      </c>
      <c r="Q734" s="5" t="n">
        <v>0</v>
      </c>
      <c r="R734" s="5" t="n">
        <v>1</v>
      </c>
      <c r="S734" s="5" t="n">
        <v>0</v>
      </c>
      <c r="T734" s="5" t="n">
        <v>0</v>
      </c>
      <c r="U734" s="5" t="n">
        <v>0</v>
      </c>
      <c r="V734" s="5" t="n">
        <v>0</v>
      </c>
      <c r="W734" s="5" t="n">
        <v>1</v>
      </c>
      <c r="X734" s="5" t="n">
        <v>3</v>
      </c>
      <c r="Y734" s="5" t="n">
        <v>0</v>
      </c>
      <c r="Z734" s="5" t="inlineStr"/>
      <c r="AA734" s="5" t="n">
        <v>1004</v>
      </c>
      <c r="AB734" s="5" t="n">
        <v>2623.2</v>
      </c>
      <c r="AC734" s="5" t="n">
        <v>1067.1</v>
      </c>
      <c r="AD734" s="5" t="n">
        <v>2634.4</v>
      </c>
      <c r="AE734" s="5" t="inlineStr"/>
      <c r="AF734" s="5">
        <f>IF(AE734="","",IF(OR(AE734=F734,AND(AE734="crane_footing",F734="isolated_footing")),"yes","no"))</f>
        <v/>
      </c>
    </row>
    <row r="735">
      <c r="A735" s="5" t="n">
        <v>734</v>
      </c>
      <c r="B735" s="5" t="inlineStr">
        <is>
          <t>128</t>
        </is>
      </c>
      <c r="C735" s="5" t="inlineStr">
        <is>
          <t>region between joints</t>
        </is>
      </c>
      <c r="D735" s="5" t="inlineStr">
        <is>
          <t>band</t>
        </is>
      </c>
      <c r="E735" s="5" t="n">
        <v>2</v>
      </c>
      <c r="F735" s="5" t="inlineStr">
        <is>
          <t>unidentified</t>
        </is>
      </c>
      <c r="G735" s="5" t="inlineStr">
        <is>
          <t>C2</t>
        </is>
      </c>
      <c r="H735" s="5" t="inlineStr">
        <is>
          <t>no label votes</t>
        </is>
      </c>
      <c r="I735" s="5" t="inlineStr">
        <is>
          <t>(none)</t>
        </is>
      </c>
      <c r="J735" s="5" t="inlineStr"/>
      <c r="K735" s="5" t="inlineStr"/>
      <c r="L735" s="5" t="n">
        <v>213</v>
      </c>
      <c r="M735" s="5" t="n">
        <v>32</v>
      </c>
      <c r="N735" s="10">
        <f>IF(AND(ISNUMBER(L735),M735&gt;0),L735/M735,"")</f>
        <v/>
      </c>
      <c r="O735" s="5" t="n">
        <v>0.677</v>
      </c>
      <c r="P735" s="5" t="n">
        <v>1.7</v>
      </c>
      <c r="Q735" s="5" t="n">
        <v>0</v>
      </c>
      <c r="R735" s="5" t="n">
        <v>1</v>
      </c>
      <c r="S735" s="5" t="n">
        <v>0</v>
      </c>
      <c r="T735" s="5" t="n">
        <v>0</v>
      </c>
      <c r="U735" s="5" t="n">
        <v>0</v>
      </c>
      <c r="V735" s="5" t="n">
        <v>0</v>
      </c>
      <c r="W735" s="5" t="n">
        <v>5</v>
      </c>
      <c r="X735" s="5" t="n">
        <v>3</v>
      </c>
      <c r="Y735" s="5" t="n">
        <v>0</v>
      </c>
      <c r="Z735" s="5" t="inlineStr"/>
      <c r="AA735" s="5" t="n">
        <v>1015.1</v>
      </c>
      <c r="AB735" s="5" t="n">
        <v>2614.2</v>
      </c>
      <c r="AC735" s="5" t="n">
        <v>1078.2</v>
      </c>
      <c r="AD735" s="5" t="n">
        <v>2625.4</v>
      </c>
      <c r="AE735" s="5" t="inlineStr"/>
      <c r="AF735" s="5">
        <f>IF(AE735="","",IF(OR(AE735=F735,AND(AE735="crane_footing",F735="isolated_footing")),"yes","no"))</f>
        <v/>
      </c>
    </row>
    <row r="736">
      <c r="A736" s="5" t="n">
        <v>735</v>
      </c>
      <c r="B736" s="5" t="inlineStr">
        <is>
          <t>128</t>
        </is>
      </c>
      <c r="C736" s="5" t="inlineStr">
        <is>
          <t>region between joints</t>
        </is>
      </c>
      <c r="D736" s="5" t="inlineStr">
        <is>
          <t>band</t>
        </is>
      </c>
      <c r="E736" s="5" t="n">
        <v>2</v>
      </c>
      <c r="F736" s="5" t="inlineStr">
        <is>
          <t>unidentified</t>
        </is>
      </c>
      <c r="G736" s="5" t="inlineStr">
        <is>
          <t>C2</t>
        </is>
      </c>
      <c r="H736" s="5" t="inlineStr">
        <is>
          <t>no label votes</t>
        </is>
      </c>
      <c r="I736" s="5" t="inlineStr">
        <is>
          <t>(none)</t>
        </is>
      </c>
      <c r="J736" s="5" t="inlineStr"/>
      <c r="K736" s="5" t="inlineStr"/>
      <c r="L736" s="5" t="n">
        <v>213</v>
      </c>
      <c r="M736" s="5" t="n">
        <v>32</v>
      </c>
      <c r="N736" s="10">
        <f>IF(AND(ISNUMBER(L736),M736&gt;0),L736/M736,"")</f>
        <v/>
      </c>
      <c r="O736" s="5" t="n">
        <v>0.676</v>
      </c>
      <c r="P736" s="5" t="n">
        <v>1.7</v>
      </c>
      <c r="Q736" s="5" t="n">
        <v>0</v>
      </c>
      <c r="R736" s="5" t="n">
        <v>1</v>
      </c>
      <c r="S736" s="5" t="n">
        <v>0</v>
      </c>
      <c r="T736" s="5" t="n">
        <v>0</v>
      </c>
      <c r="U736" s="5" t="n">
        <v>0</v>
      </c>
      <c r="V736" s="5" t="n">
        <v>0</v>
      </c>
      <c r="W736" s="5" t="n">
        <v>1</v>
      </c>
      <c r="X736" s="5" t="n">
        <v>4</v>
      </c>
      <c r="Y736" s="5" t="n">
        <v>0</v>
      </c>
      <c r="Z736" s="5" t="inlineStr"/>
      <c r="AA736" s="5" t="n">
        <v>1026.3</v>
      </c>
      <c r="AB736" s="5" t="n">
        <v>2605.1</v>
      </c>
      <c r="AC736" s="5" t="n">
        <v>1089.3</v>
      </c>
      <c r="AD736" s="5" t="n">
        <v>2616.3</v>
      </c>
      <c r="AE736" s="5" t="inlineStr"/>
      <c r="AF736" s="5">
        <f>IF(AE736="","",IF(OR(AE736=F736,AND(AE736="crane_footing",F736="isolated_footing")),"yes","no"))</f>
        <v/>
      </c>
    </row>
    <row r="737">
      <c r="A737" s="5" t="n">
        <v>736</v>
      </c>
      <c r="B737" s="5" t="inlineStr">
        <is>
          <t>128</t>
        </is>
      </c>
      <c r="C737" s="5" t="inlineStr">
        <is>
          <t>region between joints</t>
        </is>
      </c>
      <c r="D737" s="5" t="inlineStr">
        <is>
          <t>band</t>
        </is>
      </c>
      <c r="E737" s="5" t="n">
        <v>2</v>
      </c>
      <c r="F737" s="5" t="inlineStr">
        <is>
          <t>unidentified</t>
        </is>
      </c>
      <c r="G737" s="5" t="inlineStr">
        <is>
          <t>C2</t>
        </is>
      </c>
      <c r="H737" s="5" t="inlineStr">
        <is>
          <t>no label votes</t>
        </is>
      </c>
      <c r="I737" s="5" t="inlineStr">
        <is>
          <t>(none)</t>
        </is>
      </c>
      <c r="J737" s="5" t="inlineStr"/>
      <c r="K737" s="5" t="inlineStr"/>
      <c r="L737" s="5" t="n">
        <v>212</v>
      </c>
      <c r="M737" s="5" t="n">
        <v>32</v>
      </c>
      <c r="N737" s="10">
        <f>IF(AND(ISNUMBER(L737),M737&gt;0),L737/M737,"")</f>
        <v/>
      </c>
      <c r="O737" s="5" t="n">
        <v>0.676</v>
      </c>
      <c r="P737" s="5" t="n">
        <v>1.7</v>
      </c>
      <c r="Q737" s="5" t="n">
        <v>0</v>
      </c>
      <c r="R737" s="5" t="n">
        <v>1</v>
      </c>
      <c r="S737" s="5" t="n">
        <v>0</v>
      </c>
      <c r="T737" s="5" t="n">
        <v>0</v>
      </c>
      <c r="U737" s="5" t="n">
        <v>0</v>
      </c>
      <c r="V737" s="5" t="n">
        <v>0</v>
      </c>
      <c r="W737" s="5" t="n">
        <v>0</v>
      </c>
      <c r="X737" s="5" t="n">
        <v>4</v>
      </c>
      <c r="Y737" s="5" t="n">
        <v>0</v>
      </c>
      <c r="Z737" s="5" t="inlineStr"/>
      <c r="AA737" s="5" t="n">
        <v>1037.4</v>
      </c>
      <c r="AB737" s="5" t="n">
        <v>2596</v>
      </c>
      <c r="AC737" s="5" t="n">
        <v>1100.4</v>
      </c>
      <c r="AD737" s="5" t="n">
        <v>2607.2</v>
      </c>
      <c r="AE737" s="5" t="inlineStr"/>
      <c r="AF737" s="5">
        <f>IF(AE737="","",IF(OR(AE737=F737,AND(AE737="crane_footing",F737="isolated_footing")),"yes","no"))</f>
        <v/>
      </c>
    </row>
    <row r="738">
      <c r="A738" s="5" t="n">
        <v>737</v>
      </c>
      <c r="B738" s="5" t="inlineStr">
        <is>
          <t>128</t>
        </is>
      </c>
      <c r="C738" s="5" t="inlineStr">
        <is>
          <t>region between joints</t>
        </is>
      </c>
      <c r="D738" s="5" t="inlineStr">
        <is>
          <t>band</t>
        </is>
      </c>
      <c r="E738" s="5" t="n">
        <v>2</v>
      </c>
      <c r="F738" s="5" t="inlineStr">
        <is>
          <t>unidentified</t>
        </is>
      </c>
      <c r="G738" s="5" t="inlineStr">
        <is>
          <t>C2</t>
        </is>
      </c>
      <c r="H738" s="5" t="inlineStr">
        <is>
          <t>no label votes</t>
        </is>
      </c>
      <c r="I738" s="5" t="inlineStr">
        <is>
          <t>(none)</t>
        </is>
      </c>
      <c r="J738" s="5" t="inlineStr"/>
      <c r="K738" s="5" t="inlineStr"/>
      <c r="L738" s="5" t="n">
        <v>212</v>
      </c>
      <c r="M738" s="5" t="n">
        <v>32</v>
      </c>
      <c r="N738" s="10">
        <f>IF(AND(ISNUMBER(L738),M738&gt;0),L738/M738,"")</f>
        <v/>
      </c>
      <c r="O738" s="5" t="n">
        <v>0.675</v>
      </c>
      <c r="P738" s="5" t="n">
        <v>1.7</v>
      </c>
      <c r="Q738" s="5" t="n">
        <v>0</v>
      </c>
      <c r="R738" s="5" t="n">
        <v>1</v>
      </c>
      <c r="S738" s="5" t="n">
        <v>0</v>
      </c>
      <c r="T738" s="5" t="n">
        <v>0</v>
      </c>
      <c r="U738" s="5" t="n">
        <v>0</v>
      </c>
      <c r="V738" s="5" t="n">
        <v>0</v>
      </c>
      <c r="W738" s="5" t="n">
        <v>1</v>
      </c>
      <c r="X738" s="5" t="n">
        <v>4</v>
      </c>
      <c r="Y738" s="5" t="n">
        <v>0</v>
      </c>
      <c r="Z738" s="5" t="inlineStr"/>
      <c r="AA738" s="5" t="n">
        <v>1048.5</v>
      </c>
      <c r="AB738" s="5" t="n">
        <v>2587</v>
      </c>
      <c r="AC738" s="5" t="n">
        <v>1111.5</v>
      </c>
      <c r="AD738" s="5" t="n">
        <v>2598.2</v>
      </c>
      <c r="AE738" s="5" t="inlineStr"/>
      <c r="AF738" s="5">
        <f>IF(AE738="","",IF(OR(AE738=F738,AND(AE738="crane_footing",F738="isolated_footing")),"yes","no"))</f>
        <v/>
      </c>
    </row>
    <row r="739">
      <c r="A739" s="5" t="n">
        <v>738</v>
      </c>
      <c r="B739" s="5" t="inlineStr">
        <is>
          <t>128</t>
        </is>
      </c>
      <c r="C739" s="5" t="inlineStr">
        <is>
          <t>region between joints</t>
        </is>
      </c>
      <c r="D739" s="5" t="inlineStr">
        <is>
          <t>band</t>
        </is>
      </c>
      <c r="E739" s="5" t="n">
        <v>2</v>
      </c>
      <c r="F739" s="5" t="inlineStr">
        <is>
          <t>unidentified</t>
        </is>
      </c>
      <c r="G739" s="5" t="inlineStr">
        <is>
          <t>C2</t>
        </is>
      </c>
      <c r="H739" s="5" t="inlineStr">
        <is>
          <t>no label votes</t>
        </is>
      </c>
      <c r="I739" s="5" t="inlineStr">
        <is>
          <t>(none)</t>
        </is>
      </c>
      <c r="J739" s="5" t="inlineStr"/>
      <c r="K739" s="5" t="inlineStr"/>
      <c r="L739" s="5" t="n">
        <v>206</v>
      </c>
      <c r="M739" s="5" t="n">
        <v>32</v>
      </c>
      <c r="N739" s="10">
        <f>IF(AND(ISNUMBER(L739),M739&gt;0),L739/M739,"")</f>
        <v/>
      </c>
      <c r="O739" s="5" t="n">
        <v>0.656</v>
      </c>
      <c r="P739" s="5" t="n">
        <v>101.6</v>
      </c>
      <c r="Q739" s="5" t="n">
        <v>0</v>
      </c>
      <c r="R739" s="5" t="n">
        <v>0</v>
      </c>
      <c r="S739" s="5" t="n">
        <v>0</v>
      </c>
      <c r="T739" s="5" t="n">
        <v>0</v>
      </c>
      <c r="U739" s="5" t="n">
        <v>0</v>
      </c>
      <c r="V739" s="5" t="n">
        <v>0</v>
      </c>
      <c r="W739" s="5" t="n">
        <v>0</v>
      </c>
      <c r="X739" s="5" t="n">
        <v>4</v>
      </c>
      <c r="Y739" s="5" t="n">
        <v>2.06</v>
      </c>
      <c r="Z739" s="5" t="inlineStr"/>
      <c r="AA739" s="5" t="n">
        <v>1257.8</v>
      </c>
      <c r="AB739" s="5" t="n">
        <v>2473.5</v>
      </c>
      <c r="AC739" s="5" t="n">
        <v>1279.3</v>
      </c>
      <c r="AD739" s="5" t="n">
        <v>2535</v>
      </c>
      <c r="AE739" s="5" t="inlineStr"/>
      <c r="AF739" s="5">
        <f>IF(AE739="","",IF(OR(AE739=F739,AND(AE739="crane_footing",F739="isolated_footing")),"yes","no"))</f>
        <v/>
      </c>
    </row>
    <row r="740">
      <c r="A740" s="5" t="n">
        <v>739</v>
      </c>
      <c r="B740" s="5" t="inlineStr">
        <is>
          <t>128</t>
        </is>
      </c>
      <c r="C740" s="5" t="inlineStr">
        <is>
          <t>region between joints</t>
        </is>
      </c>
      <c r="D740" s="5" t="inlineStr">
        <is>
          <t>band</t>
        </is>
      </c>
      <c r="E740" s="5" t="n">
        <v>2</v>
      </c>
      <c r="F740" s="5" t="inlineStr">
        <is>
          <t>unidentified</t>
        </is>
      </c>
      <c r="G740" s="5" t="inlineStr">
        <is>
          <t>C2</t>
        </is>
      </c>
      <c r="H740" s="5" t="inlineStr">
        <is>
          <t>no label votes</t>
        </is>
      </c>
      <c r="I740" s="5" t="inlineStr">
        <is>
          <t>(none)</t>
        </is>
      </c>
      <c r="J740" s="5" t="inlineStr"/>
      <c r="K740" s="5" t="inlineStr"/>
      <c r="L740" s="5" t="n">
        <v>188</v>
      </c>
      <c r="M740" s="5" t="n">
        <v>32</v>
      </c>
      <c r="N740" s="10">
        <f>IF(AND(ISNUMBER(L740),M740&gt;0),L740/M740,"")</f>
        <v/>
      </c>
      <c r="O740" s="5" t="n">
        <v>0.597</v>
      </c>
      <c r="P740" s="5" t="n">
        <v>101.6</v>
      </c>
      <c r="Q740" s="5" t="n">
        <v>1</v>
      </c>
      <c r="R740" s="5" t="n">
        <v>0</v>
      </c>
      <c r="S740" s="5" t="n">
        <v>0</v>
      </c>
      <c r="T740" s="5" t="n">
        <v>0</v>
      </c>
      <c r="U740" s="5" t="n">
        <v>0</v>
      </c>
      <c r="V740" s="5" t="n">
        <v>0</v>
      </c>
      <c r="W740" s="5" t="n">
        <v>0</v>
      </c>
      <c r="X740" s="5" t="n">
        <v>4</v>
      </c>
      <c r="Y740" s="5" t="n">
        <v>1.88</v>
      </c>
      <c r="Z740" s="5" t="inlineStr"/>
      <c r="AA740" s="5" t="n">
        <v>903.4</v>
      </c>
      <c r="AB740" s="5" t="n">
        <v>2759.1</v>
      </c>
      <c r="AC740" s="5" t="n">
        <v>923.7</v>
      </c>
      <c r="AD740" s="5" t="n">
        <v>2815.3</v>
      </c>
      <c r="AE740" s="5" t="inlineStr"/>
      <c r="AF740" s="5">
        <f>IF(AE740="","",IF(OR(AE740=F740,AND(AE740="crane_footing",F740="isolated_footing")),"yes","no"))</f>
        <v/>
      </c>
    </row>
    <row r="741">
      <c r="A741" s="5" t="n">
        <v>740</v>
      </c>
      <c r="B741" s="5" t="inlineStr">
        <is>
          <t>128</t>
        </is>
      </c>
      <c r="C741" s="5" t="inlineStr">
        <is>
          <t>region between joints</t>
        </is>
      </c>
      <c r="D741" s="5" t="inlineStr">
        <is>
          <t>band</t>
        </is>
      </c>
      <c r="E741" s="5" t="n">
        <v>2</v>
      </c>
      <c r="F741" s="5" t="inlineStr">
        <is>
          <t>unidentified</t>
        </is>
      </c>
      <c r="G741" s="5" t="inlineStr">
        <is>
          <t>C2</t>
        </is>
      </c>
      <c r="H741" s="5" t="inlineStr">
        <is>
          <t>no label votes</t>
        </is>
      </c>
      <c r="I741" s="5" t="inlineStr">
        <is>
          <t>(none)</t>
        </is>
      </c>
      <c r="J741" s="5" t="inlineStr"/>
      <c r="K741" s="5" t="inlineStr"/>
      <c r="L741" s="5" t="n">
        <v>176</v>
      </c>
      <c r="M741" s="5" t="n">
        <v>32</v>
      </c>
      <c r="N741" s="10">
        <f>IF(AND(ISNUMBER(L741),M741&gt;0),L741/M741,"")</f>
        <v/>
      </c>
      <c r="O741" s="5" t="n">
        <v>0.5580000000000001</v>
      </c>
      <c r="P741" s="5" t="n">
        <v>1.7</v>
      </c>
      <c r="Q741" s="5" t="n">
        <v>1</v>
      </c>
      <c r="R741" s="5" t="n">
        <v>1</v>
      </c>
      <c r="S741" s="5" t="n">
        <v>0</v>
      </c>
      <c r="T741" s="5" t="n">
        <v>0</v>
      </c>
      <c r="U741" s="5" t="n">
        <v>0</v>
      </c>
      <c r="V741" s="5" t="n">
        <v>0</v>
      </c>
      <c r="W741" s="5" t="n">
        <v>0</v>
      </c>
      <c r="X741" s="5" t="n">
        <v>4</v>
      </c>
      <c r="Y741" s="5" t="n">
        <v>0.22</v>
      </c>
      <c r="Z741" s="5" t="inlineStr"/>
      <c r="AA741" s="5" t="n">
        <v>860.1</v>
      </c>
      <c r="AB741" s="5" t="n">
        <v>2750.4</v>
      </c>
      <c r="AC741" s="5" t="n">
        <v>912.2</v>
      </c>
      <c r="AD741" s="5" t="n">
        <v>2761.3</v>
      </c>
      <c r="AE741" s="5" t="inlineStr"/>
      <c r="AF741" s="5">
        <f>IF(AE741="","",IF(OR(AE741=F741,AND(AE741="crane_footing",F741="isolated_footing")),"yes","no"))</f>
        <v/>
      </c>
    </row>
    <row r="742">
      <c r="A742" s="5" t="n">
        <v>741</v>
      </c>
      <c r="B742" s="5" t="inlineStr">
        <is>
          <t>128</t>
        </is>
      </c>
      <c r="C742" s="5" t="inlineStr">
        <is>
          <t>region between joints</t>
        </is>
      </c>
      <c r="D742" s="5" t="inlineStr">
        <is>
          <t>band</t>
        </is>
      </c>
      <c r="E742" s="5" t="n">
        <v>2</v>
      </c>
      <c r="F742" s="5" t="inlineStr">
        <is>
          <t>unidentified</t>
        </is>
      </c>
      <c r="G742" s="5" t="inlineStr">
        <is>
          <t>C2</t>
        </is>
      </c>
      <c r="H742" s="5" t="inlineStr">
        <is>
          <t>no label votes</t>
        </is>
      </c>
      <c r="I742" s="5" t="inlineStr">
        <is>
          <t>(none)</t>
        </is>
      </c>
      <c r="J742" s="5" t="inlineStr"/>
      <c r="K742" s="5" t="inlineStr"/>
      <c r="L742" s="5" t="n">
        <v>158</v>
      </c>
      <c r="M742" s="5" t="n">
        <v>32</v>
      </c>
      <c r="N742" s="10">
        <f>IF(AND(ISNUMBER(L742),M742&gt;0),L742/M742,"")</f>
        <v/>
      </c>
      <c r="O742" s="5" t="n">
        <v>0.502</v>
      </c>
      <c r="P742" s="5" t="n">
        <v>1.6</v>
      </c>
      <c r="Q742" s="5" t="n">
        <v>1</v>
      </c>
      <c r="R742" s="5" t="n">
        <v>1</v>
      </c>
      <c r="S742" s="5" t="n">
        <v>0</v>
      </c>
      <c r="T742" s="5" t="n">
        <v>0</v>
      </c>
      <c r="U742" s="5" t="n">
        <v>0</v>
      </c>
      <c r="V742" s="5" t="n">
        <v>0</v>
      </c>
      <c r="W742" s="5" t="n">
        <v>9</v>
      </c>
      <c r="X742" s="5" t="n">
        <v>2</v>
      </c>
      <c r="Y742" s="5" t="n">
        <v>0</v>
      </c>
      <c r="Z742" s="5" t="inlineStr"/>
      <c r="AA742" s="5" t="n">
        <v>1213.7</v>
      </c>
      <c r="AB742" s="5" t="n">
        <v>2451</v>
      </c>
      <c r="AC742" s="5" t="n">
        <v>1260.6</v>
      </c>
      <c r="AD742" s="5" t="n">
        <v>2461.7</v>
      </c>
      <c r="AE742" s="5" t="inlineStr"/>
      <c r="AF742" s="5">
        <f>IF(AE742="","",IF(OR(AE742=F742,AND(AE742="crane_footing",F742="isolated_footing")),"yes","no"))</f>
        <v/>
      </c>
    </row>
    <row r="743">
      <c r="A743" s="5" t="n">
        <v>742</v>
      </c>
      <c r="B743" s="5" t="inlineStr">
        <is>
          <t>128</t>
        </is>
      </c>
      <c r="C743" s="5" t="inlineStr">
        <is>
          <t>region between joints</t>
        </is>
      </c>
      <c r="D743" s="5" t="inlineStr">
        <is>
          <t>band</t>
        </is>
      </c>
      <c r="E743" s="5" t="n">
        <v>2</v>
      </c>
      <c r="F743" s="5" t="inlineStr">
        <is>
          <t>unidentified</t>
        </is>
      </c>
      <c r="G743" s="5" t="inlineStr">
        <is>
          <t>C2</t>
        </is>
      </c>
      <c r="H743" s="5" t="inlineStr">
        <is>
          <t>no label votes</t>
        </is>
      </c>
      <c r="I743" s="5" t="inlineStr">
        <is>
          <t>(none)</t>
        </is>
      </c>
      <c r="J743" s="5" t="inlineStr"/>
      <c r="K743" s="5" t="inlineStr"/>
      <c r="L743" s="5" t="n">
        <v>142</v>
      </c>
      <c r="M743" s="5" t="n">
        <v>32</v>
      </c>
      <c r="N743" s="10">
        <f>IF(AND(ISNUMBER(L743),M743&gt;0),L743/M743,"")</f>
        <v/>
      </c>
      <c r="O743" s="5" t="n">
        <v>0.451</v>
      </c>
      <c r="P743" s="5" t="n">
        <v>101.7</v>
      </c>
      <c r="Q743" s="5" t="n">
        <v>0</v>
      </c>
      <c r="R743" s="5" t="n">
        <v>0</v>
      </c>
      <c r="S743" s="5" t="n">
        <v>0</v>
      </c>
      <c r="T743" s="5" t="n">
        <v>0</v>
      </c>
      <c r="U743" s="5" t="n">
        <v>0</v>
      </c>
      <c r="V743" s="5" t="n">
        <v>0</v>
      </c>
      <c r="W743" s="5" t="n">
        <v>0</v>
      </c>
      <c r="X743" s="5" t="n">
        <v>4</v>
      </c>
      <c r="Y743" s="5" t="n">
        <v>1.42</v>
      </c>
      <c r="Z743" s="5" t="inlineStr"/>
      <c r="AA743" s="5" t="n">
        <v>1269.3</v>
      </c>
      <c r="AB743" s="5" t="n">
        <v>2482.9</v>
      </c>
      <c r="AC743" s="5" t="n">
        <v>1287</v>
      </c>
      <c r="AD743" s="5" t="n">
        <v>2525.8</v>
      </c>
      <c r="AE743" s="5" t="inlineStr"/>
      <c r="AF743" s="5">
        <f>IF(AE743="","",IF(OR(AE743=F743,AND(AE743="crane_footing",F743="isolated_footing")),"yes","no"))</f>
        <v/>
      </c>
    </row>
    <row r="744">
      <c r="A744" s="5" t="n">
        <v>743</v>
      </c>
      <c r="B744" s="5" t="inlineStr">
        <is>
          <t>128</t>
        </is>
      </c>
      <c r="C744" s="5" t="inlineStr">
        <is>
          <t>region between joints</t>
        </is>
      </c>
      <c r="D744" s="5" t="inlineStr">
        <is>
          <t>band</t>
        </is>
      </c>
      <c r="E744" s="5" t="n">
        <v>2</v>
      </c>
      <c r="F744" s="5" t="inlineStr">
        <is>
          <t>unidentified</t>
        </is>
      </c>
      <c r="G744" s="5" t="inlineStr">
        <is>
          <t>C2</t>
        </is>
      </c>
      <c r="H744" s="5" t="inlineStr">
        <is>
          <t>no label votes</t>
        </is>
      </c>
      <c r="I744" s="5" t="inlineStr">
        <is>
          <t>(none)</t>
        </is>
      </c>
      <c r="J744" s="5" t="inlineStr"/>
      <c r="K744" s="5" t="inlineStr"/>
      <c r="L744" s="5" t="n">
        <v>123</v>
      </c>
      <c r="M744" s="5" t="n">
        <v>32</v>
      </c>
      <c r="N744" s="10">
        <f>IF(AND(ISNUMBER(L744),M744&gt;0),L744/M744,"")</f>
        <v/>
      </c>
      <c r="O744" s="5" t="n">
        <v>0.39</v>
      </c>
      <c r="P744" s="5" t="n">
        <v>101.6</v>
      </c>
      <c r="Q744" s="5" t="n">
        <v>1</v>
      </c>
      <c r="R744" s="5" t="n">
        <v>0</v>
      </c>
      <c r="S744" s="5" t="n">
        <v>0</v>
      </c>
      <c r="T744" s="5" t="n">
        <v>0</v>
      </c>
      <c r="U744" s="5" t="n">
        <v>0</v>
      </c>
      <c r="V744" s="5" t="n">
        <v>0</v>
      </c>
      <c r="W744" s="5" t="n">
        <v>0</v>
      </c>
      <c r="X744" s="5" t="n">
        <v>4</v>
      </c>
      <c r="Y744" s="5" t="n">
        <v>1.23</v>
      </c>
      <c r="Z744" s="5" t="inlineStr"/>
      <c r="AA744" s="5" t="n">
        <v>895.7</v>
      </c>
      <c r="AB744" s="5" t="n">
        <v>2768.5</v>
      </c>
      <c r="AC744" s="5" t="n">
        <v>912.2</v>
      </c>
      <c r="AD744" s="5" t="n">
        <v>2805.9</v>
      </c>
      <c r="AE744" s="5" t="inlineStr"/>
      <c r="AF744" s="5">
        <f>IF(AE744="","",IF(OR(AE744=F744,AND(AE744="crane_footing",F744="isolated_footing")),"yes","no"))</f>
        <v/>
      </c>
    </row>
    <row r="745">
      <c r="A745" s="5" t="n">
        <v>744</v>
      </c>
      <c r="B745" s="5" t="inlineStr">
        <is>
          <t>128</t>
        </is>
      </c>
      <c r="C745" s="5" t="inlineStr">
        <is>
          <t>region between joints</t>
        </is>
      </c>
      <c r="D745" s="5" t="inlineStr">
        <is>
          <t>band</t>
        </is>
      </c>
      <c r="E745" s="5" t="n">
        <v>2</v>
      </c>
      <c r="F745" s="5" t="inlineStr">
        <is>
          <t>unidentified</t>
        </is>
      </c>
      <c r="G745" s="5" t="inlineStr">
        <is>
          <t>C2</t>
        </is>
      </c>
      <c r="H745" s="5" t="inlineStr">
        <is>
          <t>no label votes</t>
        </is>
      </c>
      <c r="I745" s="5" t="inlineStr">
        <is>
          <t>(none)</t>
        </is>
      </c>
      <c r="J745" s="5" t="inlineStr"/>
      <c r="K745" s="5" t="inlineStr"/>
      <c r="L745" s="5" t="n">
        <v>112</v>
      </c>
      <c r="M745" s="5" t="n">
        <v>32</v>
      </c>
      <c r="N745" s="10">
        <f>IF(AND(ISNUMBER(L745),M745&gt;0),L745/M745,"")</f>
        <v/>
      </c>
      <c r="O745" s="5" t="n">
        <v>0.356</v>
      </c>
      <c r="P745" s="5" t="n">
        <v>1.7</v>
      </c>
      <c r="Q745" s="5" t="n">
        <v>1</v>
      </c>
      <c r="R745" s="5" t="n">
        <v>1</v>
      </c>
      <c r="S745" s="5" t="n">
        <v>0</v>
      </c>
      <c r="T745" s="5" t="n">
        <v>0</v>
      </c>
      <c r="U745" s="5" t="n">
        <v>0</v>
      </c>
      <c r="V745" s="5" t="n">
        <v>0</v>
      </c>
      <c r="W745" s="5" t="n">
        <v>0</v>
      </c>
      <c r="X745" s="5" t="n">
        <v>2</v>
      </c>
      <c r="Y745" s="5" t="n">
        <v>0.23</v>
      </c>
      <c r="Z745" s="5" t="inlineStr"/>
      <c r="AA745" s="5" t="n">
        <v>867.8</v>
      </c>
      <c r="AB745" s="5" t="n">
        <v>2760</v>
      </c>
      <c r="AC745" s="5" t="n">
        <v>901.1</v>
      </c>
      <c r="AD745" s="5" t="n">
        <v>2770.4</v>
      </c>
      <c r="AE745" s="5" t="inlineStr"/>
      <c r="AF745" s="5">
        <f>IF(AE745="","",IF(OR(AE745=F745,AND(AE745="crane_footing",F745="isolated_footing")),"yes","no"))</f>
        <v/>
      </c>
    </row>
    <row r="746">
      <c r="A746" s="5" t="n">
        <v>745</v>
      </c>
      <c r="B746" s="5" t="inlineStr">
        <is>
          <t>128</t>
        </is>
      </c>
      <c r="C746" s="5" t="inlineStr">
        <is>
          <t>region between joints</t>
        </is>
      </c>
      <c r="D746" s="5" t="inlineStr">
        <is>
          <t>band</t>
        </is>
      </c>
      <c r="E746" s="5" t="n">
        <v>2</v>
      </c>
      <c r="F746" s="5" t="inlineStr">
        <is>
          <t>unidentified</t>
        </is>
      </c>
      <c r="G746" s="5" t="inlineStr">
        <is>
          <t>C2</t>
        </is>
      </c>
      <c r="H746" s="5" t="inlineStr">
        <is>
          <t>no label votes</t>
        </is>
      </c>
      <c r="I746" s="5" t="inlineStr">
        <is>
          <t>(none)</t>
        </is>
      </c>
      <c r="J746" s="5" t="inlineStr"/>
      <c r="K746" s="5" t="inlineStr"/>
      <c r="L746" s="5" t="n">
        <v>77</v>
      </c>
      <c r="M746" s="5" t="n">
        <v>32</v>
      </c>
      <c r="N746" s="10">
        <f>IF(AND(ISNUMBER(L746),M746&gt;0),L746/M746,"")</f>
        <v/>
      </c>
      <c r="O746" s="5" t="n">
        <v>0.245</v>
      </c>
      <c r="P746" s="5" t="n">
        <v>101.6</v>
      </c>
      <c r="Q746" s="5" t="n">
        <v>0</v>
      </c>
      <c r="R746" s="5" t="n">
        <v>0</v>
      </c>
      <c r="S746" s="5" t="n">
        <v>0</v>
      </c>
      <c r="T746" s="5" t="n">
        <v>0</v>
      </c>
      <c r="U746" s="5" t="n">
        <v>0</v>
      </c>
      <c r="V746" s="5" t="n">
        <v>0</v>
      </c>
      <c r="W746" s="5" t="n">
        <v>0</v>
      </c>
      <c r="X746" s="5" t="n">
        <v>2</v>
      </c>
      <c r="Y746" s="5" t="n">
        <v>0.77</v>
      </c>
      <c r="Z746" s="5" t="inlineStr"/>
      <c r="AA746" s="5" t="n">
        <v>1280.8</v>
      </c>
      <c r="AB746" s="5" t="n">
        <v>2492.3</v>
      </c>
      <c r="AC746" s="5" t="n">
        <v>1294.6</v>
      </c>
      <c r="AD746" s="5" t="n">
        <v>2516.5</v>
      </c>
      <c r="AE746" s="5" t="inlineStr"/>
      <c r="AF746" s="5">
        <f>IF(AE746="","",IF(OR(AE746=F746,AND(AE746="crane_footing",F746="isolated_footing")),"yes","no"))</f>
        <v/>
      </c>
    </row>
    <row r="747">
      <c r="A747" s="5" t="n">
        <v>746</v>
      </c>
      <c r="B747" s="5" t="inlineStr">
        <is>
          <t>128</t>
        </is>
      </c>
      <c r="C747" s="5" t="inlineStr">
        <is>
          <t>region between joints</t>
        </is>
      </c>
      <c r="D747" s="5" t="inlineStr">
        <is>
          <t>band</t>
        </is>
      </c>
      <c r="E747" s="5" t="n">
        <v>2</v>
      </c>
      <c r="F747" s="5" t="inlineStr">
        <is>
          <t>unidentified</t>
        </is>
      </c>
      <c r="G747" s="5" t="inlineStr">
        <is>
          <t>C2</t>
        </is>
      </c>
      <c r="H747" s="5" t="inlineStr">
        <is>
          <t>no label votes</t>
        </is>
      </c>
      <c r="I747" s="5" t="inlineStr">
        <is>
          <t>(none)</t>
        </is>
      </c>
      <c r="J747" s="5" t="inlineStr"/>
      <c r="K747" s="5" t="inlineStr"/>
      <c r="L747" s="5" t="n">
        <v>58</v>
      </c>
      <c r="M747" s="5" t="n">
        <v>32</v>
      </c>
      <c r="N747" s="10">
        <f>IF(AND(ISNUMBER(L747),M747&gt;0),L747/M747,"")</f>
        <v/>
      </c>
      <c r="O747" s="5" t="n">
        <v>0.184</v>
      </c>
      <c r="P747" s="5" t="n">
        <v>101.6</v>
      </c>
      <c r="Q747" s="5" t="n">
        <v>1</v>
      </c>
      <c r="R747" s="5" t="n">
        <v>0</v>
      </c>
      <c r="S747" s="5" t="n">
        <v>0</v>
      </c>
      <c r="T747" s="5" t="n">
        <v>0</v>
      </c>
      <c r="U747" s="5" t="n">
        <v>0</v>
      </c>
      <c r="V747" s="5" t="n">
        <v>0</v>
      </c>
      <c r="W747" s="5" t="n">
        <v>0</v>
      </c>
      <c r="X747" s="5" t="n">
        <v>1</v>
      </c>
      <c r="Y747" s="5" t="n">
        <v>0.58</v>
      </c>
      <c r="Z747" s="5" t="inlineStr"/>
      <c r="AA747" s="5" t="n">
        <v>888.1</v>
      </c>
      <c r="AB747" s="5" t="n">
        <v>2777.9</v>
      </c>
      <c r="AC747" s="5" t="n">
        <v>900.8</v>
      </c>
      <c r="AD747" s="5" t="n">
        <v>2796.5</v>
      </c>
      <c r="AE747" s="5" t="inlineStr"/>
      <c r="AF747" s="5">
        <f>IF(AE747="","",IF(OR(AE747=F747,AND(AE747="crane_footing",F747="isolated_footing")),"yes","no"))</f>
        <v/>
      </c>
    </row>
    <row r="748">
      <c r="A748" s="5" t="n">
        <v>747</v>
      </c>
      <c r="B748" s="5" t="inlineStr">
        <is>
          <t>129</t>
        </is>
      </c>
      <c r="C748" s="5" t="inlineStr">
        <is>
          <t>own label</t>
        </is>
      </c>
      <c r="D748" s="5" t="inlineStr">
        <is>
          <t>solid</t>
        </is>
      </c>
      <c r="E748" s="5" t="n">
        <v>25</v>
      </c>
      <c r="F748" s="5" t="inlineStr">
        <is>
          <t>column</t>
        </is>
      </c>
      <c r="G748" s="5" t="inlineStr">
        <is>
          <t>Column P1/129 1.00 × 0.25 m</t>
        </is>
      </c>
      <c r="H748" s="5" t="inlineStr">
        <is>
          <t>label vote</t>
        </is>
      </c>
      <c r="I748" s="5" t="inlineStr">
        <is>
          <t>P1/129</t>
        </is>
      </c>
      <c r="J748" s="5" t="inlineStr">
        <is>
          <t>printed label</t>
        </is>
      </c>
      <c r="K748" s="5" t="inlineStr">
        <is>
          <t>P1/129/129</t>
        </is>
      </c>
      <c r="L748" s="5" t="n">
        <v>100</v>
      </c>
      <c r="M748" s="5" t="n">
        <v>25</v>
      </c>
      <c r="N748" s="10">
        <f>IF(AND(ISNUMBER(L748),M748&gt;0),L748/M748,"")</f>
        <v/>
      </c>
      <c r="O748" s="5" t="n">
        <v>0.251</v>
      </c>
      <c r="P748" s="5" t="n">
        <v>165.4</v>
      </c>
      <c r="Q748" s="5" t="n">
        <v>0</v>
      </c>
      <c r="R748" s="5" t="n">
        <v>0</v>
      </c>
      <c r="S748" s="5" t="n">
        <v>0</v>
      </c>
      <c r="T748" s="5" t="n">
        <v>1</v>
      </c>
      <c r="U748" s="5" t="n">
        <v>0</v>
      </c>
      <c r="V748" s="5" t="n">
        <v>0</v>
      </c>
      <c r="W748" s="5" t="n">
        <v>2</v>
      </c>
      <c r="X748" s="5" t="n">
        <v>0</v>
      </c>
      <c r="Y748" s="5" t="n"/>
      <c r="Z748" s="5" t="inlineStr"/>
      <c r="AA748" s="5" t="n">
        <v>1014.7</v>
      </c>
      <c r="AB748" s="5" t="n">
        <v>2255.9</v>
      </c>
      <c r="AC748" s="5" t="n">
        <v>1045.1</v>
      </c>
      <c r="AD748" s="5" t="n">
        <v>2270.5</v>
      </c>
      <c r="AE748" s="5" t="inlineStr">
        <is>
          <t>column</t>
        </is>
      </c>
      <c r="AF748" s="5">
        <f>IF(AE748="","",IF(OR(AE748=F748,AND(AE748="crane_footing",F748="isolated_footing")),"yes","no"))</f>
        <v/>
      </c>
    </row>
    <row r="749">
      <c r="A749" s="5" t="n">
        <v>748</v>
      </c>
      <c r="B749" s="5" t="inlineStr">
        <is>
          <t>129</t>
        </is>
      </c>
      <c r="C749" s="5" t="inlineStr">
        <is>
          <t>own label</t>
        </is>
      </c>
      <c r="D749" s="5" t="inlineStr">
        <is>
          <t>solid</t>
        </is>
      </c>
      <c r="E749" s="5" t="n">
        <v>25</v>
      </c>
      <c r="F749" s="5" t="inlineStr">
        <is>
          <t>column</t>
        </is>
      </c>
      <c r="G749" s="5" t="inlineStr">
        <is>
          <t>Column P1/129 1.00 × 0.25 m</t>
        </is>
      </c>
      <c r="H749" s="5" t="inlineStr">
        <is>
          <t>label vote</t>
        </is>
      </c>
      <c r="I749" s="5" t="inlineStr">
        <is>
          <t>P1/129</t>
        </is>
      </c>
      <c r="J749" s="5" t="inlineStr">
        <is>
          <t>printed label</t>
        </is>
      </c>
      <c r="K749" s="5" t="inlineStr">
        <is>
          <t>P1/129/129</t>
        </is>
      </c>
      <c r="L749" s="5" t="n">
        <v>100</v>
      </c>
      <c r="M749" s="5" t="n">
        <v>25</v>
      </c>
      <c r="N749" s="10">
        <f>IF(AND(ISNUMBER(L749),M749&gt;0),L749/M749,"")</f>
        <v/>
      </c>
      <c r="O749" s="5" t="n">
        <v>0.249</v>
      </c>
      <c r="P749" s="5" t="n">
        <v>165.3</v>
      </c>
      <c r="Q749" s="5" t="n">
        <v>0</v>
      </c>
      <c r="R749" s="5" t="n">
        <v>0</v>
      </c>
      <c r="S749" s="5" t="n">
        <v>0</v>
      </c>
      <c r="T749" s="5" t="n">
        <v>1</v>
      </c>
      <c r="U749" s="5" t="n">
        <v>0</v>
      </c>
      <c r="V749" s="5" t="n">
        <v>0</v>
      </c>
      <c r="W749" s="5" t="n">
        <v>1</v>
      </c>
      <c r="X749" s="5" t="n">
        <v>0</v>
      </c>
      <c r="Y749" s="5" t="n"/>
      <c r="Z749" s="5" t="inlineStr"/>
      <c r="AA749" s="5" t="n">
        <v>968</v>
      </c>
      <c r="AB749" s="5" t="n">
        <v>2196.5</v>
      </c>
      <c r="AC749" s="5" t="n">
        <v>998.4</v>
      </c>
      <c r="AD749" s="5" t="n">
        <v>2211.1</v>
      </c>
      <c r="AE749" s="5" t="inlineStr">
        <is>
          <t>column</t>
        </is>
      </c>
      <c r="AF749" s="5">
        <f>IF(AE749="","",IF(OR(AE749=F749,AND(AE749="crane_footing",F749="isolated_footing")),"yes","no"))</f>
        <v/>
      </c>
    </row>
    <row r="750">
      <c r="A750" s="5" t="n">
        <v>749</v>
      </c>
      <c r="B750" s="5" t="inlineStr">
        <is>
          <t>129</t>
        </is>
      </c>
      <c r="C750" s="5" t="inlineStr">
        <is>
          <t>own label</t>
        </is>
      </c>
      <c r="D750" s="5" t="inlineStr">
        <is>
          <t>solid</t>
        </is>
      </c>
      <c r="E750" s="5" t="n">
        <v>36</v>
      </c>
      <c r="F750" s="5" t="inlineStr">
        <is>
          <t>column</t>
        </is>
      </c>
      <c r="G750" s="5" t="inlineStr">
        <is>
          <t>Column P2/129 1.00 × 0.45 m</t>
        </is>
      </c>
      <c r="H750" s="5" t="inlineStr">
        <is>
          <t>label vote</t>
        </is>
      </c>
      <c r="I750" s="5" t="inlineStr">
        <is>
          <t>P2/129</t>
        </is>
      </c>
      <c r="J750" s="5" t="inlineStr">
        <is>
          <t>printed label</t>
        </is>
      </c>
      <c r="K750" s="5" t="inlineStr">
        <is>
          <t>P2/129/129</t>
        </is>
      </c>
      <c r="L750" s="5" t="n">
        <v>100</v>
      </c>
      <c r="M750" s="5" t="n">
        <v>45</v>
      </c>
      <c r="N750" s="10">
        <f>IF(AND(ISNUMBER(L750),M750&gt;0),L750/M750,"")</f>
        <v/>
      </c>
      <c r="O750" s="5" t="n">
        <v>0.45</v>
      </c>
      <c r="P750" s="5" t="n">
        <v>75.3</v>
      </c>
      <c r="Q750" s="5" t="n">
        <v>0</v>
      </c>
      <c r="R750" s="5" t="n">
        <v>1</v>
      </c>
      <c r="S750" s="5" t="n">
        <v>0</v>
      </c>
      <c r="T750" s="5" t="n">
        <v>0</v>
      </c>
      <c r="U750" s="5" t="n">
        <v>1</v>
      </c>
      <c r="V750" s="5" t="n">
        <v>0</v>
      </c>
      <c r="W750" s="5" t="n">
        <v>1</v>
      </c>
      <c r="X750" s="5" t="n">
        <v>1</v>
      </c>
      <c r="Y750" s="5" t="n"/>
      <c r="Z750" s="5" t="inlineStr"/>
      <c r="AA750" s="5" t="n">
        <v>756.1</v>
      </c>
      <c r="AB750" s="5" t="n">
        <v>2577.3</v>
      </c>
      <c r="AC750" s="5" t="n">
        <v>776.5</v>
      </c>
      <c r="AD750" s="5" t="n">
        <v>2609.2</v>
      </c>
      <c r="AE750" s="5" t="inlineStr">
        <is>
          <t>column</t>
        </is>
      </c>
      <c r="AF750" s="5">
        <f>IF(AE750="","",IF(OR(AE750=F750,AND(AE750="crane_footing",F750="isolated_footing")),"yes","no"))</f>
        <v/>
      </c>
    </row>
    <row r="751">
      <c r="A751" s="5" t="n">
        <v>750</v>
      </c>
      <c r="B751" s="5" t="inlineStr">
        <is>
          <t>129</t>
        </is>
      </c>
      <c r="C751" s="5" t="inlineStr">
        <is>
          <t>own label</t>
        </is>
      </c>
      <c r="D751" s="5" t="inlineStr">
        <is>
          <t>solid</t>
        </is>
      </c>
      <c r="E751" s="5" t="n">
        <v>33</v>
      </c>
      <c r="F751" s="5" t="inlineStr">
        <is>
          <t>shear_wall</t>
        </is>
      </c>
      <c r="G751" s="5" t="inlineStr">
        <is>
          <t>Shear wall V1/129 1.25 × 0.25 m</t>
        </is>
      </c>
      <c r="H751" s="5" t="inlineStr">
        <is>
          <t>label vote</t>
        </is>
      </c>
      <c r="I751" s="5" t="inlineStr">
        <is>
          <t>V1/129</t>
        </is>
      </c>
      <c r="J751" s="5" t="inlineStr">
        <is>
          <t>printed label</t>
        </is>
      </c>
      <c r="K751" s="5" t="inlineStr">
        <is>
          <t>V1/129/129</t>
        </is>
      </c>
      <c r="L751" s="5" t="n">
        <v>125</v>
      </c>
      <c r="M751" s="5" t="n">
        <v>25</v>
      </c>
      <c r="N751" s="10">
        <f>IF(AND(ISNUMBER(L751),M751&gt;0),L751/M751,"")</f>
        <v/>
      </c>
      <c r="O751" s="5" t="n">
        <v>0.314</v>
      </c>
      <c r="P751" s="5" t="n">
        <v>165.3</v>
      </c>
      <c r="Q751" s="5" t="n">
        <v>1</v>
      </c>
      <c r="R751" s="5" t="n">
        <v>1</v>
      </c>
      <c r="S751" s="5" t="n">
        <v>0</v>
      </c>
      <c r="T751" s="5" t="n">
        <v>0</v>
      </c>
      <c r="U751" s="5" t="n">
        <v>0</v>
      </c>
      <c r="V751" s="5" t="n">
        <v>0</v>
      </c>
      <c r="W751" s="5" t="n">
        <v>1</v>
      </c>
      <c r="X751" s="5" t="n">
        <v>3</v>
      </c>
      <c r="Y751" s="5" t="n"/>
      <c r="Z751" s="5" t="inlineStr"/>
      <c r="AA751" s="5" t="n">
        <v>799.9</v>
      </c>
      <c r="AB751" s="5" t="n">
        <v>1851</v>
      </c>
      <c r="AC751" s="5" t="n">
        <v>837.4</v>
      </c>
      <c r="AD751" s="5" t="n">
        <v>1867.6</v>
      </c>
      <c r="AE751" s="5" t="inlineStr"/>
      <c r="AF751" s="5">
        <f>IF(AE751="","",IF(OR(AE751=F751,AND(AE751="crane_footing",F751="isolated_footing")),"yes","no"))</f>
        <v/>
      </c>
    </row>
    <row r="752">
      <c r="A752" s="5" t="n">
        <v>751</v>
      </c>
      <c r="B752" s="5" t="inlineStr">
        <is>
          <t>129</t>
        </is>
      </c>
      <c r="C752" s="5" t="inlineStr">
        <is>
          <t>own label</t>
        </is>
      </c>
      <c r="D752" s="5" t="inlineStr">
        <is>
          <t>solid</t>
        </is>
      </c>
      <c r="E752" s="5" t="n">
        <v>37</v>
      </c>
      <c r="F752" s="5" t="inlineStr">
        <is>
          <t>shear_wall</t>
        </is>
      </c>
      <c r="G752" s="5" t="inlineStr">
        <is>
          <t>Shear wall V1/129 1.25 × 0.25 m</t>
        </is>
      </c>
      <c r="H752" s="5" t="inlineStr">
        <is>
          <t>similar to cluster 33 (distance 1.78)</t>
        </is>
      </c>
      <c r="I752" s="5" t="inlineStr">
        <is>
          <t>V1/129</t>
        </is>
      </c>
      <c r="J752" s="5" t="inlineStr">
        <is>
          <t>printed label</t>
        </is>
      </c>
      <c r="K752" s="5" t="inlineStr">
        <is>
          <t>V1/129/129</t>
        </is>
      </c>
      <c r="L752" s="5" t="n">
        <v>125</v>
      </c>
      <c r="M752" s="5" t="n">
        <v>25</v>
      </c>
      <c r="N752" s="10">
        <f>IF(AND(ISNUMBER(L752),M752&gt;0),L752/M752,"")</f>
        <v/>
      </c>
      <c r="O752" s="5" t="n">
        <v>0.313</v>
      </c>
      <c r="P752" s="5" t="n">
        <v>141</v>
      </c>
      <c r="Q752" s="5" t="n">
        <v>2</v>
      </c>
      <c r="R752" s="5" t="n">
        <v>1</v>
      </c>
      <c r="S752" s="5" t="n">
        <v>0</v>
      </c>
      <c r="T752" s="5" t="n">
        <v>0</v>
      </c>
      <c r="U752" s="5" t="n">
        <v>0</v>
      </c>
      <c r="V752" s="5" t="n">
        <v>0</v>
      </c>
      <c r="W752" s="5" t="n">
        <v>2</v>
      </c>
      <c r="X752" s="5" t="n">
        <v>0</v>
      </c>
      <c r="Y752" s="5" t="n"/>
      <c r="Z752" s="5" t="inlineStr"/>
      <c r="AA752" s="5" t="n">
        <v>805.2</v>
      </c>
      <c r="AB752" s="5" t="n">
        <v>2737</v>
      </c>
      <c r="AC752" s="5" t="n">
        <v>838.6</v>
      </c>
      <c r="AD752" s="5" t="n">
        <v>2766</v>
      </c>
      <c r="AE752" s="5" t="inlineStr"/>
      <c r="AF752" s="5">
        <f>IF(AE752="","",IF(OR(AE752=F752,AND(AE752="crane_footing",F752="isolated_footing")),"yes","no"))</f>
        <v/>
      </c>
    </row>
    <row r="753">
      <c r="A753" s="5" t="n">
        <v>752</v>
      </c>
      <c r="B753" s="5" t="inlineStr">
        <is>
          <t>129</t>
        </is>
      </c>
      <c r="C753" s="5" t="inlineStr">
        <is>
          <t>own label</t>
        </is>
      </c>
      <c r="D753" s="5" t="inlineStr">
        <is>
          <t>solid</t>
        </is>
      </c>
      <c r="E753" s="5" t="n">
        <v>31</v>
      </c>
      <c r="F753" s="5" t="inlineStr">
        <is>
          <t>shear_wall</t>
        </is>
      </c>
      <c r="G753" s="5" t="inlineStr">
        <is>
          <t>Shear wall V1/129 1.25 × 0.25 m</t>
        </is>
      </c>
      <c r="H753" s="5" t="inlineStr">
        <is>
          <t>label vote</t>
        </is>
      </c>
      <c r="I753" s="5" t="inlineStr">
        <is>
          <t>V1/129</t>
        </is>
      </c>
      <c r="J753" s="5" t="inlineStr">
        <is>
          <t>printed label</t>
        </is>
      </c>
      <c r="K753" s="5" t="inlineStr">
        <is>
          <t>V1/129/129</t>
        </is>
      </c>
      <c r="L753" s="5" t="n">
        <v>125</v>
      </c>
      <c r="M753" s="5" t="n">
        <v>25</v>
      </c>
      <c r="N753" s="10">
        <f>IF(AND(ISNUMBER(L753),M753&gt;0),L753/M753,"")</f>
        <v/>
      </c>
      <c r="O753" s="5" t="n">
        <v>0.312</v>
      </c>
      <c r="P753" s="5" t="n">
        <v>165.3</v>
      </c>
      <c r="Q753" s="5" t="n">
        <v>0</v>
      </c>
      <c r="R753" s="5" t="n">
        <v>1</v>
      </c>
      <c r="S753" s="5" t="n">
        <v>0</v>
      </c>
      <c r="T753" s="5" t="n">
        <v>0</v>
      </c>
      <c r="U753" s="5" t="n">
        <v>0</v>
      </c>
      <c r="V753" s="5" t="n">
        <v>0</v>
      </c>
      <c r="W753" s="5" t="n">
        <v>1</v>
      </c>
      <c r="X753" s="5" t="n">
        <v>4</v>
      </c>
      <c r="Y753" s="5" t="n"/>
      <c r="Z753" s="5" t="inlineStr"/>
      <c r="AA753" s="5" t="n">
        <v>1031.6</v>
      </c>
      <c r="AB753" s="5" t="n">
        <v>1790</v>
      </c>
      <c r="AC753" s="5" t="n">
        <v>1069.2</v>
      </c>
      <c r="AD753" s="5" t="n">
        <v>1806.5</v>
      </c>
      <c r="AE753" s="5" t="inlineStr">
        <is>
          <t>shear_wall</t>
        </is>
      </c>
      <c r="AF753" s="5">
        <f>IF(AE753="","",IF(OR(AE753=F753,AND(AE753="crane_footing",F753="isolated_footing")),"yes","no"))</f>
        <v/>
      </c>
    </row>
    <row r="754">
      <c r="A754" s="5" t="n">
        <v>753</v>
      </c>
      <c r="B754" s="5" t="inlineStr">
        <is>
          <t>129</t>
        </is>
      </c>
      <c r="C754" s="5" t="inlineStr">
        <is>
          <t>own label</t>
        </is>
      </c>
      <c r="D754" s="5" t="inlineStr">
        <is>
          <t>solid</t>
        </is>
      </c>
      <c r="E754" s="5" t="n">
        <v>38</v>
      </c>
      <c r="F754" s="5" t="inlineStr">
        <is>
          <t>shear_wall</t>
        </is>
      </c>
      <c r="G754" s="5" t="inlineStr">
        <is>
          <t>Shear wall V3/129 2.00 × 0.30 m</t>
        </is>
      </c>
      <c r="H754" s="5" t="inlineStr">
        <is>
          <t>label vote</t>
        </is>
      </c>
      <c r="I754" s="5" t="inlineStr">
        <is>
          <t>V3/129</t>
        </is>
      </c>
      <c r="J754" s="5" t="inlineStr">
        <is>
          <t>printed label</t>
        </is>
      </c>
      <c r="K754" s="5" t="inlineStr">
        <is>
          <t>V3/129/129</t>
        </is>
      </c>
      <c r="L754" s="5" t="n">
        <v>200</v>
      </c>
      <c r="M754" s="5" t="n">
        <v>30</v>
      </c>
      <c r="N754" s="10">
        <f>IF(AND(ISNUMBER(L754),M754&gt;0),L754/M754,"")</f>
        <v/>
      </c>
      <c r="O754" s="5" t="n">
        <v>0.6</v>
      </c>
      <c r="P754" s="5" t="n">
        <v>165.3</v>
      </c>
      <c r="Q754" s="5" t="n">
        <v>0</v>
      </c>
      <c r="R754" s="5" t="n">
        <v>1</v>
      </c>
      <c r="S754" s="5" t="n">
        <v>0</v>
      </c>
      <c r="T754" s="5" t="n">
        <v>0</v>
      </c>
      <c r="U754" s="5" t="n">
        <v>0</v>
      </c>
      <c r="V754" s="5" t="n">
        <v>0</v>
      </c>
      <c r="W754" s="5" t="n">
        <v>1</v>
      </c>
      <c r="X754" s="5" t="n">
        <v>2</v>
      </c>
      <c r="Y754" s="5" t="n"/>
      <c r="Z754" s="5" t="inlineStr"/>
      <c r="AA754" s="5" t="n">
        <v>1052.2</v>
      </c>
      <c r="AB754" s="5" t="n">
        <v>1973.2</v>
      </c>
      <c r="AC754" s="5" t="n">
        <v>1111.6</v>
      </c>
      <c r="AD754" s="5" t="n">
        <v>1996.7</v>
      </c>
      <c r="AE754" s="5" t="inlineStr">
        <is>
          <t>shear_wall</t>
        </is>
      </c>
      <c r="AF754" s="5">
        <f>IF(AE754="","",IF(OR(AE754=F754,AND(AE754="crane_footing",F754="isolated_footing")),"yes","no"))</f>
        <v/>
      </c>
    </row>
    <row r="755">
      <c r="A755" s="5" t="n">
        <v>754</v>
      </c>
      <c r="B755" s="5" t="inlineStr">
        <is>
          <t>129</t>
        </is>
      </c>
      <c r="C755" s="5" t="inlineStr">
        <is>
          <t>own label</t>
        </is>
      </c>
      <c r="D755" s="5" t="inlineStr">
        <is>
          <t>solid</t>
        </is>
      </c>
      <c r="E755" s="5" t="n">
        <v>38</v>
      </c>
      <c r="F755" s="5" t="inlineStr">
        <is>
          <t>shear_wall</t>
        </is>
      </c>
      <c r="G755" s="5" t="inlineStr">
        <is>
          <t>Shear wall V5/129 2.00 × 0.30 m</t>
        </is>
      </c>
      <c r="H755" s="5" t="inlineStr">
        <is>
          <t>label vote</t>
        </is>
      </c>
      <c r="I755" s="5" t="inlineStr">
        <is>
          <t>V5/129</t>
        </is>
      </c>
      <c r="J755" s="5" t="inlineStr">
        <is>
          <t>printed label</t>
        </is>
      </c>
      <c r="K755" s="5" t="inlineStr">
        <is>
          <t>V5/129/129</t>
        </is>
      </c>
      <c r="L755" s="5" t="n">
        <v>200</v>
      </c>
      <c r="M755" s="5" t="n">
        <v>30</v>
      </c>
      <c r="N755" s="10">
        <f>IF(AND(ISNUMBER(L755),M755&gt;0),L755/M755,"")</f>
        <v/>
      </c>
      <c r="O755" s="5" t="n">
        <v>0.6</v>
      </c>
      <c r="P755" s="5" t="n">
        <v>165.3</v>
      </c>
      <c r="Q755" s="5" t="n">
        <v>0</v>
      </c>
      <c r="R755" s="5" t="n">
        <v>0</v>
      </c>
      <c r="S755" s="5" t="n">
        <v>0</v>
      </c>
      <c r="T755" s="5" t="n">
        <v>1</v>
      </c>
      <c r="U755" s="5" t="n">
        <v>0</v>
      </c>
      <c r="V755" s="5" t="n">
        <v>0</v>
      </c>
      <c r="W755" s="5" t="n">
        <v>1</v>
      </c>
      <c r="X755" s="5" t="n">
        <v>1</v>
      </c>
      <c r="Y755" s="5" t="n"/>
      <c r="Z755" s="5" t="inlineStr"/>
      <c r="AA755" s="5" t="n">
        <v>1104.1</v>
      </c>
      <c r="AB755" s="5" t="n">
        <v>2151.8</v>
      </c>
      <c r="AC755" s="5" t="n">
        <v>1163.5</v>
      </c>
      <c r="AD755" s="5" t="n">
        <v>2175.4</v>
      </c>
      <c r="AE755" s="5" t="inlineStr">
        <is>
          <t>shear_wall</t>
        </is>
      </c>
      <c r="AF755" s="5">
        <f>IF(AE755="","",IF(OR(AE755=F755,AND(AE755="crane_footing",F755="isolated_footing")),"yes","no"))</f>
        <v/>
      </c>
    </row>
    <row r="756">
      <c r="A756" s="5" t="n">
        <v>755</v>
      </c>
      <c r="B756" s="5" t="inlineStr">
        <is>
          <t>129</t>
        </is>
      </c>
      <c r="C756" s="5" t="inlineStr">
        <is>
          <t>own label</t>
        </is>
      </c>
      <c r="D756" s="5" t="inlineStr">
        <is>
          <t>solid</t>
        </is>
      </c>
      <c r="E756" s="5" t="n">
        <v>29</v>
      </c>
      <c r="F756" s="5" t="inlineStr">
        <is>
          <t>shear_wall</t>
        </is>
      </c>
      <c r="G756" s="5" t="inlineStr">
        <is>
          <t>Shear wall V6/129 3.00 × 0.25 m</t>
        </is>
      </c>
      <c r="H756" s="5" t="inlineStr">
        <is>
          <t>label vote</t>
        </is>
      </c>
      <c r="I756" s="5" t="inlineStr">
        <is>
          <t>V6/129</t>
        </is>
      </c>
      <c r="J756" s="5" t="inlineStr">
        <is>
          <t>printed label</t>
        </is>
      </c>
      <c r="K756" s="5" t="inlineStr">
        <is>
          <t>V6/129/129</t>
        </is>
      </c>
      <c r="L756" s="5" t="n">
        <v>300</v>
      </c>
      <c r="M756" s="5" t="n">
        <v>25</v>
      </c>
      <c r="N756" s="10">
        <f>IF(AND(ISNUMBER(L756),M756&gt;0),L756/M756,"")</f>
        <v/>
      </c>
      <c r="O756" s="5" t="n">
        <v>0.753</v>
      </c>
      <c r="P756" s="5" t="n">
        <v>75.3</v>
      </c>
      <c r="Q756" s="5" t="n">
        <v>1</v>
      </c>
      <c r="R756" s="5" t="n">
        <v>1</v>
      </c>
      <c r="S756" s="5" t="n">
        <v>0</v>
      </c>
      <c r="T756" s="5" t="n">
        <v>0</v>
      </c>
      <c r="U756" s="5" t="n">
        <v>1</v>
      </c>
      <c r="V756" s="5" t="n">
        <v>0</v>
      </c>
      <c r="W756" s="5" t="n">
        <v>3</v>
      </c>
      <c r="X756" s="5" t="n">
        <v>1</v>
      </c>
      <c r="Y756" s="5" t="n"/>
      <c r="Z756" s="5" t="inlineStr"/>
      <c r="AA756" s="5" t="n">
        <v>852.2</v>
      </c>
      <c r="AB756" s="5" t="n">
        <v>1970</v>
      </c>
      <c r="AC756" s="5" t="n">
        <v>881.8</v>
      </c>
      <c r="AD756" s="5" t="n">
        <v>2057.6</v>
      </c>
      <c r="AE756" s="5" t="inlineStr"/>
      <c r="AF756" s="5">
        <f>IF(AE756="","",IF(OR(AE756=F756,AND(AE756="crane_footing",F756="isolated_footing")),"yes","no"))</f>
        <v/>
      </c>
    </row>
    <row r="757">
      <c r="A757" s="5" t="n">
        <v>756</v>
      </c>
      <c r="B757" s="5" t="inlineStr">
        <is>
          <t>129</t>
        </is>
      </c>
      <c r="C757" s="5" t="inlineStr">
        <is>
          <t>own label</t>
        </is>
      </c>
      <c r="D757" s="5" t="inlineStr">
        <is>
          <t>solid</t>
        </is>
      </c>
      <c r="E757" s="5" t="n">
        <v>37</v>
      </c>
      <c r="F757" s="5" t="inlineStr">
        <is>
          <t>shear_wall</t>
        </is>
      </c>
      <c r="G757" s="5" t="inlineStr">
        <is>
          <t>Shear wall V8/129 2.50 × 0.25 m</t>
        </is>
      </c>
      <c r="H757" s="5" t="inlineStr">
        <is>
          <t>similar to cluster 33 (distance 1.78)</t>
        </is>
      </c>
      <c r="I757" s="5" t="inlineStr">
        <is>
          <t>V8/129</t>
        </is>
      </c>
      <c r="J757" s="5" t="inlineStr">
        <is>
          <t>printed label</t>
        </is>
      </c>
      <c r="K757" s="5" t="inlineStr">
        <is>
          <t>V8/129/129</t>
        </is>
      </c>
      <c r="L757" s="5" t="n">
        <v>250</v>
      </c>
      <c r="M757" s="5" t="n">
        <v>25</v>
      </c>
      <c r="N757" s="10">
        <f>IF(AND(ISNUMBER(L757),M757&gt;0),L757/M757,"")</f>
        <v/>
      </c>
      <c r="O757" s="5" t="n">
        <v>0.625</v>
      </c>
      <c r="P757" s="5" t="n">
        <v>140.9</v>
      </c>
      <c r="Q757" s="5" t="n">
        <v>2</v>
      </c>
      <c r="R757" s="5" t="n">
        <v>1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2</v>
      </c>
      <c r="X757" s="5" t="n">
        <v>12</v>
      </c>
      <c r="Y757" s="5" t="n"/>
      <c r="Z757" s="5" t="inlineStr"/>
      <c r="AA757" s="5" t="n">
        <v>980.2</v>
      </c>
      <c r="AB757" s="5" t="n">
        <v>2571.5</v>
      </c>
      <c r="AC757" s="5" t="n">
        <v>1042.2</v>
      </c>
      <c r="AD757" s="5" t="n">
        <v>2623.8</v>
      </c>
      <c r="AE757" s="5" t="inlineStr"/>
      <c r="AF757" s="5">
        <f>IF(AE757="","",IF(OR(AE757=F757,AND(AE757="crane_footing",F757="isolated_footing")),"yes","no"))</f>
        <v/>
      </c>
    </row>
    <row r="758">
      <c r="A758" s="5" t="n">
        <v>757</v>
      </c>
      <c r="B758" s="5" t="inlineStr">
        <is>
          <t>129</t>
        </is>
      </c>
      <c r="C758" s="5" t="inlineStr">
        <is>
          <t>nearest labels</t>
        </is>
      </c>
      <c r="D758" s="5" t="inlineStr">
        <is>
          <t>solid</t>
        </is>
      </c>
      <c r="E758" s="5" t="n">
        <v>34</v>
      </c>
      <c r="F758" s="5" t="inlineStr">
        <is>
          <t>core_wall</t>
        </is>
      </c>
      <c r="G758" s="5" t="inlineStr">
        <is>
          <t>Core wall 7.14 × 0.20 m</t>
        </is>
      </c>
      <c r="H758" s="5" t="inlineStr">
        <is>
          <t>rule: unlabelled interior wall, no V type of its size</t>
        </is>
      </c>
      <c r="I758" s="5" t="inlineStr">
        <is>
          <t>(none)</t>
        </is>
      </c>
      <c r="J758" s="5" t="inlineStr">
        <is>
          <t>no shear_wall type in its building has this size</t>
        </is>
      </c>
      <c r="K758" s="5" t="inlineStr"/>
      <c r="L758" s="5" t="n">
        <v>714</v>
      </c>
      <c r="M758" s="5" t="n">
        <v>20</v>
      </c>
      <c r="N758" s="10">
        <f>IF(AND(ISNUMBER(L758),M758&gt;0),L758/M758,"")</f>
        <v/>
      </c>
      <c r="O758" s="5" t="n">
        <v>1.432</v>
      </c>
      <c r="P758" s="5" t="n">
        <v>140.9</v>
      </c>
      <c r="Q758" s="5" t="n">
        <v>2</v>
      </c>
      <c r="R758" s="5" t="n">
        <v>0</v>
      </c>
      <c r="S758" s="5" t="n">
        <v>0</v>
      </c>
      <c r="T758" s="5" t="n">
        <v>0</v>
      </c>
      <c r="U758" s="5" t="n">
        <v>0</v>
      </c>
      <c r="V758" s="5" t="n">
        <v>0</v>
      </c>
      <c r="W758" s="5" t="n">
        <v>20</v>
      </c>
      <c r="X758" s="5" t="n">
        <v>47</v>
      </c>
      <c r="Y758" s="5" t="n"/>
      <c r="Z758" s="5" t="inlineStr"/>
      <c r="AA758" s="5" t="n">
        <v>840.4</v>
      </c>
      <c r="AB758" s="5" t="n">
        <v>2612.1</v>
      </c>
      <c r="AC758" s="5" t="n">
        <v>1007.7</v>
      </c>
      <c r="AD758" s="5" t="n">
        <v>2749.6</v>
      </c>
      <c r="AE758" s="5" t="inlineStr"/>
      <c r="AF758" s="5">
        <f>IF(AE758="","",IF(OR(AE758=F758,AND(AE758="crane_footing",F758="isolated_footing")),"yes","no"))</f>
        <v/>
      </c>
    </row>
    <row r="759">
      <c r="A759" s="5" t="n">
        <v>758</v>
      </c>
      <c r="B759" s="5" t="inlineStr">
        <is>
          <t>129</t>
        </is>
      </c>
      <c r="C759" s="5" t="inlineStr">
        <is>
          <t>region between joints</t>
        </is>
      </c>
      <c r="D759" s="5" t="inlineStr">
        <is>
          <t>solid</t>
        </is>
      </c>
      <c r="E759" s="5" t="n">
        <v>34</v>
      </c>
      <c r="F759" s="5" t="inlineStr">
        <is>
          <t>core_wall</t>
        </is>
      </c>
      <c r="G759" s="5" t="inlineStr">
        <is>
          <t>Core wall 7.16 × 0.20 m</t>
        </is>
      </c>
      <c r="H759" s="5" t="inlineStr">
        <is>
          <t>rule: unlabelled interior wall, no V type of its size</t>
        </is>
      </c>
      <c r="I759" s="5" t="inlineStr">
        <is>
          <t>(none)</t>
        </is>
      </c>
      <c r="J759" s="5" t="inlineStr">
        <is>
          <t>no shear_wall type in its building has this size</t>
        </is>
      </c>
      <c r="K759" s="5" t="inlineStr"/>
      <c r="L759" s="5" t="n">
        <v>716</v>
      </c>
      <c r="M759" s="5" t="n">
        <v>20</v>
      </c>
      <c r="N759" s="10">
        <f>IF(AND(ISNUMBER(L759),M759&gt;0),L759/M759,"")</f>
        <v/>
      </c>
      <c r="O759" s="5" t="n">
        <v>1.43</v>
      </c>
      <c r="P759" s="5" t="n">
        <v>140.9</v>
      </c>
      <c r="Q759" s="5" t="n">
        <v>2</v>
      </c>
      <c r="R759" s="5" t="n">
        <v>0</v>
      </c>
      <c r="S759" s="5" t="n">
        <v>0</v>
      </c>
      <c r="T759" s="5" t="n">
        <v>0</v>
      </c>
      <c r="U759" s="5" t="n">
        <v>0</v>
      </c>
      <c r="V759" s="5" t="n">
        <v>0</v>
      </c>
      <c r="W759" s="5" t="n">
        <v>4</v>
      </c>
      <c r="X759" s="5" t="n">
        <v>45</v>
      </c>
      <c r="Y759" s="5" t="n"/>
      <c r="Z759" s="5" t="inlineStr"/>
      <c r="AA759" s="5" t="n">
        <v>1038.5</v>
      </c>
      <c r="AB759" s="5" t="n">
        <v>2439.4</v>
      </c>
      <c r="AC759" s="5" t="n">
        <v>1206.2</v>
      </c>
      <c r="AD759" s="5" t="n">
        <v>2577.2</v>
      </c>
      <c r="AE759" s="5" t="inlineStr"/>
      <c r="AF759" s="5">
        <f>IF(AE759="","",IF(OR(AE759=F759,AND(AE759="crane_footing",F759="isolated_footing")),"yes","no"))</f>
        <v/>
      </c>
    </row>
    <row r="760">
      <c r="A760" s="5" t="n">
        <v>759</v>
      </c>
      <c r="B760" s="5" t="inlineStr">
        <is>
          <t>129</t>
        </is>
      </c>
      <c r="C760" s="5" t="inlineStr">
        <is>
          <t>region between joints</t>
        </is>
      </c>
      <c r="D760" s="5" t="inlineStr">
        <is>
          <t>solid</t>
        </is>
      </c>
      <c r="E760" s="5" t="n">
        <v>34</v>
      </c>
      <c r="F760" s="5" t="inlineStr">
        <is>
          <t>core_wall</t>
        </is>
      </c>
      <c r="G760" s="5" t="inlineStr">
        <is>
          <t>Core wall 6.39 × 0.20 m</t>
        </is>
      </c>
      <c r="H760" s="5" t="inlineStr">
        <is>
          <t>rule: unlabelled interior wall, no V type of its size</t>
        </is>
      </c>
      <c r="I760" s="5" t="inlineStr">
        <is>
          <t>(none)</t>
        </is>
      </c>
      <c r="J760" s="5" t="inlineStr">
        <is>
          <t>no shear_wall type in its building has this size</t>
        </is>
      </c>
      <c r="K760" s="5" t="inlineStr"/>
      <c r="L760" s="5" t="n">
        <v>639</v>
      </c>
      <c r="M760" s="5" t="n">
        <v>20</v>
      </c>
      <c r="N760" s="10">
        <f>IF(AND(ISNUMBER(L760),M760&gt;0),L760/M760,"")</f>
        <v/>
      </c>
      <c r="O760" s="5" t="n">
        <v>1.282</v>
      </c>
      <c r="P760" s="5" t="n">
        <v>140.9</v>
      </c>
      <c r="Q760" s="5" t="n">
        <v>3</v>
      </c>
      <c r="R760" s="5" t="n">
        <v>0</v>
      </c>
      <c r="S760" s="5" t="n">
        <v>0</v>
      </c>
      <c r="T760" s="5" t="n">
        <v>0</v>
      </c>
      <c r="U760" s="5" t="n">
        <v>0</v>
      </c>
      <c r="V760" s="5" t="n">
        <v>0</v>
      </c>
      <c r="W760" s="5" t="n">
        <v>16</v>
      </c>
      <c r="X760" s="5" t="n">
        <v>41</v>
      </c>
      <c r="Y760" s="5" t="n"/>
      <c r="Z760" s="5" t="inlineStr"/>
      <c r="AA760" s="5" t="n">
        <v>834.9</v>
      </c>
      <c r="AB760" s="5" t="n">
        <v>2619.2</v>
      </c>
      <c r="AC760" s="5" t="n">
        <v>984.9</v>
      </c>
      <c r="AD760" s="5" t="n">
        <v>2742.8</v>
      </c>
      <c r="AE760" s="5" t="inlineStr"/>
      <c r="AF760" s="5">
        <f>IF(AE760="","",IF(OR(AE760=F760,AND(AE760="crane_footing",F760="isolated_footing")),"yes","no"))</f>
        <v/>
      </c>
    </row>
    <row r="761">
      <c r="A761" s="5" t="n">
        <v>760</v>
      </c>
      <c r="B761" s="5" t="inlineStr">
        <is>
          <t>129</t>
        </is>
      </c>
      <c r="C761" s="5" t="inlineStr">
        <is>
          <t>region between joints</t>
        </is>
      </c>
      <c r="D761" s="5" t="inlineStr">
        <is>
          <t>solid</t>
        </is>
      </c>
      <c r="E761" s="5" t="n">
        <v>34</v>
      </c>
      <c r="F761" s="5" t="inlineStr">
        <is>
          <t>core_wall</t>
        </is>
      </c>
      <c r="G761" s="5" t="inlineStr">
        <is>
          <t>Core wall 3.44 × 0.20 m</t>
        </is>
      </c>
      <c r="H761" s="5" t="inlineStr">
        <is>
          <t>rule: unlabelled interior wall, no V type of its size</t>
        </is>
      </c>
      <c r="I761" s="5" t="inlineStr">
        <is>
          <t>(none)</t>
        </is>
      </c>
      <c r="J761" s="5" t="inlineStr">
        <is>
          <t>no shear_wall type in its building has this size</t>
        </is>
      </c>
      <c r="K761" s="5" t="inlineStr"/>
      <c r="L761" s="5" t="n">
        <v>344</v>
      </c>
      <c r="M761" s="5" t="n">
        <v>20</v>
      </c>
      <c r="N761" s="10">
        <f>IF(AND(ISNUMBER(L761),M761&gt;0),L761/M761,"")</f>
        <v/>
      </c>
      <c r="O761" s="5" t="n">
        <v>0.6850000000000001</v>
      </c>
      <c r="P761" s="5" t="n">
        <v>165.2</v>
      </c>
      <c r="Q761" s="5" t="n">
        <v>2</v>
      </c>
      <c r="R761" s="5" t="n">
        <v>0</v>
      </c>
      <c r="S761" s="5" t="n">
        <v>0</v>
      </c>
      <c r="T761" s="5" t="n">
        <v>1</v>
      </c>
      <c r="U761" s="5" t="n">
        <v>0</v>
      </c>
      <c r="V761" s="5" t="n">
        <v>0</v>
      </c>
      <c r="W761" s="5" t="n">
        <v>0</v>
      </c>
      <c r="X761" s="5" t="n">
        <v>0</v>
      </c>
      <c r="Y761" s="5" t="n"/>
      <c r="Z761" s="5" t="inlineStr"/>
      <c r="AA761" s="5" t="n">
        <v>807.1</v>
      </c>
      <c r="AB761" s="5" t="n">
        <v>2173.8</v>
      </c>
      <c r="AC761" s="5" t="n">
        <v>906.7</v>
      </c>
      <c r="AD761" s="5" t="n">
        <v>2205.4</v>
      </c>
      <c r="AE761" s="5" t="inlineStr"/>
      <c r="AF761" s="5">
        <f>IF(AE761="","",IF(OR(AE761=F761,AND(AE761="crane_footing",F761="isolated_footing")),"yes","no"))</f>
        <v/>
      </c>
    </row>
    <row r="762">
      <c r="A762" s="5" t="n">
        <v>761</v>
      </c>
      <c r="B762" s="5" t="inlineStr">
        <is>
          <t>129</t>
        </is>
      </c>
      <c r="C762" s="5" t="inlineStr">
        <is>
          <t>region between joints</t>
        </is>
      </c>
      <c r="D762" s="5" t="inlineStr">
        <is>
          <t>solid</t>
        </is>
      </c>
      <c r="E762" s="5" t="n">
        <v>28</v>
      </c>
      <c r="F762" s="5" t="inlineStr">
        <is>
          <t>core_wall</t>
        </is>
      </c>
      <c r="G762" s="5" t="inlineStr">
        <is>
          <t>Core wall 1.32 × 0.20 m</t>
        </is>
      </c>
      <c r="H762" s="5" t="inlineStr">
        <is>
          <t>rule: unlabelled interior wall, no V type of its size</t>
        </is>
      </c>
      <c r="I762" s="5" t="inlineStr">
        <is>
          <t>(none)</t>
        </is>
      </c>
      <c r="J762" s="5" t="inlineStr">
        <is>
          <t>no shear_wall type in its building has this size</t>
        </is>
      </c>
      <c r="K762" s="5" t="inlineStr"/>
      <c r="L762" s="5" t="n">
        <v>132</v>
      </c>
      <c r="M762" s="5" t="n">
        <v>20</v>
      </c>
      <c r="N762" s="10">
        <f>IF(AND(ISNUMBER(L762),M762&gt;0),L762/M762,"")</f>
        <v/>
      </c>
      <c r="O762" s="5" t="n">
        <v>0.264</v>
      </c>
      <c r="P762" s="5" t="n">
        <v>75.2</v>
      </c>
      <c r="Q762" s="5" t="n">
        <v>2</v>
      </c>
      <c r="R762" s="5" t="n">
        <v>0</v>
      </c>
      <c r="S762" s="5" t="n">
        <v>0</v>
      </c>
      <c r="T762" s="5" t="n">
        <v>1</v>
      </c>
      <c r="U762" s="5" t="n">
        <v>0</v>
      </c>
      <c r="V762" s="5" t="n">
        <v>0</v>
      </c>
      <c r="W762" s="5" t="n">
        <v>1</v>
      </c>
      <c r="X762" s="5" t="n">
        <v>0</v>
      </c>
      <c r="Y762" s="5" t="n"/>
      <c r="Z762" s="5" t="inlineStr"/>
      <c r="AA762" s="5" t="n">
        <v>802.9</v>
      </c>
      <c r="AB762" s="5" t="n">
        <v>2205.4</v>
      </c>
      <c r="AC762" s="5" t="n">
        <v>818.5</v>
      </c>
      <c r="AD762" s="5" t="n">
        <v>2244.6</v>
      </c>
      <c r="AE762" s="5" t="inlineStr"/>
      <c r="AF762" s="5">
        <f>IF(AE762="","",IF(OR(AE762=F762,AND(AE762="crane_footing",F762="isolated_footing")),"yes","no"))</f>
        <v/>
      </c>
    </row>
    <row r="763">
      <c r="A763" s="5" t="n">
        <v>762</v>
      </c>
      <c r="B763" s="5" t="inlineStr">
        <is>
          <t>129</t>
        </is>
      </c>
      <c r="C763" s="5" t="inlineStr">
        <is>
          <t>region between joints</t>
        </is>
      </c>
      <c r="D763" s="5" t="inlineStr">
        <is>
          <t>solid</t>
        </is>
      </c>
      <c r="E763" s="5" t="n">
        <v>26</v>
      </c>
      <c r="F763" s="5" t="inlineStr">
        <is>
          <t>core_wall</t>
        </is>
      </c>
      <c r="G763" s="5" t="inlineStr">
        <is>
          <t>Core wall 2.93 × 0.20 m</t>
        </is>
      </c>
      <c r="H763" s="5" t="inlineStr">
        <is>
          <t>rule: unlabelled interior wall, no V type of its size</t>
        </is>
      </c>
      <c r="I763" s="5" t="inlineStr">
        <is>
          <t>(none)</t>
        </is>
      </c>
      <c r="J763" s="5" t="inlineStr"/>
      <c r="K763" s="5" t="inlineStr"/>
      <c r="L763" s="5" t="n">
        <v>293</v>
      </c>
      <c r="M763" s="5" t="n">
        <v>20</v>
      </c>
      <c r="N763" s="10">
        <f>IF(AND(ISNUMBER(L763),M763&gt;0),L763/M763,"")</f>
        <v/>
      </c>
      <c r="O763" s="5" t="n">
        <v>0.586</v>
      </c>
      <c r="P763" s="5" t="n">
        <v>165.3</v>
      </c>
      <c r="Q763" s="5" t="n">
        <v>0</v>
      </c>
      <c r="R763" s="5" t="n">
        <v>0</v>
      </c>
      <c r="S763" s="5" t="n">
        <v>0</v>
      </c>
      <c r="T763" s="5" t="n">
        <v>1</v>
      </c>
      <c r="U763" s="5" t="n">
        <v>0</v>
      </c>
      <c r="V763" s="5" t="n">
        <v>0</v>
      </c>
      <c r="W763" s="5" t="n">
        <v>1</v>
      </c>
      <c r="X763" s="5" t="n">
        <v>0</v>
      </c>
      <c r="Y763" s="5" t="n"/>
      <c r="Z763" s="5" t="inlineStr"/>
      <c r="AA763" s="5" t="n">
        <v>856.3</v>
      </c>
      <c r="AB763" s="5" t="n">
        <v>2337.9</v>
      </c>
      <c r="AC763" s="5" t="n">
        <v>941.5</v>
      </c>
      <c r="AD763" s="5" t="n">
        <v>2365.5</v>
      </c>
      <c r="AE763" s="5" t="inlineStr"/>
      <c r="AF763" s="5">
        <f>IF(AE763="","",IF(OR(AE763=F763,AND(AE763="crane_footing",F763="isolated_footing")),"yes","no"))</f>
        <v/>
      </c>
    </row>
    <row r="764">
      <c r="A764" s="5" t="n">
        <v>763</v>
      </c>
      <c r="B764" s="5" t="inlineStr">
        <is>
          <t>129</t>
        </is>
      </c>
      <c r="C764" s="5" t="inlineStr">
        <is>
          <t>region between joints</t>
        </is>
      </c>
      <c r="D764" s="5" t="inlineStr">
        <is>
          <t>solid</t>
        </is>
      </c>
      <c r="E764" s="5" t="n">
        <v>25</v>
      </c>
      <c r="F764" s="5" t="inlineStr">
        <is>
          <t>core_wall</t>
        </is>
      </c>
      <c r="G764" s="5" t="inlineStr">
        <is>
          <t>Core wall 0.60 × 0.20 m</t>
        </is>
      </c>
      <c r="H764" s="5" t="inlineStr">
        <is>
          <t>rule: column-shaped piece drawn like a wall (outline pen or continuity)</t>
        </is>
      </c>
      <c r="I764" s="5" t="inlineStr">
        <is>
          <t>(none)</t>
        </is>
      </c>
      <c r="J764" s="5" t="inlineStr"/>
      <c r="K764" s="5" t="inlineStr"/>
      <c r="L764" s="5" t="n">
        <v>60</v>
      </c>
      <c r="M764" s="5" t="n">
        <v>20</v>
      </c>
      <c r="N764" s="10">
        <f>IF(AND(ISNUMBER(L764),M764&gt;0),L764/M764,"")</f>
        <v/>
      </c>
      <c r="O764" s="5" t="n">
        <v>0.121</v>
      </c>
      <c r="P764" s="5" t="n">
        <v>75.40000000000001</v>
      </c>
      <c r="Q764" s="5" t="n">
        <v>0</v>
      </c>
      <c r="R764" s="5" t="n">
        <v>0</v>
      </c>
      <c r="S764" s="5" t="n">
        <v>0</v>
      </c>
      <c r="T764" s="5" t="n">
        <v>1</v>
      </c>
      <c r="U764" s="5" t="n">
        <v>0</v>
      </c>
      <c r="V764" s="5" t="n">
        <v>0</v>
      </c>
      <c r="W764" s="5" t="n">
        <v>0</v>
      </c>
      <c r="X764" s="5" t="n">
        <v>0</v>
      </c>
      <c r="Y764" s="5" t="n"/>
      <c r="Z764" s="5" t="inlineStr"/>
      <c r="AA764" s="5" t="n">
        <v>838.3</v>
      </c>
      <c r="AB764" s="5" t="n">
        <v>2339.4</v>
      </c>
      <c r="AC764" s="5" t="n">
        <v>848.6</v>
      </c>
      <c r="AD764" s="5" t="n">
        <v>2358</v>
      </c>
      <c r="AE764" s="5" t="inlineStr"/>
      <c r="AF764" s="5">
        <f>IF(AE764="","",IF(OR(AE764=F764,AND(AE764="crane_footing",F764="isolated_footing")),"yes","no"))</f>
        <v/>
      </c>
    </row>
    <row r="765">
      <c r="A765" s="5" t="n">
        <v>764</v>
      </c>
      <c r="B765" s="5" t="inlineStr">
        <is>
          <t>129</t>
        </is>
      </c>
      <c r="C765" s="5" t="inlineStr">
        <is>
          <t>region between joints</t>
        </is>
      </c>
      <c r="D765" s="5" t="inlineStr">
        <is>
          <t>solid</t>
        </is>
      </c>
      <c r="E765" s="5" t="n">
        <v>26</v>
      </c>
      <c r="F765" s="5" t="inlineStr">
        <is>
          <t>core_wall</t>
        </is>
      </c>
      <c r="G765" s="5" t="inlineStr">
        <is>
          <t>Core wall 2.91 × 0.20 m</t>
        </is>
      </c>
      <c r="H765" s="5" t="inlineStr">
        <is>
          <t>rule: unlabelled interior wall, no V type of its size</t>
        </is>
      </c>
      <c r="I765" s="5" t="inlineStr">
        <is>
          <t>(none)</t>
        </is>
      </c>
      <c r="J765" s="5" t="inlineStr"/>
      <c r="K765" s="5" t="inlineStr"/>
      <c r="L765" s="5" t="n">
        <v>291</v>
      </c>
      <c r="M765" s="5" t="n">
        <v>20</v>
      </c>
      <c r="N765" s="10">
        <f>IF(AND(ISNUMBER(L765),M765&gt;0),L765/M765,"")</f>
        <v/>
      </c>
      <c r="O765" s="5" t="n">
        <v>0.583</v>
      </c>
      <c r="P765" s="5" t="n">
        <v>165.2</v>
      </c>
      <c r="Q765" s="5" t="n">
        <v>0</v>
      </c>
      <c r="R765" s="5" t="n">
        <v>0</v>
      </c>
      <c r="S765" s="5" t="n">
        <v>0</v>
      </c>
      <c r="T765" s="5" t="n">
        <v>1</v>
      </c>
      <c r="U765" s="5" t="n">
        <v>0</v>
      </c>
      <c r="V765" s="5" t="n">
        <v>0</v>
      </c>
      <c r="W765" s="5" t="n">
        <v>2</v>
      </c>
      <c r="X765" s="5" t="n">
        <v>0</v>
      </c>
      <c r="Y765" s="5" t="n"/>
      <c r="Z765" s="5" t="inlineStr"/>
      <c r="AA765" s="5" t="n">
        <v>745.9</v>
      </c>
      <c r="AB765" s="5" t="n">
        <v>2332</v>
      </c>
      <c r="AC765" s="5" t="n">
        <v>830.5</v>
      </c>
      <c r="AD765" s="5" t="n">
        <v>2359.7</v>
      </c>
      <c r="AE765" s="5" t="inlineStr"/>
      <c r="AF765" s="5">
        <f>IF(AE765="","",IF(OR(AE765=F765,AND(AE765="crane_footing",F765="isolated_footing")),"yes","no"))</f>
        <v/>
      </c>
    </row>
    <row r="766">
      <c r="A766" s="5" t="n">
        <v>765</v>
      </c>
      <c r="B766" s="5" t="inlineStr">
        <is>
          <t>129</t>
        </is>
      </c>
      <c r="C766" s="5" t="inlineStr">
        <is>
          <t>region between joints</t>
        </is>
      </c>
      <c r="D766" s="5" t="inlineStr">
        <is>
          <t>solid</t>
        </is>
      </c>
      <c r="E766" s="5" t="n">
        <v>26</v>
      </c>
      <c r="F766" s="5" t="inlineStr">
        <is>
          <t>core_wall</t>
        </is>
      </c>
      <c r="G766" s="5" t="inlineStr">
        <is>
          <t>Core wall 1.18 × 0.20 m</t>
        </is>
      </c>
      <c r="H766" s="5" t="inlineStr">
        <is>
          <t>rule: unlabelled interior wall, no V type of its size</t>
        </is>
      </c>
      <c r="I766" s="5" t="inlineStr">
        <is>
          <t>(none)</t>
        </is>
      </c>
      <c r="J766" s="5" t="inlineStr"/>
      <c r="K766" s="5" t="inlineStr"/>
      <c r="L766" s="5" t="n">
        <v>118</v>
      </c>
      <c r="M766" s="5" t="n">
        <v>20</v>
      </c>
      <c r="N766" s="10">
        <f>IF(AND(ISNUMBER(L766),M766&gt;0),L766/M766,"")</f>
        <v/>
      </c>
      <c r="O766" s="5" t="n">
        <v>0.237</v>
      </c>
      <c r="P766" s="5" t="n">
        <v>165.1</v>
      </c>
      <c r="Q766" s="5" t="n">
        <v>0</v>
      </c>
      <c r="R766" s="5" t="n">
        <v>0</v>
      </c>
      <c r="S766" s="5" t="n">
        <v>0</v>
      </c>
      <c r="T766" s="5" t="n">
        <v>1</v>
      </c>
      <c r="U766" s="5" t="n">
        <v>0</v>
      </c>
      <c r="V766" s="5" t="n">
        <v>0</v>
      </c>
      <c r="W766" s="5" t="n">
        <v>0</v>
      </c>
      <c r="X766" s="5" t="n">
        <v>0</v>
      </c>
      <c r="Y766" s="5" t="n"/>
      <c r="Z766" s="5" t="inlineStr"/>
      <c r="AA766" s="5" t="n">
        <v>705.8</v>
      </c>
      <c r="AB766" s="5" t="n">
        <v>2355.7</v>
      </c>
      <c r="AC766" s="5" t="n">
        <v>741</v>
      </c>
      <c r="AD766" s="5" t="n">
        <v>2370.4</v>
      </c>
      <c r="AE766" s="5" t="inlineStr"/>
      <c r="AF766" s="5">
        <f>IF(AE766="","",IF(OR(AE766=F766,AND(AE766="crane_footing",F766="isolated_footing")),"yes","no"))</f>
        <v/>
      </c>
    </row>
    <row r="767">
      <c r="A767" s="5" t="n">
        <v>766</v>
      </c>
      <c r="B767" s="5" t="inlineStr">
        <is>
          <t>129</t>
        </is>
      </c>
      <c r="C767" s="5" t="inlineStr">
        <is>
          <t>region between joints</t>
        </is>
      </c>
      <c r="D767" s="5" t="inlineStr">
        <is>
          <t>solid</t>
        </is>
      </c>
      <c r="E767" s="5" t="n">
        <v>34</v>
      </c>
      <c r="F767" s="5" t="inlineStr">
        <is>
          <t>core_wall</t>
        </is>
      </c>
      <c r="G767" s="5" t="inlineStr">
        <is>
          <t>Core wall 3.65 × 0.20 m</t>
        </is>
      </c>
      <c r="H767" s="5" t="inlineStr">
        <is>
          <t>rule: unlabelled interior wall, no V type of its size</t>
        </is>
      </c>
      <c r="I767" s="5" t="inlineStr">
        <is>
          <t>(none)</t>
        </is>
      </c>
      <c r="J767" s="5" t="inlineStr">
        <is>
          <t>no shear_wall type in its building has this size</t>
        </is>
      </c>
      <c r="K767" s="5" t="inlineStr"/>
      <c r="L767" s="5" t="n">
        <v>365</v>
      </c>
      <c r="M767" s="5" t="n">
        <v>20</v>
      </c>
      <c r="N767" s="10">
        <f>IF(AND(ISNUMBER(L767),M767&gt;0),L767/M767,"")</f>
        <v/>
      </c>
      <c r="O767" s="5" t="n">
        <v>0.731</v>
      </c>
      <c r="P767" s="5" t="n">
        <v>51.3</v>
      </c>
      <c r="Q767" s="5" t="n">
        <v>3</v>
      </c>
      <c r="R767" s="5" t="n">
        <v>0</v>
      </c>
      <c r="S767" s="5" t="n">
        <v>0</v>
      </c>
      <c r="T767" s="5" t="n">
        <v>0</v>
      </c>
      <c r="U767" s="5" t="n">
        <v>0</v>
      </c>
      <c r="V767" s="5" t="n">
        <v>0</v>
      </c>
      <c r="W767" s="5" t="n">
        <v>0</v>
      </c>
      <c r="X767" s="5" t="n">
        <v>7</v>
      </c>
      <c r="Y767" s="5" t="n"/>
      <c r="Z767" s="5" t="inlineStr"/>
      <c r="AA767" s="5" t="n">
        <v>771.3</v>
      </c>
      <c r="AB767" s="5" t="n">
        <v>2654.7</v>
      </c>
      <c r="AC767" s="5" t="n">
        <v>843.4</v>
      </c>
      <c r="AD767" s="5" t="n">
        <v>2742.5</v>
      </c>
      <c r="AE767" s="5" t="inlineStr"/>
      <c r="AF767" s="5">
        <f>IF(AE767="","",IF(OR(AE767=F767,AND(AE767="crane_footing",F767="isolated_footing")),"yes","no"))</f>
        <v/>
      </c>
    </row>
    <row r="768">
      <c r="A768" s="5" t="n">
        <v>767</v>
      </c>
      <c r="B768" s="5" t="inlineStr">
        <is>
          <t>129</t>
        </is>
      </c>
      <c r="C768" s="5" t="inlineStr">
        <is>
          <t>region between joints</t>
        </is>
      </c>
      <c r="D768" s="5" t="inlineStr">
        <is>
          <t>cross_hatch</t>
        </is>
      </c>
      <c r="E768" s="5" t="n">
        <v>10</v>
      </c>
      <c r="F768" s="5" t="inlineStr">
        <is>
          <t>core_wall</t>
        </is>
      </c>
      <c r="G768" s="5" t="inlineStr">
        <is>
          <t>Core wall 2.63 × 0.20 m</t>
        </is>
      </c>
      <c r="H768" s="5" t="inlineStr">
        <is>
          <t>rule: unlabelled interior wall, no V type of its size</t>
        </is>
      </c>
      <c r="I768" s="5" t="inlineStr">
        <is>
          <t>(none)</t>
        </is>
      </c>
      <c r="J768" s="5" t="inlineStr"/>
      <c r="K768" s="5" t="inlineStr"/>
      <c r="L768" s="5" t="n">
        <v>263</v>
      </c>
      <c r="M768" s="5" t="n">
        <v>20</v>
      </c>
      <c r="N768" s="10">
        <f>IF(AND(ISNUMBER(L768),M768&gt;0),L768/M768,"")</f>
        <v/>
      </c>
      <c r="O768" s="5" t="n">
        <v>0.531</v>
      </c>
      <c r="P768" s="5" t="n">
        <v>165.3</v>
      </c>
      <c r="Q768" s="5" t="n">
        <v>0</v>
      </c>
      <c r="R768" s="5" t="n">
        <v>0</v>
      </c>
      <c r="S768" s="5" t="n">
        <v>0</v>
      </c>
      <c r="T768" s="5" t="n">
        <v>1</v>
      </c>
      <c r="U768" s="5" t="n">
        <v>0</v>
      </c>
      <c r="V768" s="5" t="n">
        <v>0</v>
      </c>
      <c r="W768" s="5" t="n">
        <v>1</v>
      </c>
      <c r="X768" s="5" t="n">
        <v>0</v>
      </c>
      <c r="Y768" s="5" t="n"/>
      <c r="Z768" s="5" t="inlineStr"/>
      <c r="AA768" s="5" t="n">
        <v>839.1</v>
      </c>
      <c r="AB768" s="5" t="n">
        <v>2285.2</v>
      </c>
      <c r="AC768" s="5" t="n">
        <v>935.3</v>
      </c>
      <c r="AD768" s="5" t="n">
        <v>2314.2</v>
      </c>
      <c r="AE768" s="5" t="inlineStr"/>
      <c r="AF768" s="5">
        <f>IF(AE768="","",IF(OR(AE768=F768,AND(AE768="crane_footing",F768="isolated_footing")),"yes","no"))</f>
        <v/>
      </c>
    </row>
    <row r="769">
      <c r="A769" s="5" t="n">
        <v>768</v>
      </c>
      <c r="B769" s="5" t="inlineStr">
        <is>
          <t>129</t>
        </is>
      </c>
      <c r="C769" s="5" t="inlineStr">
        <is>
          <t>region between joints</t>
        </is>
      </c>
      <c r="D769" s="5" t="inlineStr">
        <is>
          <t>cross_hatch</t>
        </is>
      </c>
      <c r="E769" s="5" t="n">
        <v>10</v>
      </c>
      <c r="F769" s="5" t="inlineStr">
        <is>
          <t>core_wall</t>
        </is>
      </c>
      <c r="G769" s="5" t="inlineStr">
        <is>
          <t>Core wall 5.18 × 0.20 m</t>
        </is>
      </c>
      <c r="H769" s="5" t="inlineStr">
        <is>
          <t>rule: unlabelled interior wall, no V type of its size</t>
        </is>
      </c>
      <c r="I769" s="5" t="inlineStr">
        <is>
          <t>(none)</t>
        </is>
      </c>
      <c r="J769" s="5" t="inlineStr"/>
      <c r="K769" s="5" t="inlineStr"/>
      <c r="L769" s="5" t="n">
        <v>518</v>
      </c>
      <c r="M769" s="5" t="n">
        <v>20</v>
      </c>
      <c r="N769" s="10">
        <f>IF(AND(ISNUMBER(L769),M769&gt;0),L769/M769,"")</f>
        <v/>
      </c>
      <c r="O769" s="5" t="n">
        <v>1.035</v>
      </c>
      <c r="P769" s="5" t="n">
        <v>165.3</v>
      </c>
      <c r="Q769" s="5" t="n">
        <v>1</v>
      </c>
      <c r="R769" s="5" t="n">
        <v>0</v>
      </c>
      <c r="S769" s="5" t="n">
        <v>0</v>
      </c>
      <c r="T769" s="5" t="n">
        <v>1</v>
      </c>
      <c r="U769" s="5" t="n">
        <v>0</v>
      </c>
      <c r="V769" s="5" t="n">
        <v>0</v>
      </c>
      <c r="W769" s="5" t="n">
        <v>6</v>
      </c>
      <c r="X769" s="5" t="n">
        <v>0</v>
      </c>
      <c r="Y769" s="5" t="n"/>
      <c r="Z769" s="5" t="inlineStr"/>
      <c r="AA769" s="5" t="n">
        <v>820.1</v>
      </c>
      <c r="AB769" s="5" t="n">
        <v>2204</v>
      </c>
      <c r="AC769" s="5" t="n">
        <v>969.5</v>
      </c>
      <c r="AD769" s="5" t="n">
        <v>2248.4</v>
      </c>
      <c r="AE769" s="5" t="inlineStr"/>
      <c r="AF769" s="5">
        <f>IF(AE769="","",IF(OR(AE769=F769,AND(AE769="crane_footing",F769="isolated_footing")),"yes","no"))</f>
        <v/>
      </c>
    </row>
    <row r="770">
      <c r="A770" s="5" t="n">
        <v>769</v>
      </c>
      <c r="B770" s="5" t="inlineStr">
        <is>
          <t>129</t>
        </is>
      </c>
      <c r="C770" s="5" t="inlineStr">
        <is>
          <t>region between joints</t>
        </is>
      </c>
      <c r="D770" s="5" t="inlineStr">
        <is>
          <t>cross_hatch</t>
        </is>
      </c>
      <c r="E770" s="5" t="n">
        <v>10</v>
      </c>
      <c r="F770" s="5" t="inlineStr">
        <is>
          <t>core_wall</t>
        </is>
      </c>
      <c r="G770" s="5" t="inlineStr">
        <is>
          <t>Core wall 2.50 × 0.20 m</t>
        </is>
      </c>
      <c r="H770" s="5" t="inlineStr">
        <is>
          <t>rule: unlabelled interior wall, no V type of its size</t>
        </is>
      </c>
      <c r="I770" s="5" t="inlineStr">
        <is>
          <t>(none)</t>
        </is>
      </c>
      <c r="J770" s="5" t="inlineStr"/>
      <c r="K770" s="5" t="inlineStr"/>
      <c r="L770" s="5" t="n">
        <v>250</v>
      </c>
      <c r="M770" s="5" t="n">
        <v>20</v>
      </c>
      <c r="N770" s="10">
        <f>IF(AND(ISNUMBER(L770),M770&gt;0),L770/M770,"")</f>
        <v/>
      </c>
      <c r="O770" s="5" t="n">
        <v>0.499</v>
      </c>
      <c r="P770" s="5" t="n">
        <v>165.3</v>
      </c>
      <c r="Q770" s="5" t="n">
        <v>1</v>
      </c>
      <c r="R770" s="5" t="n">
        <v>0</v>
      </c>
      <c r="S770" s="5" t="n">
        <v>0</v>
      </c>
      <c r="T770" s="5" t="n">
        <v>1</v>
      </c>
      <c r="U770" s="5" t="n">
        <v>0</v>
      </c>
      <c r="V770" s="5" t="n">
        <v>0</v>
      </c>
      <c r="W770" s="5" t="n">
        <v>4</v>
      </c>
      <c r="X770" s="5" t="n">
        <v>0</v>
      </c>
      <c r="Y770" s="5" t="n"/>
      <c r="Z770" s="5" t="inlineStr"/>
      <c r="AA770" s="5" t="n">
        <v>996.6</v>
      </c>
      <c r="AB770" s="5" t="n">
        <v>2177.8</v>
      </c>
      <c r="AC770" s="5" t="n">
        <v>1069.4</v>
      </c>
      <c r="AD770" s="5" t="n">
        <v>2202.2</v>
      </c>
      <c r="AE770" s="5" t="inlineStr"/>
      <c r="AF770" s="5">
        <f>IF(AE770="","",IF(OR(AE770=F770,AND(AE770="crane_footing",F770="isolated_footing")),"yes","no"))</f>
        <v/>
      </c>
    </row>
    <row r="771">
      <c r="A771" s="5" t="n">
        <v>770</v>
      </c>
      <c r="B771" s="5" t="inlineStr">
        <is>
          <t>129</t>
        </is>
      </c>
      <c r="C771" s="5" t="inlineStr">
        <is>
          <t>region between joints</t>
        </is>
      </c>
      <c r="D771" s="5" t="inlineStr">
        <is>
          <t>cross_hatch</t>
        </is>
      </c>
      <c r="E771" s="5" t="n">
        <v>10</v>
      </c>
      <c r="F771" s="5" t="inlineStr">
        <is>
          <t>core_wall</t>
        </is>
      </c>
      <c r="G771" s="5" t="inlineStr">
        <is>
          <t>Core wall 2.15 × 0.20 m</t>
        </is>
      </c>
      <c r="H771" s="5" t="inlineStr">
        <is>
          <t>rule: unlabelled interior wall, no V type of its size</t>
        </is>
      </c>
      <c r="I771" s="5" t="inlineStr">
        <is>
          <t>(none)</t>
        </is>
      </c>
      <c r="J771" s="5" t="inlineStr"/>
      <c r="K771" s="5" t="inlineStr"/>
      <c r="L771" s="5" t="n">
        <v>215</v>
      </c>
      <c r="M771" s="5" t="n">
        <v>20</v>
      </c>
      <c r="N771" s="10">
        <f>IF(AND(ISNUMBER(L771),M771&gt;0),L771/M771,"")</f>
        <v/>
      </c>
      <c r="O771" s="5" t="n">
        <v>0.43</v>
      </c>
      <c r="P771" s="5" t="n">
        <v>75.3</v>
      </c>
      <c r="Q771" s="5" t="n">
        <v>1</v>
      </c>
      <c r="R771" s="5" t="n">
        <v>0</v>
      </c>
      <c r="S771" s="5" t="n">
        <v>0</v>
      </c>
      <c r="T771" s="5" t="n">
        <v>1</v>
      </c>
      <c r="U771" s="5" t="n">
        <v>0</v>
      </c>
      <c r="V771" s="5" t="n">
        <v>0</v>
      </c>
      <c r="W771" s="5" t="n">
        <v>3</v>
      </c>
      <c r="X771" s="5" t="n">
        <v>0</v>
      </c>
      <c r="Y771" s="5" t="n"/>
      <c r="Z771" s="5" t="inlineStr"/>
      <c r="AA771" s="5" t="n">
        <v>1021.4</v>
      </c>
      <c r="AB771" s="5" t="n">
        <v>2194.5</v>
      </c>
      <c r="AC771" s="5" t="n">
        <v>1043.2</v>
      </c>
      <c r="AD771" s="5" t="n">
        <v>2257.4</v>
      </c>
      <c r="AE771" s="5" t="inlineStr"/>
      <c r="AF771" s="5">
        <f>IF(AE771="","",IF(OR(AE771=F771,AND(AE771="crane_footing",F771="isolated_footing")),"yes","no"))</f>
        <v/>
      </c>
    </row>
    <row r="772">
      <c r="A772" s="5" t="n">
        <v>771</v>
      </c>
      <c r="B772" s="5" t="inlineStr">
        <is>
          <t>129</t>
        </is>
      </c>
      <c r="C772" s="5" t="inlineStr">
        <is>
          <t>region between joints</t>
        </is>
      </c>
      <c r="D772" s="5" t="inlineStr">
        <is>
          <t>cross_hatch</t>
        </is>
      </c>
      <c r="E772" s="5" t="n">
        <v>10</v>
      </c>
      <c r="F772" s="5" t="inlineStr">
        <is>
          <t>core_wall</t>
        </is>
      </c>
      <c r="G772" s="5" t="inlineStr">
        <is>
          <t>Core wall 2.10 × 0.20 m</t>
        </is>
      </c>
      <c r="H772" s="5" t="inlineStr">
        <is>
          <t>rule: unlabelled interior wall, no V type of its size</t>
        </is>
      </c>
      <c r="I772" s="5" t="inlineStr">
        <is>
          <t>(none)</t>
        </is>
      </c>
      <c r="J772" s="5" t="inlineStr"/>
      <c r="K772" s="5" t="inlineStr"/>
      <c r="L772" s="5" t="n">
        <v>210</v>
      </c>
      <c r="M772" s="5" t="n">
        <v>20</v>
      </c>
      <c r="N772" s="10">
        <f>IF(AND(ISNUMBER(L772),M772&gt;0),L772/M772,"")</f>
        <v/>
      </c>
      <c r="O772" s="5" t="n">
        <v>0.42</v>
      </c>
      <c r="P772" s="5" t="n">
        <v>75.3</v>
      </c>
      <c r="Q772" s="5" t="n">
        <v>1</v>
      </c>
      <c r="R772" s="5" t="n">
        <v>0</v>
      </c>
      <c r="S772" s="5" t="n">
        <v>0</v>
      </c>
      <c r="T772" s="5" t="n">
        <v>1</v>
      </c>
      <c r="U772" s="5" t="n">
        <v>0</v>
      </c>
      <c r="V772" s="5" t="n">
        <v>0</v>
      </c>
      <c r="W772" s="5" t="n">
        <v>3</v>
      </c>
      <c r="X772" s="5" t="n">
        <v>0</v>
      </c>
      <c r="Y772" s="5" t="n"/>
      <c r="Z772" s="5" t="inlineStr"/>
      <c r="AA772" s="5" t="n">
        <v>969.8</v>
      </c>
      <c r="AB772" s="5" t="n">
        <v>2209.6</v>
      </c>
      <c r="AC772" s="5" t="n">
        <v>991.3</v>
      </c>
      <c r="AD772" s="5" t="n">
        <v>2271</v>
      </c>
      <c r="AE772" s="5" t="inlineStr"/>
      <c r="AF772" s="5">
        <f>IF(AE772="","",IF(OR(AE772=F772,AND(AE772="crane_footing",F772="isolated_footing")),"yes","no"))</f>
        <v/>
      </c>
    </row>
    <row r="773">
      <c r="A773" s="5" t="n">
        <v>772</v>
      </c>
      <c r="B773" s="5" t="inlineStr">
        <is>
          <t>129</t>
        </is>
      </c>
      <c r="C773" s="5" t="inlineStr">
        <is>
          <t>region between joints</t>
        </is>
      </c>
      <c r="D773" s="5" t="inlineStr">
        <is>
          <t>solid</t>
        </is>
      </c>
      <c r="E773" s="5" t="n">
        <v>34</v>
      </c>
      <c r="F773" s="5" t="inlineStr">
        <is>
          <t>retaining_wall</t>
        </is>
      </c>
      <c r="G773" s="5" t="inlineStr">
        <is>
          <t>Retaining wall ~VP20 17.16 × 0.20 m</t>
        </is>
      </c>
      <c r="H773" s="5" t="inlineStr">
        <is>
          <t>rule: unlabelled wall along the building edge or on a strip footing</t>
        </is>
      </c>
      <c r="I773" s="5" t="inlineStr">
        <is>
          <t>VP20</t>
        </is>
      </c>
      <c r="J773" s="5" t="inlineStr">
        <is>
          <t>inferred: the thickness of this retaining-wall type</t>
        </is>
      </c>
      <c r="K773" s="5" t="inlineStr"/>
      <c r="L773" s="5" t="n">
        <v>1716</v>
      </c>
      <c r="M773" s="5" t="n">
        <v>20</v>
      </c>
      <c r="N773" s="10">
        <f>IF(AND(ISNUMBER(L773),M773&gt;0),L773/M773,"")</f>
        <v/>
      </c>
      <c r="O773" s="5" t="n">
        <v>3.358</v>
      </c>
      <c r="P773" s="5" t="n">
        <v>140.9</v>
      </c>
      <c r="Q773" s="5" t="n">
        <v>2</v>
      </c>
      <c r="R773" s="5" t="n">
        <v>0</v>
      </c>
      <c r="S773" s="5" t="n">
        <v>1</v>
      </c>
      <c r="T773" s="5" t="n">
        <v>0</v>
      </c>
      <c r="U773" s="5" t="n">
        <v>0</v>
      </c>
      <c r="V773" s="5" t="n">
        <v>0</v>
      </c>
      <c r="W773" s="5" t="n">
        <v>0</v>
      </c>
      <c r="X773" s="5" t="n">
        <v>99</v>
      </c>
      <c r="Y773" s="5" t="n"/>
      <c r="Z773" s="5" t="inlineStr"/>
      <c r="AA773" s="5" t="n">
        <v>774.2</v>
      </c>
      <c r="AB773" s="5" t="n">
        <v>2330.7</v>
      </c>
      <c r="AC773" s="5" t="n">
        <v>1169.2</v>
      </c>
      <c r="AD773" s="5" t="n">
        <v>2654.7</v>
      </c>
      <c r="AE773" s="5" t="inlineStr"/>
      <c r="AF773" s="5">
        <f>IF(AE773="","",IF(OR(AE773=F773,AND(AE773="crane_footing",F773="isolated_footing")),"yes","no"))</f>
        <v/>
      </c>
    </row>
    <row r="774">
      <c r="A774" s="5" t="n">
        <v>773</v>
      </c>
      <c r="B774" s="5" t="inlineStr">
        <is>
          <t>129</t>
        </is>
      </c>
      <c r="C774" s="5" t="inlineStr">
        <is>
          <t>region between joints</t>
        </is>
      </c>
      <c r="D774" s="5" t="inlineStr">
        <is>
          <t>solid</t>
        </is>
      </c>
      <c r="E774" s="5" t="n">
        <v>34</v>
      </c>
      <c r="F774" s="5" t="inlineStr">
        <is>
          <t>retaining_wall</t>
        </is>
      </c>
      <c r="G774" s="5" t="inlineStr">
        <is>
          <t>Retaining wall VP20 4.92 × 0.20 m</t>
        </is>
      </c>
      <c r="H774" s="5" t="inlineStr">
        <is>
          <t>its own label (the cluster's class was only a guess)</t>
        </is>
      </c>
      <c r="I774" s="5" t="inlineStr">
        <is>
          <t>VP20</t>
        </is>
      </c>
      <c r="J774" s="5" t="inlineStr">
        <is>
          <t>printed label</t>
        </is>
      </c>
      <c r="K774" s="5" t="inlineStr">
        <is>
          <t>VP20-SF1 80x25</t>
        </is>
      </c>
      <c r="L774" s="5" t="n">
        <v>492</v>
      </c>
      <c r="M774" s="5" t="n">
        <v>20</v>
      </c>
      <c r="N774" s="10">
        <f>IF(AND(ISNUMBER(L774),M774&gt;0),L774/M774,"")</f>
        <v/>
      </c>
      <c r="O774" s="5" t="n">
        <v>0.951</v>
      </c>
      <c r="P774" s="5" t="n">
        <v>75.3</v>
      </c>
      <c r="Q774" s="5" t="n">
        <v>1</v>
      </c>
      <c r="R774" s="5" t="n">
        <v>0</v>
      </c>
      <c r="S774" s="5" t="n">
        <v>1</v>
      </c>
      <c r="T774" s="5" t="n">
        <v>0</v>
      </c>
      <c r="U774" s="5" t="n">
        <v>0</v>
      </c>
      <c r="V774" s="5" t="n">
        <v>0</v>
      </c>
      <c r="W774" s="5" t="n">
        <v>3</v>
      </c>
      <c r="X774" s="5" t="n">
        <v>1</v>
      </c>
      <c r="Y774" s="5" t="n"/>
      <c r="Z774" s="5" t="inlineStr"/>
      <c r="AA774" s="5" t="n">
        <v>948</v>
      </c>
      <c r="AB774" s="5" t="n">
        <v>2341.9</v>
      </c>
      <c r="AC774" s="5" t="n">
        <v>990.4</v>
      </c>
      <c r="AD774" s="5" t="n">
        <v>2481.2</v>
      </c>
      <c r="AE774" s="5" t="inlineStr"/>
      <c r="AF774" s="5">
        <f>IF(AE774="","",IF(OR(AE774=F774,AND(AE774="crane_footing",F774="isolated_footing")),"yes","no"))</f>
        <v/>
      </c>
    </row>
    <row r="775">
      <c r="A775" s="5" t="n">
        <v>774</v>
      </c>
      <c r="B775" s="5" t="inlineStr">
        <is>
          <t>129</t>
        </is>
      </c>
      <c r="C775" s="5" t="inlineStr">
        <is>
          <t>region between joints</t>
        </is>
      </c>
      <c r="D775" s="5" t="inlineStr">
        <is>
          <t>solid</t>
        </is>
      </c>
      <c r="E775" s="5" t="n">
        <v>30</v>
      </c>
      <c r="F775" s="5" t="inlineStr">
        <is>
          <t>retaining_wall</t>
        </is>
      </c>
      <c r="G775" s="5" t="inlineStr">
        <is>
          <t>Retaining wall ~VP20 4.94 × 0.20 m</t>
        </is>
      </c>
      <c r="H775" s="5" t="inlineStr">
        <is>
          <t>rule: unlabelled wall along the building edge or on a strip footing</t>
        </is>
      </c>
      <c r="I775" s="5" t="inlineStr">
        <is>
          <t>VP20</t>
        </is>
      </c>
      <c r="J775" s="5" t="inlineStr">
        <is>
          <t>inferred: the thickness of this retaining-wall type</t>
        </is>
      </c>
      <c r="K775" s="5" t="inlineStr"/>
      <c r="L775" s="5" t="n">
        <v>494</v>
      </c>
      <c r="M775" s="5" t="n">
        <v>20</v>
      </c>
      <c r="N775" s="10">
        <f>IF(AND(ISNUMBER(L775),M775&gt;0),L775/M775,"")</f>
        <v/>
      </c>
      <c r="O775" s="5" t="n">
        <v>0.9409999999999999</v>
      </c>
      <c r="P775" s="5" t="n">
        <v>165.3</v>
      </c>
      <c r="Q775" s="5" t="n">
        <v>1</v>
      </c>
      <c r="R775" s="5" t="n">
        <v>0</v>
      </c>
      <c r="S775" s="5" t="n">
        <v>0</v>
      </c>
      <c r="T775" s="5" t="n">
        <v>1</v>
      </c>
      <c r="U775" s="5" t="n">
        <v>1</v>
      </c>
      <c r="V775" s="5" t="n">
        <v>0</v>
      </c>
      <c r="W775" s="5" t="n">
        <v>2</v>
      </c>
      <c r="X775" s="5" t="n">
        <v>0</v>
      </c>
      <c r="Y775" s="5" t="n"/>
      <c r="Z775" s="5" t="inlineStr"/>
      <c r="AA775" s="5" t="n">
        <v>677.4</v>
      </c>
      <c r="AB775" s="5" t="n">
        <v>2244.9</v>
      </c>
      <c r="AC775" s="5" t="n">
        <v>820.1</v>
      </c>
      <c r="AD775" s="5" t="n">
        <v>2284.2</v>
      </c>
      <c r="AE775" s="5" t="inlineStr"/>
      <c r="AF775" s="5">
        <f>IF(AE775="","",IF(OR(AE775=F775,AND(AE775="crane_footing",F775="isolated_footing")),"yes","no"))</f>
        <v/>
      </c>
    </row>
    <row r="776">
      <c r="A776" s="5" t="n">
        <v>775</v>
      </c>
      <c r="B776" s="5" t="inlineStr">
        <is>
          <t>129</t>
        </is>
      </c>
      <c r="C776" s="5" t="inlineStr">
        <is>
          <t>region between joints</t>
        </is>
      </c>
      <c r="D776" s="5" t="inlineStr">
        <is>
          <t>solid</t>
        </is>
      </c>
      <c r="E776" s="5" t="n">
        <v>32</v>
      </c>
      <c r="F776" s="5" t="inlineStr">
        <is>
          <t>retaining_wall</t>
        </is>
      </c>
      <c r="G776" s="5" t="inlineStr">
        <is>
          <t>Retaining wall VP20 16.30 × 0.20 m</t>
        </is>
      </c>
      <c r="H776" s="5" t="inlineStr">
        <is>
          <t>label vote</t>
        </is>
      </c>
      <c r="I776" s="5" t="inlineStr">
        <is>
          <t>VP20</t>
        </is>
      </c>
      <c r="J776" s="5" t="inlineStr">
        <is>
          <t>printed label</t>
        </is>
      </c>
      <c r="K776" s="5" t="inlineStr">
        <is>
          <t>VP20-SF1 80x25</t>
        </is>
      </c>
      <c r="L776" s="5" t="n">
        <v>1630</v>
      </c>
      <c r="M776" s="5" t="n">
        <v>20</v>
      </c>
      <c r="N776" s="10">
        <f>IF(AND(ISNUMBER(L776),M776&gt;0),L776/M776,"")</f>
        <v/>
      </c>
      <c r="O776" s="5" t="n">
        <v>3.271</v>
      </c>
      <c r="P776" s="5" t="n">
        <v>75.2</v>
      </c>
      <c r="Q776" s="5" t="n">
        <v>0</v>
      </c>
      <c r="R776" s="5" t="n">
        <v>0</v>
      </c>
      <c r="S776" s="5" t="n">
        <v>1</v>
      </c>
      <c r="T776" s="5" t="n">
        <v>0</v>
      </c>
      <c r="U776" s="5" t="n">
        <v>1</v>
      </c>
      <c r="V776" s="5" t="n">
        <v>0</v>
      </c>
      <c r="W776" s="5" t="n">
        <v>9</v>
      </c>
      <c r="X776" s="5" t="n">
        <v>7</v>
      </c>
      <c r="Y776" s="5" t="n"/>
      <c r="Z776" s="5" t="inlineStr"/>
      <c r="AA776" s="5" t="n">
        <v>1407.2</v>
      </c>
      <c r="AB776" s="5" t="n">
        <v>1704.5</v>
      </c>
      <c r="AC776" s="5" t="n">
        <v>1535.5</v>
      </c>
      <c r="AD776" s="5" t="n">
        <v>2171.3</v>
      </c>
      <c r="AE776" s="5" t="inlineStr"/>
      <c r="AF776" s="5">
        <f>IF(AE776="","",IF(OR(AE776=F776,AND(AE776="crane_footing",F776="isolated_footing")),"yes","no"))</f>
        <v/>
      </c>
    </row>
    <row r="777">
      <c r="A777" s="5" t="n">
        <v>776</v>
      </c>
      <c r="B777" s="5" t="inlineStr">
        <is>
          <t>129</t>
        </is>
      </c>
      <c r="C777" s="5" t="inlineStr">
        <is>
          <t>region between joints</t>
        </is>
      </c>
      <c r="D777" s="5" t="inlineStr">
        <is>
          <t>solid</t>
        </is>
      </c>
      <c r="E777" s="5" t="n">
        <v>30</v>
      </c>
      <c r="F777" s="5" t="inlineStr">
        <is>
          <t>retaining_wall</t>
        </is>
      </c>
      <c r="G777" s="5" t="inlineStr">
        <is>
          <t>Retaining wall ~VP20 11.17 × 0.20 m</t>
        </is>
      </c>
      <c r="H777" s="5" t="inlineStr">
        <is>
          <t>rule: unlabelled wall along the building edge or on a strip footing</t>
        </is>
      </c>
      <c r="I777" s="5" t="inlineStr">
        <is>
          <t>VP20</t>
        </is>
      </c>
      <c r="J777" s="5" t="inlineStr">
        <is>
          <t>inferred: the thickness of this retaining-wall type</t>
        </is>
      </c>
      <c r="K777" s="5" t="inlineStr"/>
      <c r="L777" s="5" t="n">
        <v>1117</v>
      </c>
      <c r="M777" s="5" t="n">
        <v>20</v>
      </c>
      <c r="N777" s="10">
        <f>IF(AND(ISNUMBER(L777),M777&gt;0),L777/M777,"")</f>
        <v/>
      </c>
      <c r="O777" s="5" t="n">
        <v>2.237</v>
      </c>
      <c r="P777" s="5" t="n">
        <v>75.3</v>
      </c>
      <c r="Q777" s="5" t="n">
        <v>3</v>
      </c>
      <c r="R777" s="5" t="n">
        <v>0</v>
      </c>
      <c r="S777" s="5" t="n">
        <v>0</v>
      </c>
      <c r="T777" s="5" t="n">
        <v>0</v>
      </c>
      <c r="U777" s="5" t="n">
        <v>1</v>
      </c>
      <c r="V777" s="5" t="n">
        <v>1</v>
      </c>
      <c r="W777" s="5" t="n">
        <v>20</v>
      </c>
      <c r="X777" s="5" t="n">
        <v>3</v>
      </c>
      <c r="Y777" s="5" t="n"/>
      <c r="Z777" s="5" t="inlineStr"/>
      <c r="AA777" s="5" t="n">
        <v>821.3</v>
      </c>
      <c r="AB777" s="5" t="n">
        <v>1853.4</v>
      </c>
      <c r="AC777" s="5" t="n">
        <v>910.9</v>
      </c>
      <c r="AD777" s="5" t="n">
        <v>2173.8</v>
      </c>
      <c r="AE777" s="5" t="inlineStr"/>
      <c r="AF777" s="5">
        <f>IF(AE777="","",IF(OR(AE777=F777,AND(AE777="crane_footing",F777="isolated_footing")),"yes","no"))</f>
        <v/>
      </c>
    </row>
    <row r="778">
      <c r="A778" s="5" t="n">
        <v>777</v>
      </c>
      <c r="B778" s="5" t="inlineStr">
        <is>
          <t>129</t>
        </is>
      </c>
      <c r="C778" s="5" t="inlineStr">
        <is>
          <t>region between joints</t>
        </is>
      </c>
      <c r="D778" s="5" t="inlineStr">
        <is>
          <t>solid</t>
        </is>
      </c>
      <c r="E778" s="5" t="n">
        <v>29</v>
      </c>
      <c r="F778" s="5" t="inlineStr">
        <is>
          <t>retaining_wall</t>
        </is>
      </c>
      <c r="G778" s="5" t="inlineStr">
        <is>
          <t>Retaining wall ~VP25 2.70 × 0.25 m</t>
        </is>
      </c>
      <c r="H778" s="5" t="inlineStr">
        <is>
          <t>rule: unlabelled wall along the building edge or on a strip footing</t>
        </is>
      </c>
      <c r="I778" s="5" t="inlineStr">
        <is>
          <t>VP25</t>
        </is>
      </c>
      <c r="J778" s="5" t="inlineStr">
        <is>
          <t>inferred: the thickness of this retaining-wall type</t>
        </is>
      </c>
      <c r="K778" s="5" t="inlineStr"/>
      <c r="L778" s="5" t="n">
        <v>270</v>
      </c>
      <c r="M778" s="5" t="n">
        <v>25</v>
      </c>
      <c r="N778" s="10">
        <f>IF(AND(ISNUMBER(L778),M778&gt;0),L778/M778,"")</f>
        <v/>
      </c>
      <c r="O778" s="5" t="n">
        <v>0.681</v>
      </c>
      <c r="P778" s="5" t="n">
        <v>75.3</v>
      </c>
      <c r="Q778" s="5" t="n">
        <v>0</v>
      </c>
      <c r="R778" s="5" t="n">
        <v>0</v>
      </c>
      <c r="S778" s="5" t="n">
        <v>0</v>
      </c>
      <c r="T778" s="5" t="n">
        <v>1</v>
      </c>
      <c r="U778" s="5" t="n">
        <v>1</v>
      </c>
      <c r="V778" s="5" t="n">
        <v>0</v>
      </c>
      <c r="W778" s="5" t="n">
        <v>0</v>
      </c>
      <c r="X778" s="5" t="n">
        <v>0</v>
      </c>
      <c r="Y778" s="5" t="n"/>
      <c r="Z778" s="5" t="inlineStr"/>
      <c r="AA778" s="5" t="n">
        <v>679.2</v>
      </c>
      <c r="AB778" s="5" t="n">
        <v>2285.4</v>
      </c>
      <c r="AC778" s="5" t="n">
        <v>706.6</v>
      </c>
      <c r="AD778" s="5" t="n">
        <v>2364.4</v>
      </c>
      <c r="AE778" s="5" t="inlineStr"/>
      <c r="AF778" s="5">
        <f>IF(AE778="","",IF(OR(AE778=F778,AND(AE778="crane_footing",F778="isolated_footing")),"yes","no"))</f>
        <v/>
      </c>
    </row>
    <row r="779">
      <c r="A779" s="5" t="n">
        <v>778</v>
      </c>
      <c r="B779" s="5" t="inlineStr">
        <is>
          <t>129</t>
        </is>
      </c>
      <c r="C779" s="5" t="inlineStr">
        <is>
          <t>own label</t>
        </is>
      </c>
      <c r="D779" s="5" t="inlineStr">
        <is>
          <t>outline</t>
        </is>
      </c>
      <c r="E779" s="5" t="n">
        <v>13</v>
      </c>
      <c r="F779" s="5" t="inlineStr">
        <is>
          <t>isolated_footing</t>
        </is>
      </c>
      <c r="G779" s="5" t="inlineStr">
        <is>
          <t>Isolated footing S11 5.00 × 4.00 m</t>
        </is>
      </c>
      <c r="H779" s="5" t="inlineStr">
        <is>
          <t>label vote</t>
        </is>
      </c>
      <c r="I779" s="5" t="inlineStr">
        <is>
          <t>S11</t>
        </is>
      </c>
      <c r="J779" s="5" t="inlineStr">
        <is>
          <t>printed label</t>
        </is>
      </c>
      <c r="K779" s="5" t="inlineStr">
        <is>
          <t>S11-129129</t>
        </is>
      </c>
      <c r="L779" s="5" t="n">
        <v>500</v>
      </c>
      <c r="M779" s="5" t="n">
        <v>400</v>
      </c>
      <c r="N779" s="10">
        <f>IF(AND(ISNUMBER(L779),M779&gt;0),L779/M779,"")</f>
        <v/>
      </c>
      <c r="O779" s="5" t="n">
        <v>20.002</v>
      </c>
      <c r="P779" s="5" t="n">
        <v>165.3</v>
      </c>
      <c r="Q779" s="5" t="n">
        <v>1</v>
      </c>
      <c r="R779" s="5" t="n">
        <v>0</v>
      </c>
      <c r="S779" s="5" t="n">
        <v>0</v>
      </c>
      <c r="T779" s="5" t="n">
        <v>0</v>
      </c>
      <c r="U779" s="5" t="n">
        <v>0</v>
      </c>
      <c r="V779" s="5" t="n">
        <v>1</v>
      </c>
      <c r="W779" s="5" t="n">
        <v>36</v>
      </c>
      <c r="X779" s="5" t="n">
        <v>3</v>
      </c>
      <c r="Y779" s="5" t="n"/>
      <c r="Z779" s="5" t="inlineStr"/>
      <c r="AA779" s="5" t="n">
        <v>995.5</v>
      </c>
      <c r="AB779" s="5" t="n">
        <v>1909.1</v>
      </c>
      <c r="AC779" s="5" t="n">
        <v>1168.3</v>
      </c>
      <c r="AD779" s="5" t="n">
        <v>2060.8</v>
      </c>
      <c r="AE779" s="5" t="inlineStr">
        <is>
          <t>isolated_footing</t>
        </is>
      </c>
      <c r="AF779" s="5">
        <f>IF(AE779="","",IF(OR(AE779=F779,AND(AE779="crane_footing",F779="isolated_footing")),"yes","no"))</f>
        <v/>
      </c>
    </row>
    <row r="780">
      <c r="A780" s="5" t="n">
        <v>779</v>
      </c>
      <c r="B780" s="5" t="inlineStr">
        <is>
          <t>129</t>
        </is>
      </c>
      <c r="C780" s="5" t="inlineStr">
        <is>
          <t>own label</t>
        </is>
      </c>
      <c r="D780" s="5" t="inlineStr">
        <is>
          <t>outline</t>
        </is>
      </c>
      <c r="E780" s="5" t="n">
        <v>13</v>
      </c>
      <c r="F780" s="5" t="inlineStr">
        <is>
          <t>isolated_footing</t>
        </is>
      </c>
      <c r="G780" s="5" t="inlineStr">
        <is>
          <t>Isolated footing S18 5.00 × 3.50 m</t>
        </is>
      </c>
      <c r="H780" s="5" t="inlineStr">
        <is>
          <t>label vote</t>
        </is>
      </c>
      <c r="I780" s="5" t="inlineStr">
        <is>
          <t>S18</t>
        </is>
      </c>
      <c r="J780" s="5" t="inlineStr">
        <is>
          <t>printed label</t>
        </is>
      </c>
      <c r="K780" s="5" t="inlineStr">
        <is>
          <t>S18-129129</t>
        </is>
      </c>
      <c r="L780" s="5" t="n">
        <v>500</v>
      </c>
      <c r="M780" s="5" t="n">
        <v>350</v>
      </c>
      <c r="N780" s="10">
        <f>IF(AND(ISNUMBER(L780),M780&gt;0),L780/M780,"")</f>
        <v/>
      </c>
      <c r="O780" s="5" t="n">
        <v>17.498</v>
      </c>
      <c r="P780" s="5" t="n">
        <v>75.3</v>
      </c>
      <c r="Q780" s="5" t="n">
        <v>2</v>
      </c>
      <c r="R780" s="5" t="n">
        <v>0</v>
      </c>
      <c r="S780" s="5" t="n">
        <v>0</v>
      </c>
      <c r="T780" s="5" t="n">
        <v>0</v>
      </c>
      <c r="U780" s="5" t="n">
        <v>1</v>
      </c>
      <c r="V780" s="5" t="n">
        <v>1</v>
      </c>
      <c r="W780" s="5" t="n">
        <v>56</v>
      </c>
      <c r="X780" s="5" t="n">
        <v>1</v>
      </c>
      <c r="Y780" s="5" t="n"/>
      <c r="Z780" s="5" t="inlineStr"/>
      <c r="AA780" s="5" t="n">
        <v>801.8</v>
      </c>
      <c r="AB780" s="5" t="n">
        <v>1928.4</v>
      </c>
      <c r="AC780" s="5" t="n">
        <v>939.3</v>
      </c>
      <c r="AD780" s="5" t="n">
        <v>2097.4</v>
      </c>
      <c r="AE780" s="5" t="inlineStr">
        <is>
          <t>isolated_footing</t>
        </is>
      </c>
      <c r="AF780" s="5">
        <f>IF(AE780="","",IF(OR(AE780=F780,AND(AE780="crane_footing",F780="isolated_footing")),"yes","no"))</f>
        <v/>
      </c>
    </row>
    <row r="781">
      <c r="A781" s="5" t="n">
        <v>780</v>
      </c>
      <c r="B781" s="5" t="inlineStr">
        <is>
          <t>129</t>
        </is>
      </c>
      <c r="C781" s="5" t="inlineStr">
        <is>
          <t>own label</t>
        </is>
      </c>
      <c r="D781" s="5" t="inlineStr">
        <is>
          <t>outline</t>
        </is>
      </c>
      <c r="E781" s="5" t="n">
        <v>13</v>
      </c>
      <c r="F781" s="5" t="inlineStr">
        <is>
          <t>isolated_footing</t>
        </is>
      </c>
      <c r="G781" s="5" t="inlineStr">
        <is>
          <t>Isolated footing S19 3.80 × 3.80 m</t>
        </is>
      </c>
      <c r="H781" s="5" t="inlineStr">
        <is>
          <t>label vote</t>
        </is>
      </c>
      <c r="I781" s="5" t="inlineStr">
        <is>
          <t>S19</t>
        </is>
      </c>
      <c r="J781" s="5" t="inlineStr">
        <is>
          <t>printed label</t>
        </is>
      </c>
      <c r="K781" s="5" t="inlineStr">
        <is>
          <t>S19-129</t>
        </is>
      </c>
      <c r="L781" s="5" t="n">
        <v>380</v>
      </c>
      <c r="M781" s="5" t="n">
        <v>380</v>
      </c>
      <c r="N781" s="10">
        <f>IF(AND(ISNUMBER(L781),M781&gt;0),L781/M781,"")</f>
        <v/>
      </c>
      <c r="O781" s="5" t="n">
        <v>14.447</v>
      </c>
      <c r="P781" s="5" t="n">
        <v>165.3</v>
      </c>
      <c r="Q781" s="5" t="n">
        <v>2</v>
      </c>
      <c r="R781" s="5" t="n">
        <v>0</v>
      </c>
      <c r="S781" s="5" t="n">
        <v>0</v>
      </c>
      <c r="T781" s="5" t="n">
        <v>0</v>
      </c>
      <c r="U781" s="5" t="n">
        <v>0</v>
      </c>
      <c r="V781" s="5" t="n">
        <v>1</v>
      </c>
      <c r="W781" s="5" t="n">
        <v>22</v>
      </c>
      <c r="X781" s="5" t="n">
        <v>8</v>
      </c>
      <c r="Y781" s="5" t="n"/>
      <c r="Z781" s="5" t="inlineStr"/>
      <c r="AA781" s="5" t="n">
        <v>697.8</v>
      </c>
      <c r="AB781" s="5" t="n">
        <v>2524.8</v>
      </c>
      <c r="AC781" s="5" t="n">
        <v>834.8</v>
      </c>
      <c r="AD781" s="5" t="n">
        <v>2661.8</v>
      </c>
      <c r="AE781" s="5" t="inlineStr">
        <is>
          <t>isolated_footing</t>
        </is>
      </c>
      <c r="AF781" s="5">
        <f>IF(AE781="","",IF(OR(AE781=F781,AND(AE781="crane_footing",F781="isolated_footing")),"yes","no"))</f>
        <v/>
      </c>
    </row>
    <row r="782">
      <c r="A782" s="5" t="n">
        <v>781</v>
      </c>
      <c r="B782" s="5" t="inlineStr">
        <is>
          <t>129</t>
        </is>
      </c>
      <c r="C782" s="5" t="inlineStr">
        <is>
          <t>own label</t>
        </is>
      </c>
      <c r="D782" s="5" t="inlineStr">
        <is>
          <t>outline</t>
        </is>
      </c>
      <c r="E782" s="5" t="n">
        <v>12</v>
      </c>
      <c r="F782" s="5" t="inlineStr">
        <is>
          <t>isolated_footing</t>
        </is>
      </c>
      <c r="G782" s="5" t="inlineStr">
        <is>
          <t>Isolated footing S2 3.50 × 2.00 m</t>
        </is>
      </c>
      <c r="H782" s="5" t="inlineStr">
        <is>
          <t>label vote</t>
        </is>
      </c>
      <c r="I782" s="5" t="inlineStr">
        <is>
          <t>S2</t>
        </is>
      </c>
      <c r="J782" s="5" t="inlineStr">
        <is>
          <t>printed label</t>
        </is>
      </c>
      <c r="K782" s="5" t="inlineStr">
        <is>
          <t>S2-129129</t>
        </is>
      </c>
      <c r="L782" s="5" t="n">
        <v>350</v>
      </c>
      <c r="M782" s="5" t="n">
        <v>200</v>
      </c>
      <c r="N782" s="10">
        <f>IF(AND(ISNUMBER(L782),M782&gt;0),L782/M782,"")</f>
        <v/>
      </c>
      <c r="O782" s="5" t="n">
        <v>7.004</v>
      </c>
      <c r="P782" s="5" t="n">
        <v>165.3</v>
      </c>
      <c r="Q782" s="5" t="n">
        <v>1</v>
      </c>
      <c r="R782" s="5" t="n">
        <v>0</v>
      </c>
      <c r="S782" s="5" t="n">
        <v>0</v>
      </c>
      <c r="T782" s="5" t="n">
        <v>0</v>
      </c>
      <c r="U782" s="5" t="n">
        <v>0</v>
      </c>
      <c r="V782" s="5" t="n">
        <v>1</v>
      </c>
      <c r="W782" s="5" t="n">
        <v>35</v>
      </c>
      <c r="X782" s="5" t="n">
        <v>5</v>
      </c>
      <c r="Y782" s="5" t="n"/>
      <c r="Z782" s="5" t="inlineStr"/>
      <c r="AA782" s="5" t="n">
        <v>1242.4</v>
      </c>
      <c r="AB782" s="5" t="n">
        <v>1783.3</v>
      </c>
      <c r="AC782" s="5" t="n">
        <v>1357.4</v>
      </c>
      <c r="AD782" s="5" t="n">
        <v>1866.7</v>
      </c>
      <c r="AE782" s="5" t="inlineStr">
        <is>
          <t>isolated_footing</t>
        </is>
      </c>
      <c r="AF782" s="5">
        <f>IF(AE782="","",IF(OR(AE782=F782,AND(AE782="crane_footing",F782="isolated_footing")),"yes","no"))</f>
        <v/>
      </c>
    </row>
    <row r="783">
      <c r="A783" s="5" t="n">
        <v>782</v>
      </c>
      <c r="B783" s="5" t="inlineStr">
        <is>
          <t>129</t>
        </is>
      </c>
      <c r="C783" s="5" t="inlineStr">
        <is>
          <t>own label</t>
        </is>
      </c>
      <c r="D783" s="5" t="inlineStr">
        <is>
          <t>outline</t>
        </is>
      </c>
      <c r="E783" s="5" t="n">
        <v>12</v>
      </c>
      <c r="F783" s="5" t="inlineStr">
        <is>
          <t>isolated_footing</t>
        </is>
      </c>
      <c r="G783" s="5" t="inlineStr">
        <is>
          <t>Isolated footing S2 3.50 × 2.00 m</t>
        </is>
      </c>
      <c r="H783" s="5" t="inlineStr">
        <is>
          <t>label vote</t>
        </is>
      </c>
      <c r="I783" s="5" t="inlineStr">
        <is>
          <t>S2</t>
        </is>
      </c>
      <c r="J783" s="5" t="inlineStr">
        <is>
          <t>printed label</t>
        </is>
      </c>
      <c r="K783" s="5" t="inlineStr">
        <is>
          <t>S2-129129</t>
        </is>
      </c>
      <c r="L783" s="5" t="n">
        <v>350</v>
      </c>
      <c r="M783" s="5" t="n">
        <v>200</v>
      </c>
      <c r="N783" s="10">
        <f>IF(AND(ISNUMBER(L783),M783&gt;0),L783/M783,"")</f>
        <v/>
      </c>
      <c r="O783" s="5" t="n">
        <v>7.003</v>
      </c>
      <c r="P783" s="5" t="n">
        <v>165.3</v>
      </c>
      <c r="Q783" s="5" t="n">
        <v>1</v>
      </c>
      <c r="R783" s="5" t="n">
        <v>0</v>
      </c>
      <c r="S783" s="5" t="n">
        <v>0</v>
      </c>
      <c r="T783" s="5" t="n">
        <v>0</v>
      </c>
      <c r="U783" s="5" t="n">
        <v>0</v>
      </c>
      <c r="V783" s="5" t="n">
        <v>1</v>
      </c>
      <c r="W783" s="5" t="n">
        <v>35</v>
      </c>
      <c r="X783" s="5" t="n">
        <v>3</v>
      </c>
      <c r="Y783" s="5" t="n"/>
      <c r="Z783" s="5" t="inlineStr"/>
      <c r="AA783" s="5" t="n">
        <v>1300.9</v>
      </c>
      <c r="AB783" s="5" t="n">
        <v>2004.2</v>
      </c>
      <c r="AC783" s="5" t="n">
        <v>1415.9</v>
      </c>
      <c r="AD783" s="5" t="n">
        <v>2087.6</v>
      </c>
      <c r="AE783" s="5" t="inlineStr">
        <is>
          <t>isolated_footing</t>
        </is>
      </c>
      <c r="AF783" s="5">
        <f>IF(AE783="","",IF(OR(AE783=F783,AND(AE783="crane_footing",F783="isolated_footing")),"yes","no"))</f>
        <v/>
      </c>
    </row>
    <row r="784">
      <c r="A784" s="5" t="n">
        <v>783</v>
      </c>
      <c r="B784" s="5" t="inlineStr">
        <is>
          <t>129</t>
        </is>
      </c>
      <c r="C784" s="5" t="inlineStr">
        <is>
          <t>nearest labels</t>
        </is>
      </c>
      <c r="D784" s="5" t="inlineStr">
        <is>
          <t>outline</t>
        </is>
      </c>
      <c r="E784" s="5" t="n">
        <v>14</v>
      </c>
      <c r="F784" s="5" t="inlineStr">
        <is>
          <t>combined_footing</t>
        </is>
      </c>
      <c r="G784" s="5" t="inlineStr">
        <is>
          <t>Combined footing SC1 5.00 × 3.50 m</t>
        </is>
      </c>
      <c r="H784" s="5" t="inlineStr">
        <is>
          <t>label vote</t>
        </is>
      </c>
      <c r="I784" s="5" t="inlineStr">
        <is>
          <t>SC1</t>
        </is>
      </c>
      <c r="J784" s="5" t="inlineStr">
        <is>
          <t>printed label</t>
        </is>
      </c>
      <c r="K784" s="5" t="inlineStr">
        <is>
          <t>SC1-</t>
        </is>
      </c>
      <c r="L784" s="5" t="n">
        <v>500</v>
      </c>
      <c r="M784" s="5" t="n">
        <v>350</v>
      </c>
      <c r="N784" s="10">
        <f>IF(AND(ISNUMBER(L784),M784&gt;0),L784/M784,"")</f>
        <v/>
      </c>
      <c r="O784" s="5" t="n">
        <v>17.501</v>
      </c>
      <c r="P784" s="5" t="n">
        <v>140.9</v>
      </c>
      <c r="Q784" s="5" t="n">
        <v>6</v>
      </c>
      <c r="R784" s="5" t="n">
        <v>0</v>
      </c>
      <c r="S784" s="5" t="n">
        <v>0</v>
      </c>
      <c r="T784" s="5" t="n">
        <v>0</v>
      </c>
      <c r="U784" s="5" t="n">
        <v>0</v>
      </c>
      <c r="V784" s="5" t="n">
        <v>2</v>
      </c>
      <c r="W784" s="5" t="n">
        <v>82</v>
      </c>
      <c r="X784" s="5" t="n">
        <v>27</v>
      </c>
      <c r="Y784" s="5" t="n"/>
      <c r="Z784" s="5" t="inlineStr"/>
      <c r="AA784" s="5" t="n">
        <v>740.9</v>
      </c>
      <c r="AB784" s="5" t="n">
        <v>2663.9</v>
      </c>
      <c r="AC784" s="5" t="n">
        <v>920.7</v>
      </c>
      <c r="AD784" s="5" t="n">
        <v>2837.2</v>
      </c>
      <c r="AE784" s="5" t="inlineStr">
        <is>
          <t>combined_footing</t>
        </is>
      </c>
      <c r="AF784" s="5">
        <f>IF(AE784="","",IF(OR(AE784=F784,AND(AE784="crane_footing",F784="isolated_footing")),"yes","no"))</f>
        <v/>
      </c>
    </row>
    <row r="785">
      <c r="A785" s="5" t="n">
        <v>784</v>
      </c>
      <c r="B785" s="5" t="inlineStr">
        <is>
          <t>129</t>
        </is>
      </c>
      <c r="C785" s="5" t="inlineStr">
        <is>
          <t>region between joints</t>
        </is>
      </c>
      <c r="D785" s="5" t="inlineStr">
        <is>
          <t>outline</t>
        </is>
      </c>
      <c r="E785" s="5" t="n">
        <v>15</v>
      </c>
      <c r="F785" s="5" t="inlineStr">
        <is>
          <t>combined_footing</t>
        </is>
      </c>
      <c r="G785" s="5" t="inlineStr">
        <is>
          <t>Combined footing SC2 3.50 × 2.00 m</t>
        </is>
      </c>
      <c r="H785" s="5" t="inlineStr">
        <is>
          <t>label vote</t>
        </is>
      </c>
      <c r="I785" s="5" t="inlineStr">
        <is>
          <t>SC2</t>
        </is>
      </c>
      <c r="J785" s="5" t="inlineStr">
        <is>
          <t>printed label</t>
        </is>
      </c>
      <c r="K785" s="5" t="inlineStr">
        <is>
          <t>SC2-</t>
        </is>
      </c>
      <c r="L785" s="5" t="n">
        <v>350</v>
      </c>
      <c r="M785" s="5" t="n">
        <v>200</v>
      </c>
      <c r="N785" s="10">
        <f>IF(AND(ISNUMBER(L785),M785&gt;0),L785/M785,"")</f>
        <v/>
      </c>
      <c r="O785" s="5" t="n">
        <v>7.005</v>
      </c>
      <c r="P785" s="5" t="n">
        <v>141.3</v>
      </c>
      <c r="Q785" s="5" t="n">
        <v>2</v>
      </c>
      <c r="R785" s="5" t="n">
        <v>0</v>
      </c>
      <c r="S785" s="5" t="n">
        <v>0</v>
      </c>
      <c r="T785" s="5" t="n">
        <v>0</v>
      </c>
      <c r="U785" s="5" t="n">
        <v>1</v>
      </c>
      <c r="V785" s="5" t="n">
        <v>2</v>
      </c>
      <c r="W785" s="5" t="n">
        <v>80</v>
      </c>
      <c r="X785" s="5" t="n">
        <v>5</v>
      </c>
      <c r="Y785" s="5" t="n"/>
      <c r="Z785" s="5" t="inlineStr"/>
      <c r="AA785" s="5" t="n">
        <v>1396.6</v>
      </c>
      <c r="AB785" s="5" t="n">
        <v>2185.5</v>
      </c>
      <c r="AC785" s="5" t="n">
        <v>1514.2</v>
      </c>
      <c r="AD785" s="5" t="n">
        <v>2296.3</v>
      </c>
      <c r="AE785" s="5" t="inlineStr">
        <is>
          <t>combined_footing</t>
        </is>
      </c>
      <c r="AF785" s="5">
        <f>IF(AE785="","",IF(OR(AE785=F785,AND(AE785="crane_footing",F785="isolated_footing")),"yes","no"))</f>
        <v/>
      </c>
    </row>
    <row r="786">
      <c r="A786" s="5" t="n">
        <v>785</v>
      </c>
      <c r="B786" s="5" t="inlineStr">
        <is>
          <t>129</t>
        </is>
      </c>
      <c r="C786" s="5" t="inlineStr">
        <is>
          <t>region between joints</t>
        </is>
      </c>
      <c r="D786" s="5" t="inlineStr">
        <is>
          <t>outline</t>
        </is>
      </c>
      <c r="E786" s="5" t="n">
        <v>14</v>
      </c>
      <c r="F786" s="5" t="inlineStr">
        <is>
          <t>combined_footing</t>
        </is>
      </c>
      <c r="G786" s="5" t="inlineStr">
        <is>
          <t>Combined footing SC7 5.50 × 4.50 m</t>
        </is>
      </c>
      <c r="H786" s="5" t="inlineStr">
        <is>
          <t>label vote</t>
        </is>
      </c>
      <c r="I786" s="5" t="inlineStr">
        <is>
          <t>SC7</t>
        </is>
      </c>
      <c r="J786" s="5" t="inlineStr">
        <is>
          <t>printed label</t>
        </is>
      </c>
      <c r="K786" s="5" t="inlineStr">
        <is>
          <t>SC7</t>
        </is>
      </c>
      <c r="L786" s="5" t="n">
        <v>550</v>
      </c>
      <c r="M786" s="5" t="n">
        <v>450</v>
      </c>
      <c r="N786" s="10">
        <f>IF(AND(ISNUMBER(L786),M786&gt;0),L786/M786,"")</f>
        <v/>
      </c>
      <c r="O786" s="5" t="n">
        <v>24.754</v>
      </c>
      <c r="P786" s="5" t="n">
        <v>140.9</v>
      </c>
      <c r="Q786" s="5" t="n">
        <v>4</v>
      </c>
      <c r="R786" s="5" t="n">
        <v>0</v>
      </c>
      <c r="S786" s="5" t="n">
        <v>0</v>
      </c>
      <c r="T786" s="5" t="n">
        <v>0</v>
      </c>
      <c r="U786" s="5" t="n">
        <v>1</v>
      </c>
      <c r="V786" s="5" t="n">
        <v>2</v>
      </c>
      <c r="W786" s="5" t="n">
        <v>80</v>
      </c>
      <c r="X786" s="5" t="n">
        <v>48</v>
      </c>
      <c r="Y786" s="5" t="n"/>
      <c r="Z786" s="5" t="inlineStr"/>
      <c r="AA786" s="5" t="n">
        <v>1107.1</v>
      </c>
      <c r="AB786" s="5" t="n">
        <v>2336.5</v>
      </c>
      <c r="AC786" s="5" t="n">
        <v>1316.9</v>
      </c>
      <c r="AD786" s="5" t="n">
        <v>2542</v>
      </c>
      <c r="AE786" s="5" t="inlineStr">
        <is>
          <t>combined_footing</t>
        </is>
      </c>
      <c r="AF786" s="5">
        <f>IF(AE786="","",IF(OR(AE786=F786,AND(AE786="crane_footing",F786="isolated_footing")),"yes","no"))</f>
        <v/>
      </c>
    </row>
    <row r="787">
      <c r="A787" s="5" t="n">
        <v>786</v>
      </c>
      <c r="B787" s="5" t="inlineStr">
        <is>
          <t>129</t>
        </is>
      </c>
      <c r="C787" s="5" t="inlineStr">
        <is>
          <t>region between joints</t>
        </is>
      </c>
      <c r="D787" s="5" t="inlineStr">
        <is>
          <t>band</t>
        </is>
      </c>
      <c r="E787" s="5" t="n">
        <v>5</v>
      </c>
      <c r="F787" s="5" t="inlineStr">
        <is>
          <t>strip_footing</t>
        </is>
      </c>
      <c r="G787" s="5" t="inlineStr">
        <is>
          <t>Strip footing 7.54 × 0.80 m</t>
        </is>
      </c>
      <c r="H787" s="5" t="inlineStr">
        <is>
          <t>label vote</t>
        </is>
      </c>
      <c r="I787" s="5" t="inlineStr">
        <is>
          <t>(none)</t>
        </is>
      </c>
      <c r="J787" s="5" t="inlineStr"/>
      <c r="K787" s="5" t="inlineStr"/>
      <c r="L787" s="5" t="n">
        <v>754</v>
      </c>
      <c r="M787" s="5" t="n">
        <v>80</v>
      </c>
      <c r="N787" s="10">
        <f>IF(AND(ISNUMBER(L787),M787&gt;0),L787/M787,"")</f>
        <v/>
      </c>
      <c r="O787" s="5" t="n">
        <v>6.034</v>
      </c>
      <c r="P787" s="5" t="n">
        <v>140.9</v>
      </c>
      <c r="Q787" s="5" t="n">
        <v>1</v>
      </c>
      <c r="R787" s="5" t="n">
        <v>0</v>
      </c>
      <c r="S787" s="5" t="n">
        <v>0</v>
      </c>
      <c r="T787" s="5" t="n">
        <v>0</v>
      </c>
      <c r="U787" s="5" t="n">
        <v>0</v>
      </c>
      <c r="V787" s="5" t="n">
        <v>0</v>
      </c>
      <c r="W787" s="5" t="n">
        <v>6</v>
      </c>
      <c r="X787" s="5" t="n">
        <v>28</v>
      </c>
      <c r="Y787" s="5" t="n">
        <v>7.54</v>
      </c>
      <c r="Z787" s="5" t="inlineStr"/>
      <c r="AA787" s="5" t="n">
        <v>993.9</v>
      </c>
      <c r="AB787" s="5" t="n">
        <v>2318.2</v>
      </c>
      <c r="AC787" s="5" t="n">
        <v>1181.7</v>
      </c>
      <c r="AD787" s="5" t="n">
        <v>2476.9</v>
      </c>
      <c r="AE787" s="5" t="inlineStr"/>
      <c r="AF787" s="5">
        <f>IF(AE787="","",IF(OR(AE787=F787,AND(AE787="crane_footing",F787="isolated_footing")),"yes","no"))</f>
        <v/>
      </c>
    </row>
    <row r="788">
      <c r="A788" s="5" t="n">
        <v>787</v>
      </c>
      <c r="B788" s="5" t="inlineStr">
        <is>
          <t>129</t>
        </is>
      </c>
      <c r="C788" s="5" t="inlineStr">
        <is>
          <t>region between joints</t>
        </is>
      </c>
      <c r="D788" s="5" t="inlineStr">
        <is>
          <t>band</t>
        </is>
      </c>
      <c r="E788" s="5" t="n">
        <v>5</v>
      </c>
      <c r="F788" s="5" t="inlineStr">
        <is>
          <t>strip_footing</t>
        </is>
      </c>
      <c r="G788" s="5" t="inlineStr">
        <is>
          <t>Strip footing 1.70 × 0.80 m</t>
        </is>
      </c>
      <c r="H788" s="5" t="inlineStr">
        <is>
          <t>label vote</t>
        </is>
      </c>
      <c r="I788" s="5" t="inlineStr">
        <is>
          <t>(none)</t>
        </is>
      </c>
      <c r="J788" s="5" t="inlineStr"/>
      <c r="K788" s="5" t="inlineStr"/>
      <c r="L788" s="5" t="n">
        <v>170</v>
      </c>
      <c r="M788" s="5" t="n">
        <v>80</v>
      </c>
      <c r="N788" s="10">
        <f>IF(AND(ISNUMBER(L788),M788&gt;0),L788/M788,"")</f>
        <v/>
      </c>
      <c r="O788" s="5" t="n">
        <v>1.36</v>
      </c>
      <c r="P788" s="5" t="n">
        <v>75.2</v>
      </c>
      <c r="Q788" s="5" t="n">
        <v>1</v>
      </c>
      <c r="R788" s="5" t="n">
        <v>0</v>
      </c>
      <c r="S788" s="5" t="n">
        <v>0</v>
      </c>
      <c r="T788" s="5" t="n">
        <v>0</v>
      </c>
      <c r="U788" s="5" t="n">
        <v>0</v>
      </c>
      <c r="V788" s="5" t="n">
        <v>0</v>
      </c>
      <c r="W788" s="5" t="n">
        <v>2</v>
      </c>
      <c r="X788" s="5" t="n">
        <v>0</v>
      </c>
      <c r="Y788" s="5" t="n">
        <v>1.7</v>
      </c>
      <c r="Z788" s="5" t="inlineStr"/>
      <c r="AA788" s="5" t="n">
        <v>823.6</v>
      </c>
      <c r="AB788" s="5" t="n">
        <v>1891</v>
      </c>
      <c r="AC788" s="5" t="n">
        <v>859.2</v>
      </c>
      <c r="AD788" s="5" t="n">
        <v>1945.5</v>
      </c>
      <c r="AE788" s="5" t="inlineStr"/>
      <c r="AF788" s="5">
        <f>IF(AE788="","",IF(OR(AE788=F788,AND(AE788="crane_footing",F788="isolated_footing")),"yes","no"))</f>
        <v/>
      </c>
    </row>
    <row r="789">
      <c r="A789" s="5" t="n">
        <v>788</v>
      </c>
      <c r="B789" s="5" t="inlineStr">
        <is>
          <t>129</t>
        </is>
      </c>
      <c r="C789" s="5" t="inlineStr">
        <is>
          <t>region between joints</t>
        </is>
      </c>
      <c r="D789" s="5" t="inlineStr">
        <is>
          <t>band</t>
        </is>
      </c>
      <c r="E789" s="5" t="n">
        <v>5</v>
      </c>
      <c r="F789" s="5" t="inlineStr">
        <is>
          <t>strip_footing</t>
        </is>
      </c>
      <c r="G789" s="5" t="inlineStr">
        <is>
          <t>Strip footing SF1 6.36 × 0.80 m</t>
        </is>
      </c>
      <c r="H789" s="5" t="inlineStr">
        <is>
          <t>label vote</t>
        </is>
      </c>
      <c r="I789" s="5" t="inlineStr">
        <is>
          <t>SF1</t>
        </is>
      </c>
      <c r="J789" s="5" t="inlineStr">
        <is>
          <t>printed label</t>
        </is>
      </c>
      <c r="K789" s="5" t="inlineStr">
        <is>
          <t>SF1 80x25</t>
        </is>
      </c>
      <c r="L789" s="5" t="n">
        <v>636</v>
      </c>
      <c r="M789" s="5" t="n">
        <v>80</v>
      </c>
      <c r="N789" s="10">
        <f>IF(AND(ISNUMBER(L789),M789&gt;0),L789/M789,"")</f>
        <v/>
      </c>
      <c r="O789" s="5" t="n">
        <v>5.09</v>
      </c>
      <c r="P789" s="5" t="n">
        <v>140.9</v>
      </c>
      <c r="Q789" s="5" t="n">
        <v>1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4</v>
      </c>
      <c r="X789" s="5" t="n">
        <v>24</v>
      </c>
      <c r="Y789" s="5" t="n">
        <v>6.36</v>
      </c>
      <c r="Z789" s="5" t="inlineStr"/>
      <c r="AA789" s="5" t="n">
        <v>828</v>
      </c>
      <c r="AB789" s="5" t="n">
        <v>2474.9</v>
      </c>
      <c r="AC789" s="5" t="n">
        <v>988.7</v>
      </c>
      <c r="AD789" s="5" t="n">
        <v>2611.7</v>
      </c>
      <c r="AE789" s="5" t="inlineStr"/>
      <c r="AF789" s="5">
        <f>IF(AE789="","",IF(OR(AE789=F789,AND(AE789="crane_footing",F789="isolated_footing")),"yes","no"))</f>
        <v/>
      </c>
    </row>
    <row r="790">
      <c r="A790" s="5" t="n">
        <v>789</v>
      </c>
      <c r="B790" s="5" t="inlineStr">
        <is>
          <t>129</t>
        </is>
      </c>
      <c r="C790" s="5" t="inlineStr">
        <is>
          <t>region between joints</t>
        </is>
      </c>
      <c r="D790" s="5" t="inlineStr">
        <is>
          <t>band</t>
        </is>
      </c>
      <c r="E790" s="5" t="n">
        <v>5</v>
      </c>
      <c r="F790" s="5" t="inlineStr">
        <is>
          <t>strip_footing</t>
        </is>
      </c>
      <c r="G790" s="5" t="inlineStr">
        <is>
          <t>Strip footing SF1 3.36 × 0.80 m</t>
        </is>
      </c>
      <c r="H790" s="5" t="inlineStr">
        <is>
          <t>label vote</t>
        </is>
      </c>
      <c r="I790" s="5" t="inlineStr">
        <is>
          <t>SF1</t>
        </is>
      </c>
      <c r="J790" s="5" t="inlineStr">
        <is>
          <t>printed label</t>
        </is>
      </c>
      <c r="K790" s="5" t="inlineStr">
        <is>
          <t>VP20-SF1 80x25</t>
        </is>
      </c>
      <c r="L790" s="5" t="n">
        <v>336</v>
      </c>
      <c r="M790" s="5" t="n">
        <v>80</v>
      </c>
      <c r="N790" s="10">
        <f>IF(AND(ISNUMBER(L790),M790&gt;0),L790/M790,"")</f>
        <v/>
      </c>
      <c r="O790" s="5" t="n">
        <v>2.692</v>
      </c>
      <c r="P790" s="5" t="n">
        <v>75.3</v>
      </c>
      <c r="Q790" s="5" t="n">
        <v>1</v>
      </c>
      <c r="R790" s="5" t="n">
        <v>0</v>
      </c>
      <c r="S790" s="5" t="n">
        <v>0</v>
      </c>
      <c r="T790" s="5" t="n">
        <v>0</v>
      </c>
      <c r="U790" s="5" t="n">
        <v>0</v>
      </c>
      <c r="V790" s="5" t="n">
        <v>1</v>
      </c>
      <c r="W790" s="5" t="n">
        <v>2</v>
      </c>
      <c r="X790" s="5" t="n">
        <v>0</v>
      </c>
      <c r="Y790" s="5" t="n">
        <v>3.36</v>
      </c>
      <c r="Z790" s="5" t="inlineStr"/>
      <c r="AA790" s="5" t="n">
        <v>945.8</v>
      </c>
      <c r="AB790" s="5" t="n">
        <v>2362.5</v>
      </c>
      <c r="AC790" s="5" t="n">
        <v>993.9</v>
      </c>
      <c r="AD790" s="5" t="n">
        <v>2464.6</v>
      </c>
      <c r="AE790" s="5" t="inlineStr"/>
      <c r="AF790" s="5">
        <f>IF(AE790="","",IF(OR(AE790=F790,AND(AE790="crane_footing",F790="isolated_footing")),"yes","no"))</f>
        <v/>
      </c>
    </row>
    <row r="791">
      <c r="A791" s="5" t="n">
        <v>790</v>
      </c>
      <c r="B791" s="5" t="inlineStr">
        <is>
          <t>129</t>
        </is>
      </c>
      <c r="C791" s="5" t="inlineStr">
        <is>
          <t>region between joints</t>
        </is>
      </c>
      <c r="D791" s="5" t="inlineStr">
        <is>
          <t>band</t>
        </is>
      </c>
      <c r="E791" s="5" t="n">
        <v>5</v>
      </c>
      <c r="F791" s="5" t="inlineStr">
        <is>
          <t>strip_footing</t>
        </is>
      </c>
      <c r="G791" s="5" t="inlineStr">
        <is>
          <t>Strip footing SF1 2.90 × 0.80 m</t>
        </is>
      </c>
      <c r="H791" s="5" t="inlineStr">
        <is>
          <t>label vote</t>
        </is>
      </c>
      <c r="I791" s="5" t="inlineStr">
        <is>
          <t>SF1</t>
        </is>
      </c>
      <c r="J791" s="5" t="inlineStr">
        <is>
          <t>printed label</t>
        </is>
      </c>
      <c r="K791" s="5" t="inlineStr">
        <is>
          <t>VP20-SF1 80x25</t>
        </is>
      </c>
      <c r="L791" s="5" t="n">
        <v>290</v>
      </c>
      <c r="M791" s="5" t="n">
        <v>80</v>
      </c>
      <c r="N791" s="10">
        <f>IF(AND(ISNUMBER(L791),M791&gt;0),L791/M791,"")</f>
        <v/>
      </c>
      <c r="O791" s="5" t="n">
        <v>2.316</v>
      </c>
      <c r="P791" s="5" t="n">
        <v>75.3</v>
      </c>
      <c r="Q791" s="5" t="n">
        <v>1</v>
      </c>
      <c r="R791" s="5" t="n">
        <v>0</v>
      </c>
      <c r="S791" s="5" t="n">
        <v>0</v>
      </c>
      <c r="T791" s="5" t="n">
        <v>0</v>
      </c>
      <c r="U791" s="5" t="n">
        <v>0</v>
      </c>
      <c r="V791" s="5" t="n">
        <v>0</v>
      </c>
      <c r="W791" s="5" t="n">
        <v>5</v>
      </c>
      <c r="X791" s="5" t="n">
        <v>0</v>
      </c>
      <c r="Y791" s="5" t="n">
        <v>2.89</v>
      </c>
      <c r="Z791" s="5" t="inlineStr"/>
      <c r="AA791" s="5" t="n">
        <v>873.7</v>
      </c>
      <c r="AB791" s="5" t="n">
        <v>2082.4</v>
      </c>
      <c r="AC791" s="5" t="n">
        <v>918.3</v>
      </c>
      <c r="AD791" s="5" t="n">
        <v>2171</v>
      </c>
      <c r="AE791" s="5" t="inlineStr"/>
      <c r="AF791" s="5">
        <f>IF(AE791="","",IF(OR(AE791=F791,AND(AE791="crane_footing",F791="isolated_footing")),"yes","no"))</f>
        <v/>
      </c>
    </row>
    <row r="792">
      <c r="A792" s="5" t="n">
        <v>791</v>
      </c>
      <c r="B792" s="5" t="inlineStr">
        <is>
          <t>129</t>
        </is>
      </c>
      <c r="C792" s="5" t="inlineStr">
        <is>
          <t>nearest labels</t>
        </is>
      </c>
      <c r="D792" s="5" t="inlineStr">
        <is>
          <t>band</t>
        </is>
      </c>
      <c r="E792" s="5" t="n">
        <v>9</v>
      </c>
      <c r="F792" s="5" t="inlineStr">
        <is>
          <t>strip_footing</t>
        </is>
      </c>
      <c r="G792" s="5" t="inlineStr">
        <is>
          <t>Strip footing SF4 3.78 × 1.22 m</t>
        </is>
      </c>
      <c r="H792" s="5" t="inlineStr">
        <is>
          <t>its own label (the cluster's class was only a guess)</t>
        </is>
      </c>
      <c r="I792" s="5" t="inlineStr">
        <is>
          <t>SF4</t>
        </is>
      </c>
      <c r="J792" s="5" t="inlineStr">
        <is>
          <t>printed label</t>
        </is>
      </c>
      <c r="K792" s="5" t="inlineStr">
        <is>
          <t>SF4- 120x25</t>
        </is>
      </c>
      <c r="L792" s="5" t="n">
        <v>378</v>
      </c>
      <c r="M792" s="5" t="n">
        <v>122</v>
      </c>
      <c r="N792" s="10">
        <f>IF(AND(ISNUMBER(L792),M792&gt;0),L792/M792,"")</f>
        <v/>
      </c>
      <c r="O792" s="5" t="n">
        <v>4.59</v>
      </c>
      <c r="P792" s="5" t="n">
        <v>140.9</v>
      </c>
      <c r="Q792" s="5" t="n">
        <v>2</v>
      </c>
      <c r="R792" s="5" t="n">
        <v>0</v>
      </c>
      <c r="S792" s="5" t="n">
        <v>0</v>
      </c>
      <c r="T792" s="5" t="n">
        <v>0</v>
      </c>
      <c r="U792" s="5" t="n">
        <v>0</v>
      </c>
      <c r="V792" s="5" t="n">
        <v>2</v>
      </c>
      <c r="W792" s="5" t="n">
        <v>6</v>
      </c>
      <c r="X792" s="5" t="n">
        <v>26</v>
      </c>
      <c r="Y792" s="5" t="n">
        <v>3.78</v>
      </c>
      <c r="Z792" s="5" t="inlineStr"/>
      <c r="AA792" s="5" t="n">
        <v>877</v>
      </c>
      <c r="AB792" s="5" t="n">
        <v>2619.9</v>
      </c>
      <c r="AC792" s="5" t="n">
        <v>986.2</v>
      </c>
      <c r="AD792" s="5" t="n">
        <v>2718.1</v>
      </c>
      <c r="AE792" s="5" t="inlineStr"/>
      <c r="AF792" s="5">
        <f>IF(AE792="","",IF(OR(AE792=F792,AND(AE792="crane_footing",F792="isolated_footing")),"yes","no"))</f>
        <v/>
      </c>
    </row>
    <row r="793">
      <c r="A793" s="5" t="n">
        <v>792</v>
      </c>
      <c r="B793" s="5" t="inlineStr">
        <is>
          <t>129</t>
        </is>
      </c>
      <c r="C793" s="5" t="inlineStr">
        <is>
          <t>region between joints</t>
        </is>
      </c>
      <c r="D793" s="5" t="inlineStr">
        <is>
          <t>band</t>
        </is>
      </c>
      <c r="E793" s="5" t="n">
        <v>1</v>
      </c>
      <c r="F793" s="5" t="inlineStr">
        <is>
          <t>grade_beam</t>
        </is>
      </c>
      <c r="G793" s="5" t="inlineStr">
        <is>
          <t>Grade beam LG25x40 3.69 × 0.25 m</t>
        </is>
      </c>
      <c r="H793" s="5" t="inlineStr">
        <is>
          <t>label vote</t>
        </is>
      </c>
      <c r="I793" s="5" t="inlineStr">
        <is>
          <t>LG25x40</t>
        </is>
      </c>
      <c r="J793" s="5" t="inlineStr">
        <is>
          <t>printed label</t>
        </is>
      </c>
      <c r="K793" s="5" t="inlineStr">
        <is>
          <t>LG 25X40</t>
        </is>
      </c>
      <c r="L793" s="5" t="n">
        <v>369</v>
      </c>
      <c r="M793" s="5" t="n">
        <v>25</v>
      </c>
      <c r="N793" s="10">
        <f>IF(AND(ISNUMBER(L793),M793&gt;0),L793/M793,"")</f>
        <v/>
      </c>
      <c r="O793" s="5" t="n">
        <v>0.922</v>
      </c>
      <c r="P793" s="5" t="n">
        <v>165.3</v>
      </c>
      <c r="Q793" s="5" t="n">
        <v>2</v>
      </c>
      <c r="R793" s="5" t="n">
        <v>1</v>
      </c>
      <c r="S793" s="5" t="n">
        <v>0</v>
      </c>
      <c r="T793" s="5" t="n">
        <v>0</v>
      </c>
      <c r="U793" s="5" t="n">
        <v>0</v>
      </c>
      <c r="V793" s="5" t="n">
        <v>0</v>
      </c>
      <c r="W793" s="5" t="n">
        <v>0</v>
      </c>
      <c r="X793" s="5" t="n">
        <v>2</v>
      </c>
      <c r="Y793" s="5" t="n">
        <v>1.86</v>
      </c>
      <c r="Z793" s="5" t="inlineStr"/>
      <c r="AA793" s="5" t="n">
        <v>767</v>
      </c>
      <c r="AB793" s="5" t="n">
        <v>2560.2</v>
      </c>
      <c r="AC793" s="5" t="n">
        <v>874.2</v>
      </c>
      <c r="AD793" s="5" t="n">
        <v>2595</v>
      </c>
      <c r="AE793" s="5" t="inlineStr"/>
      <c r="AF793" s="5">
        <f>IF(AE793="","",IF(OR(AE793=F793,AND(AE793="crane_footing",F793="isolated_footing")),"yes","no"))</f>
        <v/>
      </c>
    </row>
    <row r="794">
      <c r="A794" s="5" t="n">
        <v>793</v>
      </c>
      <c r="B794" s="5" t="inlineStr">
        <is>
          <t>129</t>
        </is>
      </c>
      <c r="C794" s="5" t="inlineStr">
        <is>
          <t>region between joints</t>
        </is>
      </c>
      <c r="D794" s="5" t="inlineStr">
        <is>
          <t>band</t>
        </is>
      </c>
      <c r="E794" s="5" t="n">
        <v>1</v>
      </c>
      <c r="F794" s="5" t="inlineStr">
        <is>
          <t>grade_beam</t>
        </is>
      </c>
      <c r="G794" s="5" t="inlineStr">
        <is>
          <t>Grade beam LG25x40 3.40 × 0.25 m</t>
        </is>
      </c>
      <c r="H794" s="5" t="inlineStr">
        <is>
          <t>label vote</t>
        </is>
      </c>
      <c r="I794" s="5" t="inlineStr">
        <is>
          <t>LG25x40</t>
        </is>
      </c>
      <c r="J794" s="5" t="inlineStr">
        <is>
          <t>printed label</t>
        </is>
      </c>
      <c r="K794" s="5" t="inlineStr">
        <is>
          <t>LG 25x40</t>
        </is>
      </c>
      <c r="L794" s="5" t="n">
        <v>340</v>
      </c>
      <c r="M794" s="5" t="n">
        <v>25</v>
      </c>
      <c r="N794" s="10">
        <f>IF(AND(ISNUMBER(L794),M794&gt;0),L794/M794,"")</f>
        <v/>
      </c>
      <c r="O794" s="5" t="n">
        <v>0.85</v>
      </c>
      <c r="P794" s="5" t="n">
        <v>51</v>
      </c>
      <c r="Q794" s="5" t="n">
        <v>2</v>
      </c>
      <c r="R794" s="5" t="n">
        <v>1</v>
      </c>
      <c r="S794" s="5" t="n">
        <v>0</v>
      </c>
      <c r="T794" s="5" t="n">
        <v>0</v>
      </c>
      <c r="U794" s="5" t="n">
        <v>0</v>
      </c>
      <c r="V794" s="5" t="n">
        <v>0</v>
      </c>
      <c r="W794" s="5" t="n">
        <v>5</v>
      </c>
      <c r="X794" s="5" t="n">
        <v>12</v>
      </c>
      <c r="Y794" s="5" t="n">
        <v>1.4</v>
      </c>
      <c r="Z794" s="5" t="inlineStr"/>
      <c r="AA794" s="5" t="n">
        <v>1161.3</v>
      </c>
      <c r="AB794" s="5" t="n">
        <v>2337</v>
      </c>
      <c r="AC794" s="5" t="n">
        <v>1230.2</v>
      </c>
      <c r="AD794" s="5" t="n">
        <v>2419.6</v>
      </c>
      <c r="AE794" s="5" t="inlineStr"/>
      <c r="AF794" s="5">
        <f>IF(AE794="","",IF(OR(AE794=F794,AND(AE794="crane_footing",F794="isolated_footing")),"yes","no"))</f>
        <v/>
      </c>
    </row>
    <row r="795">
      <c r="A795" s="5" t="n">
        <v>794</v>
      </c>
      <c r="B795" s="5" t="inlineStr">
        <is>
          <t>129</t>
        </is>
      </c>
      <c r="C795" s="5" t="inlineStr">
        <is>
          <t>region between joints</t>
        </is>
      </c>
      <c r="D795" s="5" t="inlineStr">
        <is>
          <t>band</t>
        </is>
      </c>
      <c r="E795" s="5" t="n">
        <v>3</v>
      </c>
      <c r="F795" s="5" t="inlineStr">
        <is>
          <t>grade_beam</t>
        </is>
      </c>
      <c r="G795" s="5" t="inlineStr">
        <is>
          <t>Grade beam LG40x15 20.27 × 0.40 m</t>
        </is>
      </c>
      <c r="H795" s="5" t="inlineStr">
        <is>
          <t>label vote</t>
        </is>
      </c>
      <c r="I795" s="5" t="inlineStr">
        <is>
          <t>LG40x15</t>
        </is>
      </c>
      <c r="J795" s="5" t="inlineStr">
        <is>
          <t>printed label</t>
        </is>
      </c>
      <c r="K795" s="5" t="inlineStr">
        <is>
          <t>LG-40x15</t>
        </is>
      </c>
      <c r="L795" s="5" t="n">
        <v>2027</v>
      </c>
      <c r="M795" s="5" t="n">
        <v>40</v>
      </c>
      <c r="N795" s="10">
        <f>IF(AND(ISNUMBER(L795),M795&gt;0),L795/M795,"")</f>
        <v/>
      </c>
      <c r="O795" s="5" t="n">
        <v>8.109</v>
      </c>
      <c r="P795" s="5" t="n">
        <v>165.2</v>
      </c>
      <c r="Q795" s="5" t="n">
        <v>5</v>
      </c>
      <c r="R795" s="5" t="n">
        <v>0</v>
      </c>
      <c r="S795" s="5" t="n">
        <v>0</v>
      </c>
      <c r="T795" s="5" t="n">
        <v>0</v>
      </c>
      <c r="U795" s="5" t="n">
        <v>0</v>
      </c>
      <c r="V795" s="5" t="n">
        <v>2</v>
      </c>
      <c r="W795" s="5" t="n">
        <v>57</v>
      </c>
      <c r="X795" s="5" t="n">
        <v>7</v>
      </c>
      <c r="Y795" s="5" t="n">
        <v>9.85</v>
      </c>
      <c r="Z795" s="5" t="inlineStr"/>
      <c r="AA795" s="5" t="n">
        <v>826.9</v>
      </c>
      <c r="AB795" s="5" t="n">
        <v>1700.9</v>
      </c>
      <c r="AC795" s="5" t="n">
        <v>1408.8</v>
      </c>
      <c r="AD795" s="5" t="n">
        <v>1864.8</v>
      </c>
      <c r="AE795" s="5" t="inlineStr"/>
      <c r="AF795" s="5">
        <f>IF(AE795="","",IF(OR(AE795=F795,AND(AE795="crane_footing",F795="isolated_footing")),"yes","no"))</f>
        <v/>
      </c>
    </row>
    <row r="796">
      <c r="A796" s="5" t="n">
        <v>795</v>
      </c>
      <c r="B796" s="5" t="inlineStr">
        <is>
          <t>129</t>
        </is>
      </c>
      <c r="C796" s="5" t="inlineStr">
        <is>
          <t>region between joints</t>
        </is>
      </c>
      <c r="D796" s="5" t="inlineStr">
        <is>
          <t>band</t>
        </is>
      </c>
      <c r="E796" s="5" t="n">
        <v>3</v>
      </c>
      <c r="F796" s="5" t="inlineStr">
        <is>
          <t>grade_beam</t>
        </is>
      </c>
      <c r="G796" s="5" t="inlineStr">
        <is>
          <t>Grade beam LG40x15 18.21 × 0.40 m</t>
        </is>
      </c>
      <c r="H796" s="5" t="inlineStr">
        <is>
          <t>label vote</t>
        </is>
      </c>
      <c r="I796" s="5" t="inlineStr">
        <is>
          <t>LG40x15</t>
        </is>
      </c>
      <c r="J796" s="5" t="inlineStr">
        <is>
          <t>printed label</t>
        </is>
      </c>
      <c r="K796" s="5" t="inlineStr">
        <is>
          <t>LG-40x15</t>
        </is>
      </c>
      <c r="L796" s="5" t="n">
        <v>1821</v>
      </c>
      <c r="M796" s="5" t="n">
        <v>40</v>
      </c>
      <c r="N796" s="10">
        <f>IF(AND(ISNUMBER(L796),M796&gt;0),L796/M796,"")</f>
        <v/>
      </c>
      <c r="O796" s="5" t="n">
        <v>7.284</v>
      </c>
      <c r="P796" s="5" t="n">
        <v>75.5</v>
      </c>
      <c r="Q796" s="5" t="n">
        <v>3</v>
      </c>
      <c r="R796" s="5" t="n">
        <v>0</v>
      </c>
      <c r="S796" s="5" t="n">
        <v>0</v>
      </c>
      <c r="T796" s="5" t="n">
        <v>0</v>
      </c>
      <c r="U796" s="5" t="n">
        <v>0</v>
      </c>
      <c r="V796" s="5" t="n">
        <v>0</v>
      </c>
      <c r="W796" s="5" t="n">
        <v>6</v>
      </c>
      <c r="X796" s="5" t="n">
        <v>9</v>
      </c>
      <c r="Y796" s="5" t="n">
        <v>12.94</v>
      </c>
      <c r="Z796" s="5" t="inlineStr"/>
      <c r="AA796" s="5" t="n">
        <v>1266.2</v>
      </c>
      <c r="AB796" s="5" t="n">
        <v>1740.8</v>
      </c>
      <c r="AC796" s="5" t="n">
        <v>1412.2</v>
      </c>
      <c r="AD796" s="5" t="n">
        <v>2264.3</v>
      </c>
      <c r="AE796" s="5" t="inlineStr"/>
      <c r="AF796" s="5">
        <f>IF(AE796="","",IF(OR(AE796=F796,AND(AE796="crane_footing",F796="isolated_footing")),"yes","no"))</f>
        <v/>
      </c>
    </row>
    <row r="797">
      <c r="A797" s="5" t="n">
        <v>796</v>
      </c>
      <c r="B797" s="5" t="inlineStr">
        <is>
          <t>129</t>
        </is>
      </c>
      <c r="C797" s="5" t="inlineStr">
        <is>
          <t>region between joints</t>
        </is>
      </c>
      <c r="D797" s="5" t="inlineStr">
        <is>
          <t>band</t>
        </is>
      </c>
      <c r="E797" s="5" t="n">
        <v>3</v>
      </c>
      <c r="F797" s="5" t="inlineStr">
        <is>
          <t>grade_beam</t>
        </is>
      </c>
      <c r="G797" s="5" t="inlineStr">
        <is>
          <t>Grade beam LG40x15 15.25 × 0.40 m</t>
        </is>
      </c>
      <c r="H797" s="5" t="inlineStr">
        <is>
          <t>label vote</t>
        </is>
      </c>
      <c r="I797" s="5" t="inlineStr">
        <is>
          <t>LG40x15</t>
        </is>
      </c>
      <c r="J797" s="5" t="inlineStr">
        <is>
          <t>printed label</t>
        </is>
      </c>
      <c r="K797" s="5" t="inlineStr">
        <is>
          <t>LG-40x15</t>
        </is>
      </c>
      <c r="L797" s="5" t="n">
        <v>1525</v>
      </c>
      <c r="M797" s="5" t="n">
        <v>40</v>
      </c>
      <c r="N797" s="10">
        <f>IF(AND(ISNUMBER(L797),M797&gt;0),L797/M797,"")</f>
        <v/>
      </c>
      <c r="O797" s="5" t="n">
        <v>6.1</v>
      </c>
      <c r="P797" s="5" t="n">
        <v>165.3</v>
      </c>
      <c r="Q797" s="5" t="n">
        <v>2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1</v>
      </c>
      <c r="W797" s="5" t="n">
        <v>40</v>
      </c>
      <c r="X797" s="5" t="n">
        <v>3</v>
      </c>
      <c r="Y797" s="5" t="n">
        <v>8.5</v>
      </c>
      <c r="Z797" s="5" t="inlineStr"/>
      <c r="AA797" s="5" t="n">
        <v>875.6</v>
      </c>
      <c r="AB797" s="5" t="n">
        <v>1917.7</v>
      </c>
      <c r="AC797" s="5" t="n">
        <v>1314.1</v>
      </c>
      <c r="AD797" s="5" t="n">
        <v>2043.4</v>
      </c>
      <c r="AE797" s="5" t="inlineStr"/>
      <c r="AF797" s="5">
        <f>IF(AE797="","",IF(OR(AE797=F797,AND(AE797="crane_footing",F797="isolated_footing")),"yes","no"))</f>
        <v/>
      </c>
    </row>
    <row r="798">
      <c r="A798" s="5" t="n">
        <v>797</v>
      </c>
      <c r="B798" s="5" t="inlineStr">
        <is>
          <t>129</t>
        </is>
      </c>
      <c r="C798" s="5" t="inlineStr">
        <is>
          <t>region between joints</t>
        </is>
      </c>
      <c r="D798" s="5" t="inlineStr">
        <is>
          <t>band</t>
        </is>
      </c>
      <c r="E798" s="5" t="n">
        <v>3</v>
      </c>
      <c r="F798" s="5" t="inlineStr">
        <is>
          <t>grade_beam</t>
        </is>
      </c>
      <c r="G798" s="5" t="inlineStr">
        <is>
          <t>Grade beam LG40x15 13.14 × 0.40 m</t>
        </is>
      </c>
      <c r="H798" s="5" t="inlineStr">
        <is>
          <t>label vote</t>
        </is>
      </c>
      <c r="I798" s="5" t="inlineStr">
        <is>
          <t>LG40x15</t>
        </is>
      </c>
      <c r="J798" s="5" t="inlineStr">
        <is>
          <t>printed label</t>
        </is>
      </c>
      <c r="K798" s="5" t="inlineStr">
        <is>
          <t>LG-40x15</t>
        </is>
      </c>
      <c r="L798" s="5" t="n">
        <v>1314</v>
      </c>
      <c r="M798" s="5" t="n">
        <v>40</v>
      </c>
      <c r="N798" s="10">
        <f>IF(AND(ISNUMBER(L798),M798&gt;0),L798/M798,"")</f>
        <v/>
      </c>
      <c r="O798" s="5" t="n">
        <v>5.257</v>
      </c>
      <c r="P798" s="5" t="n">
        <v>140.9</v>
      </c>
      <c r="Q798" s="5" t="n">
        <v>3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1</v>
      </c>
      <c r="W798" s="5" t="n">
        <v>38</v>
      </c>
      <c r="X798" s="5" t="n">
        <v>5</v>
      </c>
      <c r="Y798" s="5" t="n">
        <v>7.89</v>
      </c>
      <c r="Z798" s="5" t="inlineStr"/>
      <c r="AA798" s="5" t="n">
        <v>1227.4</v>
      </c>
      <c r="AB798" s="5" t="n">
        <v>2166.7</v>
      </c>
      <c r="AC798" s="5" t="n">
        <v>1536</v>
      </c>
      <c r="AD798" s="5" t="n">
        <v>2420.7</v>
      </c>
      <c r="AE798" s="5" t="inlineStr"/>
      <c r="AF798" s="5">
        <f>IF(AE798="","",IF(OR(AE798=F798,AND(AE798="crane_footing",F798="isolated_footing")),"yes","no"))</f>
        <v/>
      </c>
    </row>
    <row r="799">
      <c r="A799" s="5" t="n">
        <v>798</v>
      </c>
      <c r="B799" s="5" t="inlineStr">
        <is>
          <t>129</t>
        </is>
      </c>
      <c r="C799" s="5" t="inlineStr">
        <is>
          <t>region between joints</t>
        </is>
      </c>
      <c r="D799" s="5" t="inlineStr">
        <is>
          <t>band</t>
        </is>
      </c>
      <c r="E799" s="5" t="n">
        <v>3</v>
      </c>
      <c r="F799" s="5" t="inlineStr">
        <is>
          <t>grade_beam</t>
        </is>
      </c>
      <c r="G799" s="5" t="inlineStr">
        <is>
          <t>Grade beam LG40x15 12.69 × 0.40 m</t>
        </is>
      </c>
      <c r="H799" s="5" t="inlineStr">
        <is>
          <t>label vote</t>
        </is>
      </c>
      <c r="I799" s="5" t="inlineStr">
        <is>
          <t>LG40x15</t>
        </is>
      </c>
      <c r="J799" s="5" t="inlineStr">
        <is>
          <t>printed label</t>
        </is>
      </c>
      <c r="K799" s="5" t="inlineStr">
        <is>
          <t>LG-40x15</t>
        </is>
      </c>
      <c r="L799" s="5" t="n">
        <v>1269</v>
      </c>
      <c r="M799" s="5" t="n">
        <v>40</v>
      </c>
      <c r="N799" s="10">
        <f>IF(AND(ISNUMBER(L799),M799&gt;0),L799/M799,"")</f>
        <v/>
      </c>
      <c r="O799" s="5" t="n">
        <v>5.074</v>
      </c>
      <c r="P799" s="5" t="n">
        <v>165.3</v>
      </c>
      <c r="Q799" s="5" t="n">
        <v>2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1</v>
      </c>
      <c r="W799" s="5" t="n">
        <v>22</v>
      </c>
      <c r="X799" s="5" t="n">
        <v>3</v>
      </c>
      <c r="Y799" s="5" t="n">
        <v>9.19</v>
      </c>
      <c r="Z799" s="5" t="inlineStr"/>
      <c r="AA799" s="5" t="n">
        <v>1124</v>
      </c>
      <c r="AB799" s="5" t="n">
        <v>2006.3</v>
      </c>
      <c r="AC799" s="5" t="n">
        <v>1489.3</v>
      </c>
      <c r="AD799" s="5" t="n">
        <v>2112.7</v>
      </c>
      <c r="AE799" s="5" t="inlineStr"/>
      <c r="AF799" s="5">
        <f>IF(AE799="","",IF(OR(AE799=F799,AND(AE799="crane_footing",F799="isolated_footing")),"yes","no"))</f>
        <v/>
      </c>
    </row>
    <row r="800">
      <c r="A800" s="5" t="n">
        <v>799</v>
      </c>
      <c r="B800" s="5" t="inlineStr">
        <is>
          <t>129</t>
        </is>
      </c>
      <c r="C800" s="5" t="inlineStr">
        <is>
          <t>region between joints</t>
        </is>
      </c>
      <c r="D800" s="5" t="inlineStr">
        <is>
          <t>band</t>
        </is>
      </c>
      <c r="E800" s="5" t="n">
        <v>3</v>
      </c>
      <c r="F800" s="5" t="inlineStr">
        <is>
          <t>grade_beam</t>
        </is>
      </c>
      <c r="G800" s="5" t="inlineStr">
        <is>
          <t>Grade beam LG40x15 12.46 × 0.40 m</t>
        </is>
      </c>
      <c r="H800" s="5" t="inlineStr">
        <is>
          <t>label vote</t>
        </is>
      </c>
      <c r="I800" s="5" t="inlineStr">
        <is>
          <t>LG40x15</t>
        </is>
      </c>
      <c r="J800" s="5" t="inlineStr">
        <is>
          <t>printed label</t>
        </is>
      </c>
      <c r="K800" s="5" t="inlineStr">
        <is>
          <t>LG-40x15</t>
        </is>
      </c>
      <c r="L800" s="5" t="n">
        <v>1246</v>
      </c>
      <c r="M800" s="5" t="n">
        <v>40</v>
      </c>
      <c r="N800" s="10">
        <f>IF(AND(ISNUMBER(L800),M800&gt;0),L800/M800,"")</f>
        <v/>
      </c>
      <c r="O800" s="5" t="n">
        <v>4.982</v>
      </c>
      <c r="P800" s="5" t="n">
        <v>75.09999999999999</v>
      </c>
      <c r="Q800" s="5" t="n">
        <v>3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0</v>
      </c>
      <c r="W800" s="5" t="n">
        <v>4</v>
      </c>
      <c r="X800" s="5" t="n">
        <v>5</v>
      </c>
      <c r="Y800" s="5" t="n">
        <v>7.06</v>
      </c>
      <c r="Z800" s="5" t="inlineStr"/>
      <c r="AA800" s="5" t="n">
        <v>1033.5</v>
      </c>
      <c r="AB800" s="5" t="n">
        <v>1803.5</v>
      </c>
      <c r="AC800" s="5" t="n">
        <v>1139.3</v>
      </c>
      <c r="AD800" s="5" t="n">
        <v>2162</v>
      </c>
      <c r="AE800" s="5" t="inlineStr"/>
      <c r="AF800" s="5">
        <f>IF(AE800="","",IF(OR(AE800=F800,AND(AE800="crane_footing",F800="isolated_footing")),"yes","no"))</f>
        <v/>
      </c>
    </row>
    <row r="801">
      <c r="A801" s="5" t="n">
        <v>800</v>
      </c>
      <c r="B801" s="5" t="inlineStr">
        <is>
          <t>129</t>
        </is>
      </c>
      <c r="C801" s="5" t="inlineStr">
        <is>
          <t>region between joints</t>
        </is>
      </c>
      <c r="D801" s="5" t="inlineStr">
        <is>
          <t>band</t>
        </is>
      </c>
      <c r="E801" s="5" t="n">
        <v>3</v>
      </c>
      <c r="F801" s="5" t="inlineStr">
        <is>
          <t>grade_beam</t>
        </is>
      </c>
      <c r="G801" s="5" t="inlineStr">
        <is>
          <t>Grade beam LG40x15 4.56 × 0.40 m</t>
        </is>
      </c>
      <c r="H801" s="5" t="inlineStr">
        <is>
          <t>label vote</t>
        </is>
      </c>
      <c r="I801" s="5" t="inlineStr">
        <is>
          <t>LG40x15</t>
        </is>
      </c>
      <c r="J801" s="5" t="inlineStr">
        <is>
          <t>printed label</t>
        </is>
      </c>
      <c r="K801" s="5" t="inlineStr">
        <is>
          <t>LG-40x15</t>
        </is>
      </c>
      <c r="L801" s="5" t="n">
        <v>456</v>
      </c>
      <c r="M801" s="5" t="n">
        <v>40</v>
      </c>
      <c r="N801" s="10">
        <f>IF(AND(ISNUMBER(L801),M801&gt;0),L801/M801,"")</f>
        <v/>
      </c>
      <c r="O801" s="5" t="n">
        <v>1.822</v>
      </c>
      <c r="P801" s="5" t="n">
        <v>165.3</v>
      </c>
      <c r="Q801" s="5" t="n">
        <v>2</v>
      </c>
      <c r="R801" s="5" t="n">
        <v>0</v>
      </c>
      <c r="S801" s="5" t="n">
        <v>0</v>
      </c>
      <c r="T801" s="5" t="n">
        <v>0</v>
      </c>
      <c r="U801" s="5" t="n">
        <v>0</v>
      </c>
      <c r="V801" s="5" t="n">
        <v>1</v>
      </c>
      <c r="W801" s="5" t="n">
        <v>3</v>
      </c>
      <c r="X801" s="5" t="n">
        <v>4</v>
      </c>
      <c r="Y801" s="5" t="n">
        <v>2.79</v>
      </c>
      <c r="Z801" s="5" t="inlineStr"/>
      <c r="AA801" s="5" t="n">
        <v>1297.9</v>
      </c>
      <c r="AB801" s="5" t="n">
        <v>1785.3</v>
      </c>
      <c r="AC801" s="5" t="n">
        <v>1431</v>
      </c>
      <c r="AD801" s="5" t="n">
        <v>1830.8</v>
      </c>
      <c r="AE801" s="5" t="inlineStr"/>
      <c r="AF801" s="5">
        <f>IF(AE801="","",IF(OR(AE801=F801,AND(AE801="crane_footing",F801="isolated_footing")),"yes","no"))</f>
        <v/>
      </c>
    </row>
    <row r="802">
      <c r="A802" s="5" t="n">
        <v>801</v>
      </c>
      <c r="B802" s="5" t="inlineStr">
        <is>
          <t>129</t>
        </is>
      </c>
      <c r="C802" s="5" t="inlineStr">
        <is>
          <t>region between joints</t>
        </is>
      </c>
      <c r="D802" s="5" t="inlineStr">
        <is>
          <t>stamped_region</t>
        </is>
      </c>
      <c r="E802" s="5" t="n">
        <v>39</v>
      </c>
      <c r="F802" s="5" t="inlineStr">
        <is>
          <t>raft</t>
        </is>
      </c>
      <c r="G802" s="5" t="inlineStr">
        <is>
          <t>Raft Radier 100 18.65 × 6.93 m, 106.8 m²</t>
        </is>
      </c>
      <c r="H802" s="5" t="inlineStr">
        <is>
          <t>label vote</t>
        </is>
      </c>
      <c r="I802" s="5" t="inlineStr">
        <is>
          <t>Radier 100</t>
        </is>
      </c>
      <c r="J802" s="5" t="inlineStr">
        <is>
          <t>printed label</t>
        </is>
      </c>
      <c r="K802" s="5" t="inlineStr">
        <is>
          <t>Radier</t>
        </is>
      </c>
      <c r="L802" s="5" t="n">
        <v>1865</v>
      </c>
      <c r="M802" s="5" t="n">
        <v>693</v>
      </c>
      <c r="N802" s="10">
        <f>IF(AND(ISNUMBER(L802),M802&gt;0),L802/M802,"")</f>
        <v/>
      </c>
      <c r="O802" s="5" t="n">
        <v>106.827</v>
      </c>
      <c r="P802" s="5" t="n">
        <v>165.2</v>
      </c>
      <c r="Q802" s="5" t="n">
        <v>13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11</v>
      </c>
      <c r="W802" s="5" t="n">
        <v>173</v>
      </c>
      <c r="X802" s="5" t="n">
        <v>21</v>
      </c>
      <c r="Y802" s="5" t="n"/>
      <c r="Z802" s="5" t="inlineStr">
        <is>
          <t>traced outline</t>
        </is>
      </c>
      <c r="AA802" s="5" t="n">
        <v>641.5</v>
      </c>
      <c r="AB802" s="5" t="n">
        <v>2119.2</v>
      </c>
      <c r="AC802" s="5" t="n">
        <v>1201.7</v>
      </c>
      <c r="AD802" s="5" t="n">
        <v>2436.6</v>
      </c>
      <c r="AE802" s="5" t="inlineStr"/>
      <c r="AF802" s="5">
        <f>IF(AE802="","",IF(OR(AE802=F802,AND(AE802="crane_footing",F802="isolated_footing")),"yes","no"))</f>
        <v/>
      </c>
    </row>
    <row r="803">
      <c r="A803" s="5" t="n">
        <v>802</v>
      </c>
      <c r="B803" s="5" t="inlineStr">
        <is>
          <t>129</t>
        </is>
      </c>
      <c r="C803" s="5" t="inlineStr">
        <is>
          <t>region between joints</t>
        </is>
      </c>
      <c r="D803" s="5" t="inlineStr">
        <is>
          <t>single_hatch</t>
        </is>
      </c>
      <c r="E803" s="5" t="n">
        <v>24</v>
      </c>
      <c r="F803" s="5" t="inlineStr">
        <is>
          <t>unidentified</t>
        </is>
      </c>
      <c r="G803" s="5" t="inlineStr">
        <is>
          <t>C24</t>
        </is>
      </c>
      <c r="H803" s="5" t="inlineStr">
        <is>
          <t>no label votes</t>
        </is>
      </c>
      <c r="I803" s="5" t="inlineStr">
        <is>
          <t>(none)</t>
        </is>
      </c>
      <c r="J803" s="5" t="inlineStr"/>
      <c r="K803" s="5" t="inlineStr"/>
      <c r="L803" s="5" t="n">
        <v>59</v>
      </c>
      <c r="M803" s="5" t="n">
        <v>19</v>
      </c>
      <c r="N803" s="10">
        <f>IF(AND(ISNUMBER(L803),M803&gt;0),L803/M803,"")</f>
        <v/>
      </c>
      <c r="O803" s="5" t="n">
        <v>0.07099999999999999</v>
      </c>
      <c r="P803" s="5" t="n">
        <v>26.7</v>
      </c>
      <c r="Q803" s="5" t="n">
        <v>1</v>
      </c>
      <c r="R803" s="5" t="n">
        <v>0</v>
      </c>
      <c r="S803" s="5" t="n">
        <v>0</v>
      </c>
      <c r="T803" s="5" t="n">
        <v>1</v>
      </c>
      <c r="U803" s="5" t="n">
        <v>0</v>
      </c>
      <c r="V803" s="5" t="n">
        <v>0</v>
      </c>
      <c r="W803" s="5" t="n">
        <v>0</v>
      </c>
      <c r="X803" s="5" t="n">
        <v>0</v>
      </c>
      <c r="Y803" s="5" t="n"/>
      <c r="Z803" s="5" t="inlineStr"/>
      <c r="AA803" s="5" t="n">
        <v>737.3</v>
      </c>
      <c r="AB803" s="5" t="n">
        <v>2262.4</v>
      </c>
      <c r="AC803" s="5" t="n">
        <v>755.3</v>
      </c>
      <c r="AD803" s="5" t="n">
        <v>2269.5</v>
      </c>
      <c r="AE803" s="5" t="inlineStr"/>
      <c r="AF803" s="5">
        <f>IF(AE803="","",IF(OR(AE803=F803,AND(AE803="crane_footing",F803="isolated_footing")),"yes","no"))</f>
        <v/>
      </c>
    </row>
    <row r="804">
      <c r="A804" s="5" t="n">
        <v>803</v>
      </c>
      <c r="B804" s="5" t="inlineStr">
        <is>
          <t>129</t>
        </is>
      </c>
      <c r="C804" s="5" t="inlineStr">
        <is>
          <t>region between joints</t>
        </is>
      </c>
      <c r="D804" s="5" t="inlineStr">
        <is>
          <t>single_hatch</t>
        </is>
      </c>
      <c r="E804" s="5" t="n">
        <v>24</v>
      </c>
      <c r="F804" s="5" t="inlineStr">
        <is>
          <t>unidentified</t>
        </is>
      </c>
      <c r="G804" s="5" t="inlineStr">
        <is>
          <t>C24</t>
        </is>
      </c>
      <c r="H804" s="5" t="inlineStr">
        <is>
          <t>no label votes</t>
        </is>
      </c>
      <c r="I804" s="5" t="inlineStr">
        <is>
          <t>(none)</t>
        </is>
      </c>
      <c r="J804" s="5" t="inlineStr"/>
      <c r="K804" s="5" t="inlineStr"/>
      <c r="L804" s="5" t="n">
        <v>127</v>
      </c>
      <c r="M804" s="5" t="n">
        <v>62</v>
      </c>
      <c r="N804" s="10">
        <f>IF(AND(ISNUMBER(L804),M804&gt;0),L804/M804,"")</f>
        <v/>
      </c>
      <c r="O804" s="5" t="n">
        <v>0.089</v>
      </c>
      <c r="P804" s="5" t="n">
        <v>21.8</v>
      </c>
      <c r="Q804" s="5" t="n">
        <v>2</v>
      </c>
      <c r="R804" s="5" t="n">
        <v>0</v>
      </c>
      <c r="S804" s="5" t="n">
        <v>0</v>
      </c>
      <c r="T804" s="5" t="n">
        <v>1</v>
      </c>
      <c r="U804" s="5" t="n">
        <v>0</v>
      </c>
      <c r="V804" s="5" t="n">
        <v>0</v>
      </c>
      <c r="W804" s="5" t="n">
        <v>0</v>
      </c>
      <c r="X804" s="5" t="n">
        <v>0</v>
      </c>
      <c r="Y804" s="5" t="n"/>
      <c r="Z804" s="5" t="inlineStr"/>
      <c r="AA804" s="5" t="n">
        <v>843.3</v>
      </c>
      <c r="AB804" s="5" t="n">
        <v>2339.2</v>
      </c>
      <c r="AC804" s="5" t="n">
        <v>877.4</v>
      </c>
      <c r="AD804" s="5" t="n">
        <v>2362.9</v>
      </c>
      <c r="AE804" s="5" t="inlineStr"/>
      <c r="AF804" s="5">
        <f>IF(AE804="","",IF(OR(AE804=F804,AND(AE804="crane_footing",F804="isolated_footing")),"yes","no"))</f>
        <v/>
      </c>
    </row>
    <row r="805">
      <c r="A805" s="5" t="n">
        <v>804</v>
      </c>
      <c r="B805" s="5" t="inlineStr">
        <is>
          <t>129</t>
        </is>
      </c>
      <c r="C805" s="5" t="inlineStr">
        <is>
          <t>region between joints</t>
        </is>
      </c>
      <c r="D805" s="5" t="inlineStr">
        <is>
          <t>band</t>
        </is>
      </c>
      <c r="E805" s="5" t="n">
        <v>2</v>
      </c>
      <c r="F805" s="5" t="inlineStr">
        <is>
          <t>unidentified</t>
        </is>
      </c>
      <c r="G805" s="5" t="inlineStr">
        <is>
          <t>C2</t>
        </is>
      </c>
      <c r="H805" s="5" t="inlineStr">
        <is>
          <t>no label votes</t>
        </is>
      </c>
      <c r="I805" s="5" t="inlineStr">
        <is>
          <t>(none)</t>
        </is>
      </c>
      <c r="J805" s="5" t="inlineStr"/>
      <c r="K805" s="5" t="inlineStr"/>
      <c r="L805" s="5" t="n">
        <v>239</v>
      </c>
      <c r="M805" s="5" t="n">
        <v>32</v>
      </c>
      <c r="N805" s="10">
        <f>IF(AND(ISNUMBER(L805),M805&gt;0),L805/M805,"")</f>
        <v/>
      </c>
      <c r="O805" s="5" t="n">
        <v>0.76</v>
      </c>
      <c r="P805" s="5" t="n">
        <v>101.7</v>
      </c>
      <c r="Q805" s="5" t="n">
        <v>1</v>
      </c>
      <c r="R805" s="5" t="n">
        <v>1</v>
      </c>
      <c r="S805" s="5" t="n">
        <v>0</v>
      </c>
      <c r="T805" s="5" t="n">
        <v>0</v>
      </c>
      <c r="U805" s="5" t="n">
        <v>0</v>
      </c>
      <c r="V805" s="5" t="n">
        <v>0</v>
      </c>
      <c r="W805" s="5" t="n">
        <v>0</v>
      </c>
      <c r="X805" s="5" t="n">
        <v>6</v>
      </c>
      <c r="Y805" s="5" t="n">
        <v>0</v>
      </c>
      <c r="Z805" s="5" t="inlineStr"/>
      <c r="AA805" s="5" t="n">
        <v>1156.4</v>
      </c>
      <c r="AB805" s="5" t="n">
        <v>2398.6</v>
      </c>
      <c r="AC805" s="5" t="n">
        <v>1179.9</v>
      </c>
      <c r="AD805" s="5" t="n">
        <v>2469.6</v>
      </c>
      <c r="AE805" s="5" t="inlineStr"/>
      <c r="AF805" s="5">
        <f>IF(AE805="","",IF(OR(AE805=F805,AND(AE805="crane_footing",F805="isolated_footing")),"yes","no"))</f>
        <v/>
      </c>
    </row>
    <row r="806">
      <c r="A806" s="5" t="n">
        <v>805</v>
      </c>
      <c r="B806" s="5" t="inlineStr">
        <is>
          <t>129</t>
        </is>
      </c>
      <c r="C806" s="5" t="inlineStr">
        <is>
          <t>region between joints</t>
        </is>
      </c>
      <c r="D806" s="5" t="inlineStr">
        <is>
          <t>band</t>
        </is>
      </c>
      <c r="E806" s="5" t="n">
        <v>2</v>
      </c>
      <c r="F806" s="5" t="inlineStr">
        <is>
          <t>unidentified</t>
        </is>
      </c>
      <c r="G806" s="5" t="inlineStr">
        <is>
          <t>C2</t>
        </is>
      </c>
      <c r="H806" s="5" t="inlineStr">
        <is>
          <t>no label votes</t>
        </is>
      </c>
      <c r="I806" s="5" t="inlineStr">
        <is>
          <t>(none)</t>
        </is>
      </c>
      <c r="J806" s="5" t="inlineStr"/>
      <c r="K806" s="5" t="inlineStr"/>
      <c r="L806" s="5" t="n">
        <v>239</v>
      </c>
      <c r="M806" s="5" t="n">
        <v>32</v>
      </c>
      <c r="N806" s="10">
        <f>IF(AND(ISNUMBER(L806),M806&gt;0),L806/M806,"")</f>
        <v/>
      </c>
      <c r="O806" s="5" t="n">
        <v>0.76</v>
      </c>
      <c r="P806" s="5" t="n">
        <v>101.6</v>
      </c>
      <c r="Q806" s="5" t="n">
        <v>1</v>
      </c>
      <c r="R806" s="5" t="n">
        <v>1</v>
      </c>
      <c r="S806" s="5" t="n">
        <v>0</v>
      </c>
      <c r="T806" s="5" t="n">
        <v>0</v>
      </c>
      <c r="U806" s="5" t="n">
        <v>0</v>
      </c>
      <c r="V806" s="5" t="n">
        <v>0</v>
      </c>
      <c r="W806" s="5" t="n">
        <v>1</v>
      </c>
      <c r="X806" s="5" t="n">
        <v>6</v>
      </c>
      <c r="Y806" s="5" t="n">
        <v>0</v>
      </c>
      <c r="Z806" s="5" t="inlineStr"/>
      <c r="AA806" s="5" t="n">
        <v>1167.9</v>
      </c>
      <c r="AB806" s="5" t="n">
        <v>2389.3</v>
      </c>
      <c r="AC806" s="5" t="n">
        <v>1191.3</v>
      </c>
      <c r="AD806" s="5" t="n">
        <v>2460.3</v>
      </c>
      <c r="AE806" s="5" t="inlineStr"/>
      <c r="AF806" s="5">
        <f>IF(AE806="","",IF(OR(AE806=F806,AND(AE806="crane_footing",F806="isolated_footing")),"yes","no"))</f>
        <v/>
      </c>
    </row>
    <row r="807">
      <c r="A807" s="5" t="n">
        <v>806</v>
      </c>
      <c r="B807" s="5" t="inlineStr">
        <is>
          <t>129</t>
        </is>
      </c>
      <c r="C807" s="5" t="inlineStr">
        <is>
          <t>region between joints</t>
        </is>
      </c>
      <c r="D807" s="5" t="inlineStr">
        <is>
          <t>band</t>
        </is>
      </c>
      <c r="E807" s="5" t="n">
        <v>2</v>
      </c>
      <c r="F807" s="5" t="inlineStr">
        <is>
          <t>unidentified</t>
        </is>
      </c>
      <c r="G807" s="5" t="inlineStr">
        <is>
          <t>C2</t>
        </is>
      </c>
      <c r="H807" s="5" t="inlineStr">
        <is>
          <t>no label votes</t>
        </is>
      </c>
      <c r="I807" s="5" t="inlineStr">
        <is>
          <t>(none)</t>
        </is>
      </c>
      <c r="J807" s="5" t="inlineStr"/>
      <c r="K807" s="5" t="inlineStr"/>
      <c r="L807" s="5" t="n">
        <v>239</v>
      </c>
      <c r="M807" s="5" t="n">
        <v>32</v>
      </c>
      <c r="N807" s="10">
        <f>IF(AND(ISNUMBER(L807),M807&gt;0),L807/M807,"")</f>
        <v/>
      </c>
      <c r="O807" s="5" t="n">
        <v>0.759</v>
      </c>
      <c r="P807" s="5" t="n">
        <v>101.6</v>
      </c>
      <c r="Q807" s="5" t="n">
        <v>1</v>
      </c>
      <c r="R807" s="5" t="n">
        <v>1</v>
      </c>
      <c r="S807" s="5" t="n">
        <v>0</v>
      </c>
      <c r="T807" s="5" t="n">
        <v>0</v>
      </c>
      <c r="U807" s="5" t="n">
        <v>0</v>
      </c>
      <c r="V807" s="5" t="n">
        <v>0</v>
      </c>
      <c r="W807" s="5" t="n">
        <v>0</v>
      </c>
      <c r="X807" s="5" t="n">
        <v>6</v>
      </c>
      <c r="Y807" s="5" t="n">
        <v>0.93</v>
      </c>
      <c r="Z807" s="5" t="inlineStr"/>
      <c r="AA807" s="5" t="n">
        <v>1122</v>
      </c>
      <c r="AB807" s="5" t="n">
        <v>2426.6</v>
      </c>
      <c r="AC807" s="5" t="n">
        <v>1145.4</v>
      </c>
      <c r="AD807" s="5" t="n">
        <v>2497.6</v>
      </c>
      <c r="AE807" s="5" t="inlineStr"/>
      <c r="AF807" s="5">
        <f>IF(AE807="","",IF(OR(AE807=F807,AND(AE807="crane_footing",F807="isolated_footing")),"yes","no"))</f>
        <v/>
      </c>
    </row>
    <row r="808">
      <c r="A808" s="5" t="n">
        <v>807</v>
      </c>
      <c r="B808" s="5" t="inlineStr">
        <is>
          <t>129</t>
        </is>
      </c>
      <c r="C808" s="5" t="inlineStr">
        <is>
          <t>region between joints</t>
        </is>
      </c>
      <c r="D808" s="5" t="inlineStr">
        <is>
          <t>band</t>
        </is>
      </c>
      <c r="E808" s="5" t="n">
        <v>2</v>
      </c>
      <c r="F808" s="5" t="inlineStr">
        <is>
          <t>unidentified</t>
        </is>
      </c>
      <c r="G808" s="5" t="inlineStr">
        <is>
          <t>C2</t>
        </is>
      </c>
      <c r="H808" s="5" t="inlineStr">
        <is>
          <t>no label votes</t>
        </is>
      </c>
      <c r="I808" s="5" t="inlineStr">
        <is>
          <t>(none)</t>
        </is>
      </c>
      <c r="J808" s="5" t="inlineStr"/>
      <c r="K808" s="5" t="inlineStr"/>
      <c r="L808" s="5" t="n">
        <v>239</v>
      </c>
      <c r="M808" s="5" t="n">
        <v>32</v>
      </c>
      <c r="N808" s="10">
        <f>IF(AND(ISNUMBER(L808),M808&gt;0),L808/M808,"")</f>
        <v/>
      </c>
      <c r="O808" s="5" t="n">
        <v>0.759</v>
      </c>
      <c r="P808" s="5" t="n">
        <v>101.7</v>
      </c>
      <c r="Q808" s="5" t="n">
        <v>1</v>
      </c>
      <c r="R808" s="5" t="n">
        <v>1</v>
      </c>
      <c r="S808" s="5" t="n">
        <v>0</v>
      </c>
      <c r="T808" s="5" t="n">
        <v>0</v>
      </c>
      <c r="U808" s="5" t="n">
        <v>0</v>
      </c>
      <c r="V808" s="5" t="n">
        <v>0</v>
      </c>
      <c r="W808" s="5" t="n">
        <v>0</v>
      </c>
      <c r="X808" s="5" t="n">
        <v>6</v>
      </c>
      <c r="Y808" s="5" t="n">
        <v>0.28</v>
      </c>
      <c r="Z808" s="5" t="inlineStr"/>
      <c r="AA808" s="5" t="n">
        <v>1133.4</v>
      </c>
      <c r="AB808" s="5" t="n">
        <v>2417.3</v>
      </c>
      <c r="AC808" s="5" t="n">
        <v>1156.9</v>
      </c>
      <c r="AD808" s="5" t="n">
        <v>2488.2</v>
      </c>
      <c r="AE808" s="5" t="inlineStr"/>
      <c r="AF808" s="5">
        <f>IF(AE808="","",IF(OR(AE808=F808,AND(AE808="crane_footing",F808="isolated_footing")),"yes","no"))</f>
        <v/>
      </c>
    </row>
    <row r="809">
      <c r="A809" s="5" t="n">
        <v>808</v>
      </c>
      <c r="B809" s="5" t="inlineStr">
        <is>
          <t>129</t>
        </is>
      </c>
      <c r="C809" s="5" t="inlineStr">
        <is>
          <t>region between joints</t>
        </is>
      </c>
      <c r="D809" s="5" t="inlineStr">
        <is>
          <t>band</t>
        </is>
      </c>
      <c r="E809" s="5" t="n">
        <v>2</v>
      </c>
      <c r="F809" s="5" t="inlineStr">
        <is>
          <t>unidentified</t>
        </is>
      </c>
      <c r="G809" s="5" t="inlineStr">
        <is>
          <t>C2</t>
        </is>
      </c>
      <c r="H809" s="5" t="inlineStr">
        <is>
          <t>no label votes</t>
        </is>
      </c>
      <c r="I809" s="5" t="inlineStr">
        <is>
          <t>(none)</t>
        </is>
      </c>
      <c r="J809" s="5" t="inlineStr"/>
      <c r="K809" s="5" t="inlineStr"/>
      <c r="L809" s="5" t="n">
        <v>239</v>
      </c>
      <c r="M809" s="5" t="n">
        <v>32</v>
      </c>
      <c r="N809" s="10">
        <f>IF(AND(ISNUMBER(L809),M809&gt;0),L809/M809,"")</f>
        <v/>
      </c>
      <c r="O809" s="5" t="n">
        <v>0.759</v>
      </c>
      <c r="P809" s="5" t="n">
        <v>101.7</v>
      </c>
      <c r="Q809" s="5" t="n">
        <v>1</v>
      </c>
      <c r="R809" s="5" t="n">
        <v>1</v>
      </c>
      <c r="S809" s="5" t="n">
        <v>0</v>
      </c>
      <c r="T809" s="5" t="n">
        <v>0</v>
      </c>
      <c r="U809" s="5" t="n">
        <v>0</v>
      </c>
      <c r="V809" s="5" t="n">
        <v>0</v>
      </c>
      <c r="W809" s="5" t="n">
        <v>0</v>
      </c>
      <c r="X809" s="5" t="n">
        <v>7</v>
      </c>
      <c r="Y809" s="5" t="n">
        <v>0</v>
      </c>
      <c r="Z809" s="5" t="inlineStr"/>
      <c r="AA809" s="5" t="n">
        <v>1144.9</v>
      </c>
      <c r="AB809" s="5" t="n">
        <v>2408</v>
      </c>
      <c r="AC809" s="5" t="n">
        <v>1168.4</v>
      </c>
      <c r="AD809" s="5" t="n">
        <v>2478.9</v>
      </c>
      <c r="AE809" s="5" t="inlineStr"/>
      <c r="AF809" s="5">
        <f>IF(AE809="","",IF(OR(AE809=F809,AND(AE809="crane_footing",F809="isolated_footing")),"yes","no"))</f>
        <v/>
      </c>
    </row>
    <row r="810">
      <c r="A810" s="5" t="n">
        <v>809</v>
      </c>
      <c r="B810" s="5" t="inlineStr">
        <is>
          <t>129</t>
        </is>
      </c>
      <c r="C810" s="5" t="inlineStr">
        <is>
          <t>region between joints</t>
        </is>
      </c>
      <c r="D810" s="5" t="inlineStr">
        <is>
          <t>band</t>
        </is>
      </c>
      <c r="E810" s="5" t="n">
        <v>2</v>
      </c>
      <c r="F810" s="5" t="inlineStr">
        <is>
          <t>unidentified</t>
        </is>
      </c>
      <c r="G810" s="5" t="inlineStr">
        <is>
          <t>C2</t>
        </is>
      </c>
      <c r="H810" s="5" t="inlineStr">
        <is>
          <t>no label votes</t>
        </is>
      </c>
      <c r="I810" s="5" t="inlineStr">
        <is>
          <t>(none)</t>
        </is>
      </c>
      <c r="J810" s="5" t="inlineStr"/>
      <c r="K810" s="5" t="inlineStr"/>
      <c r="L810" s="5" t="n">
        <v>239</v>
      </c>
      <c r="M810" s="5" t="n">
        <v>32</v>
      </c>
      <c r="N810" s="10">
        <f>IF(AND(ISNUMBER(L810),M810&gt;0),L810/M810,"")</f>
        <v/>
      </c>
      <c r="O810" s="5" t="n">
        <v>0.759</v>
      </c>
      <c r="P810" s="5" t="n">
        <v>101.6</v>
      </c>
      <c r="Q810" s="5" t="n">
        <v>1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0</v>
      </c>
      <c r="W810" s="5" t="n">
        <v>0</v>
      </c>
      <c r="X810" s="5" t="n">
        <v>6</v>
      </c>
      <c r="Y810" s="5" t="n">
        <v>2.39</v>
      </c>
      <c r="Z810" s="5" t="inlineStr"/>
      <c r="AA810" s="5" t="n">
        <v>1087.5</v>
      </c>
      <c r="AB810" s="5" t="n">
        <v>2454.6</v>
      </c>
      <c r="AC810" s="5" t="n">
        <v>1110.9</v>
      </c>
      <c r="AD810" s="5" t="n">
        <v>2525.5</v>
      </c>
      <c r="AE810" s="5" t="inlineStr"/>
      <c r="AF810" s="5">
        <f>IF(AE810="","",IF(OR(AE810=F810,AND(AE810="crane_footing",F810="isolated_footing")),"yes","no"))</f>
        <v/>
      </c>
    </row>
    <row r="811">
      <c r="A811" s="5" t="n">
        <v>810</v>
      </c>
      <c r="B811" s="5" t="inlineStr">
        <is>
          <t>129</t>
        </is>
      </c>
      <c r="C811" s="5" t="inlineStr">
        <is>
          <t>region between joints</t>
        </is>
      </c>
      <c r="D811" s="5" t="inlineStr">
        <is>
          <t>band</t>
        </is>
      </c>
      <c r="E811" s="5" t="n">
        <v>2</v>
      </c>
      <c r="F811" s="5" t="inlineStr">
        <is>
          <t>unidentified</t>
        </is>
      </c>
      <c r="G811" s="5" t="inlineStr">
        <is>
          <t>C2</t>
        </is>
      </c>
      <c r="H811" s="5" t="inlineStr">
        <is>
          <t>no label votes</t>
        </is>
      </c>
      <c r="I811" s="5" t="inlineStr">
        <is>
          <t>(none)</t>
        </is>
      </c>
      <c r="J811" s="5" t="inlineStr"/>
      <c r="K811" s="5" t="inlineStr"/>
      <c r="L811" s="5" t="n">
        <v>239</v>
      </c>
      <c r="M811" s="5" t="n">
        <v>32</v>
      </c>
      <c r="N811" s="10">
        <f>IF(AND(ISNUMBER(L811),M811&gt;0),L811/M811,"")</f>
        <v/>
      </c>
      <c r="O811" s="5" t="n">
        <v>0.759</v>
      </c>
      <c r="P811" s="5" t="n">
        <v>101.6</v>
      </c>
      <c r="Q811" s="5" t="n">
        <v>1</v>
      </c>
      <c r="R811" s="5" t="n">
        <v>0</v>
      </c>
      <c r="S811" s="5" t="n">
        <v>0</v>
      </c>
      <c r="T811" s="5" t="n">
        <v>0</v>
      </c>
      <c r="U811" s="5" t="n">
        <v>0</v>
      </c>
      <c r="V811" s="5" t="n">
        <v>0</v>
      </c>
      <c r="W811" s="5" t="n">
        <v>1</v>
      </c>
      <c r="X811" s="5" t="n">
        <v>6</v>
      </c>
      <c r="Y811" s="5" t="n">
        <v>2.22</v>
      </c>
      <c r="Z811" s="5" t="inlineStr"/>
      <c r="AA811" s="5" t="n">
        <v>1099</v>
      </c>
      <c r="AB811" s="5" t="n">
        <v>2445.3</v>
      </c>
      <c r="AC811" s="5" t="n">
        <v>1122.4</v>
      </c>
      <c r="AD811" s="5" t="n">
        <v>2516.2</v>
      </c>
      <c r="AE811" s="5" t="inlineStr"/>
      <c r="AF811" s="5">
        <f>IF(AE811="","",IF(OR(AE811=F811,AND(AE811="crane_footing",F811="isolated_footing")),"yes","no"))</f>
        <v/>
      </c>
    </row>
    <row r="812">
      <c r="A812" s="5" t="n">
        <v>811</v>
      </c>
      <c r="B812" s="5" t="inlineStr">
        <is>
          <t>129</t>
        </is>
      </c>
      <c r="C812" s="5" t="inlineStr">
        <is>
          <t>region between joints</t>
        </is>
      </c>
      <c r="D812" s="5" t="inlineStr">
        <is>
          <t>band</t>
        </is>
      </c>
      <c r="E812" s="5" t="n">
        <v>2</v>
      </c>
      <c r="F812" s="5" t="inlineStr">
        <is>
          <t>unidentified</t>
        </is>
      </c>
      <c r="G812" s="5" t="inlineStr">
        <is>
          <t>C2</t>
        </is>
      </c>
      <c r="H812" s="5" t="inlineStr">
        <is>
          <t>no label votes</t>
        </is>
      </c>
      <c r="I812" s="5" t="inlineStr">
        <is>
          <t>(none)</t>
        </is>
      </c>
      <c r="J812" s="5" t="inlineStr"/>
      <c r="K812" s="5" t="inlineStr"/>
      <c r="L812" s="5" t="n">
        <v>239</v>
      </c>
      <c r="M812" s="5" t="n">
        <v>32</v>
      </c>
      <c r="N812" s="10">
        <f>IF(AND(ISNUMBER(L812),M812&gt;0),L812/M812,"")</f>
        <v/>
      </c>
      <c r="O812" s="5" t="n">
        <v>0.759</v>
      </c>
      <c r="P812" s="5" t="n">
        <v>101.6</v>
      </c>
      <c r="Q812" s="5" t="n">
        <v>1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0</v>
      </c>
      <c r="W812" s="5" t="n">
        <v>0</v>
      </c>
      <c r="X812" s="5" t="n">
        <v>6</v>
      </c>
      <c r="Y812" s="5" t="n">
        <v>1.58</v>
      </c>
      <c r="Z812" s="5" t="inlineStr"/>
      <c r="AA812" s="5" t="n">
        <v>1110.5</v>
      </c>
      <c r="AB812" s="5" t="n">
        <v>2436</v>
      </c>
      <c r="AC812" s="5" t="n">
        <v>1133.9</v>
      </c>
      <c r="AD812" s="5" t="n">
        <v>2506.9</v>
      </c>
      <c r="AE812" s="5" t="inlineStr"/>
      <c r="AF812" s="5">
        <f>IF(AE812="","",IF(OR(AE812=F812,AND(AE812="crane_footing",F812="isolated_footing")),"yes","no"))</f>
        <v/>
      </c>
    </row>
    <row r="813">
      <c r="A813" s="5" t="n">
        <v>812</v>
      </c>
      <c r="B813" s="5" t="inlineStr">
        <is>
          <t>129</t>
        </is>
      </c>
      <c r="C813" s="5" t="inlineStr">
        <is>
          <t>region between joints</t>
        </is>
      </c>
      <c r="D813" s="5" t="inlineStr">
        <is>
          <t>band</t>
        </is>
      </c>
      <c r="E813" s="5" t="n">
        <v>2</v>
      </c>
      <c r="F813" s="5" t="inlineStr">
        <is>
          <t>unidentified</t>
        </is>
      </c>
      <c r="G813" s="5" t="inlineStr">
        <is>
          <t>C2</t>
        </is>
      </c>
      <c r="H813" s="5" t="inlineStr">
        <is>
          <t>no label votes</t>
        </is>
      </c>
      <c r="I813" s="5" t="inlineStr">
        <is>
          <t>(none)</t>
        </is>
      </c>
      <c r="J813" s="5" t="inlineStr"/>
      <c r="K813" s="5" t="inlineStr"/>
      <c r="L813" s="5" t="n">
        <v>238</v>
      </c>
      <c r="M813" s="5" t="n">
        <v>32</v>
      </c>
      <c r="N813" s="10">
        <f>IF(AND(ISNUMBER(L813),M813&gt;0),L813/M813,"")</f>
        <v/>
      </c>
      <c r="O813" s="5" t="n">
        <v>0.758</v>
      </c>
      <c r="P813" s="5" t="n">
        <v>101.6</v>
      </c>
      <c r="Q813" s="5" t="n">
        <v>1</v>
      </c>
      <c r="R813" s="5" t="n">
        <v>1</v>
      </c>
      <c r="S813" s="5" t="n">
        <v>0</v>
      </c>
      <c r="T813" s="5" t="n">
        <v>0</v>
      </c>
      <c r="U813" s="5" t="n">
        <v>0</v>
      </c>
      <c r="V813" s="5" t="n">
        <v>0</v>
      </c>
      <c r="W813" s="5" t="n">
        <v>1</v>
      </c>
      <c r="X813" s="5" t="n">
        <v>6</v>
      </c>
      <c r="Y813" s="5" t="n">
        <v>0.98</v>
      </c>
      <c r="Z813" s="5" t="inlineStr"/>
      <c r="AA813" s="5" t="n">
        <v>1053</v>
      </c>
      <c r="AB813" s="5" t="n">
        <v>2482.6</v>
      </c>
      <c r="AC813" s="5" t="n">
        <v>1076.4</v>
      </c>
      <c r="AD813" s="5" t="n">
        <v>2553.4</v>
      </c>
      <c r="AE813" s="5" t="inlineStr"/>
      <c r="AF813" s="5">
        <f>IF(AE813="","",IF(OR(AE813=F813,AND(AE813="crane_footing",F813="isolated_footing")),"yes","no"))</f>
        <v/>
      </c>
    </row>
    <row r="814">
      <c r="A814" s="5" t="n">
        <v>813</v>
      </c>
      <c r="B814" s="5" t="inlineStr">
        <is>
          <t>129</t>
        </is>
      </c>
      <c r="C814" s="5" t="inlineStr">
        <is>
          <t>region between joints</t>
        </is>
      </c>
      <c r="D814" s="5" t="inlineStr">
        <is>
          <t>band</t>
        </is>
      </c>
      <c r="E814" s="5" t="n">
        <v>2</v>
      </c>
      <c r="F814" s="5" t="inlineStr">
        <is>
          <t>unidentified</t>
        </is>
      </c>
      <c r="G814" s="5" t="inlineStr">
        <is>
          <t>C2</t>
        </is>
      </c>
      <c r="H814" s="5" t="inlineStr">
        <is>
          <t>no label votes</t>
        </is>
      </c>
      <c r="I814" s="5" t="inlineStr">
        <is>
          <t>(none)</t>
        </is>
      </c>
      <c r="J814" s="5" t="inlineStr"/>
      <c r="K814" s="5" t="inlineStr"/>
      <c r="L814" s="5" t="n">
        <v>238</v>
      </c>
      <c r="M814" s="5" t="n">
        <v>32</v>
      </c>
      <c r="N814" s="10">
        <f>IF(AND(ISNUMBER(L814),M814&gt;0),L814/M814,"")</f>
        <v/>
      </c>
      <c r="O814" s="5" t="n">
        <v>0.758</v>
      </c>
      <c r="P814" s="5" t="n">
        <v>101.6</v>
      </c>
      <c r="Q814" s="5" t="n">
        <v>1</v>
      </c>
      <c r="R814" s="5" t="n">
        <v>1</v>
      </c>
      <c r="S814" s="5" t="n">
        <v>0</v>
      </c>
      <c r="T814" s="5" t="n">
        <v>0</v>
      </c>
      <c r="U814" s="5" t="n">
        <v>0</v>
      </c>
      <c r="V814" s="5" t="n">
        <v>0</v>
      </c>
      <c r="W814" s="5" t="n">
        <v>2</v>
      </c>
      <c r="X814" s="5" t="n">
        <v>6</v>
      </c>
      <c r="Y814" s="5" t="n">
        <v>0.33</v>
      </c>
      <c r="Z814" s="5" t="inlineStr"/>
      <c r="AA814" s="5" t="n">
        <v>1041.6</v>
      </c>
      <c r="AB814" s="5" t="n">
        <v>2491.9</v>
      </c>
      <c r="AC814" s="5" t="n">
        <v>1064.9</v>
      </c>
      <c r="AD814" s="5" t="n">
        <v>2562.7</v>
      </c>
      <c r="AE814" s="5" t="inlineStr"/>
      <c r="AF814" s="5">
        <f>IF(AE814="","",IF(OR(AE814=F814,AND(AE814="crane_footing",F814="isolated_footing")),"yes","no"))</f>
        <v/>
      </c>
    </row>
    <row r="815">
      <c r="A815" s="5" t="n">
        <v>814</v>
      </c>
      <c r="B815" s="5" t="inlineStr">
        <is>
          <t>129</t>
        </is>
      </c>
      <c r="C815" s="5" t="inlineStr">
        <is>
          <t>region between joints</t>
        </is>
      </c>
      <c r="D815" s="5" t="inlineStr">
        <is>
          <t>band</t>
        </is>
      </c>
      <c r="E815" s="5" t="n">
        <v>2</v>
      </c>
      <c r="F815" s="5" t="inlineStr">
        <is>
          <t>unidentified</t>
        </is>
      </c>
      <c r="G815" s="5" t="inlineStr">
        <is>
          <t>C2</t>
        </is>
      </c>
      <c r="H815" s="5" t="inlineStr">
        <is>
          <t>no label votes</t>
        </is>
      </c>
      <c r="I815" s="5" t="inlineStr">
        <is>
          <t>(none)</t>
        </is>
      </c>
      <c r="J815" s="5" t="inlineStr"/>
      <c r="K815" s="5" t="inlineStr"/>
      <c r="L815" s="5" t="n">
        <v>238</v>
      </c>
      <c r="M815" s="5" t="n">
        <v>32</v>
      </c>
      <c r="N815" s="10">
        <f>IF(AND(ISNUMBER(L815),M815&gt;0),L815/M815,"")</f>
        <v/>
      </c>
      <c r="O815" s="5" t="n">
        <v>0.758</v>
      </c>
      <c r="P815" s="5" t="n">
        <v>101.6</v>
      </c>
      <c r="Q815" s="5" t="n">
        <v>1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0</v>
      </c>
      <c r="W815" s="5" t="n">
        <v>0</v>
      </c>
      <c r="X815" s="5" t="n">
        <v>6</v>
      </c>
      <c r="Y815" s="5" t="n">
        <v>1.63</v>
      </c>
      <c r="Z815" s="5" t="inlineStr"/>
      <c r="AA815" s="5" t="n">
        <v>1064.5</v>
      </c>
      <c r="AB815" s="5" t="n">
        <v>2473.3</v>
      </c>
      <c r="AC815" s="5" t="n">
        <v>1087.9</v>
      </c>
      <c r="AD815" s="5" t="n">
        <v>2544.1</v>
      </c>
      <c r="AE815" s="5" t="inlineStr"/>
      <c r="AF815" s="5">
        <f>IF(AE815="","",IF(OR(AE815=F815,AND(AE815="crane_footing",F815="isolated_footing")),"yes","no"))</f>
        <v/>
      </c>
    </row>
    <row r="816">
      <c r="A816" s="5" t="n">
        <v>815</v>
      </c>
      <c r="B816" s="5" t="inlineStr">
        <is>
          <t>129</t>
        </is>
      </c>
      <c r="C816" s="5" t="inlineStr">
        <is>
          <t>region between joints</t>
        </is>
      </c>
      <c r="D816" s="5" t="inlineStr">
        <is>
          <t>band</t>
        </is>
      </c>
      <c r="E816" s="5" t="n">
        <v>2</v>
      </c>
      <c r="F816" s="5" t="inlineStr">
        <is>
          <t>unidentified</t>
        </is>
      </c>
      <c r="G816" s="5" t="inlineStr">
        <is>
          <t>C2</t>
        </is>
      </c>
      <c r="H816" s="5" t="inlineStr">
        <is>
          <t>no label votes</t>
        </is>
      </c>
      <c r="I816" s="5" t="inlineStr">
        <is>
          <t>(none)</t>
        </is>
      </c>
      <c r="J816" s="5" t="inlineStr"/>
      <c r="K816" s="5" t="inlineStr"/>
      <c r="L816" s="5" t="n">
        <v>238</v>
      </c>
      <c r="M816" s="5" t="n">
        <v>32</v>
      </c>
      <c r="N816" s="10">
        <f>IF(AND(ISNUMBER(L816),M816&gt;0),L816/M816,"")</f>
        <v/>
      </c>
      <c r="O816" s="5" t="n">
        <v>0.758</v>
      </c>
      <c r="P816" s="5" t="n">
        <v>101.6</v>
      </c>
      <c r="Q816" s="5" t="n">
        <v>1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0</v>
      </c>
      <c r="W816" s="5" t="n">
        <v>0</v>
      </c>
      <c r="X816" s="5" t="n">
        <v>6</v>
      </c>
      <c r="Y816" s="5" t="n">
        <v>2.27</v>
      </c>
      <c r="Z816" s="5" t="inlineStr"/>
      <c r="AA816" s="5" t="n">
        <v>1076</v>
      </c>
      <c r="AB816" s="5" t="n">
        <v>2464</v>
      </c>
      <c r="AC816" s="5" t="n">
        <v>1099.4</v>
      </c>
      <c r="AD816" s="5" t="n">
        <v>2534.8</v>
      </c>
      <c r="AE816" s="5" t="inlineStr"/>
      <c r="AF816" s="5">
        <f>IF(AE816="","",IF(OR(AE816=F816,AND(AE816="crane_footing",F816="isolated_footing")),"yes","no"))</f>
        <v/>
      </c>
    </row>
    <row r="817">
      <c r="A817" s="5" t="n">
        <v>816</v>
      </c>
      <c r="B817" s="5" t="inlineStr">
        <is>
          <t>129</t>
        </is>
      </c>
      <c r="C817" s="5" t="inlineStr">
        <is>
          <t>region between joints</t>
        </is>
      </c>
      <c r="D817" s="5" t="inlineStr">
        <is>
          <t>band</t>
        </is>
      </c>
      <c r="E817" s="5" t="n">
        <v>2</v>
      </c>
      <c r="F817" s="5" t="inlineStr">
        <is>
          <t>unidentified</t>
        </is>
      </c>
      <c r="G817" s="5" t="inlineStr">
        <is>
          <t>C2</t>
        </is>
      </c>
      <c r="H817" s="5" t="inlineStr">
        <is>
          <t>no label votes</t>
        </is>
      </c>
      <c r="I817" s="5" t="inlineStr">
        <is>
          <t>(none)</t>
        </is>
      </c>
      <c r="J817" s="5" t="inlineStr"/>
      <c r="K817" s="5" t="inlineStr"/>
      <c r="L817" s="5" t="n">
        <v>238</v>
      </c>
      <c r="M817" s="5" t="n">
        <v>32</v>
      </c>
      <c r="N817" s="10">
        <f>IF(AND(ISNUMBER(L817),M817&gt;0),L817/M817,"")</f>
        <v/>
      </c>
      <c r="O817" s="5" t="n">
        <v>0.757</v>
      </c>
      <c r="P817" s="5" t="n">
        <v>101.7</v>
      </c>
      <c r="Q817" s="5" t="n">
        <v>2</v>
      </c>
      <c r="R817" s="5" t="n">
        <v>1</v>
      </c>
      <c r="S817" s="5" t="n">
        <v>0</v>
      </c>
      <c r="T817" s="5" t="n">
        <v>0</v>
      </c>
      <c r="U817" s="5" t="n">
        <v>0</v>
      </c>
      <c r="V817" s="5" t="n">
        <v>0</v>
      </c>
      <c r="W817" s="5" t="n">
        <v>0</v>
      </c>
      <c r="X817" s="5" t="n">
        <v>6</v>
      </c>
      <c r="Y817" s="5" t="n">
        <v>0</v>
      </c>
      <c r="Z817" s="5" t="inlineStr"/>
      <c r="AA817" s="5" t="n">
        <v>1030</v>
      </c>
      <c r="AB817" s="5" t="n">
        <v>2501.3</v>
      </c>
      <c r="AC817" s="5" t="n">
        <v>1053.4</v>
      </c>
      <c r="AD817" s="5" t="n">
        <v>2572</v>
      </c>
      <c r="AE817" s="5" t="inlineStr"/>
      <c r="AF817" s="5">
        <f>IF(AE817="","",IF(OR(AE817=F817,AND(AE817="crane_footing",F817="isolated_footing")),"yes","no"))</f>
        <v/>
      </c>
    </row>
    <row r="818">
      <c r="A818" s="5" t="n">
        <v>817</v>
      </c>
      <c r="B818" s="5" t="inlineStr">
        <is>
          <t>129</t>
        </is>
      </c>
      <c r="C818" s="5" t="inlineStr">
        <is>
          <t>region between joints</t>
        </is>
      </c>
      <c r="D818" s="5" t="inlineStr">
        <is>
          <t>band</t>
        </is>
      </c>
      <c r="E818" s="5" t="n">
        <v>2</v>
      </c>
      <c r="F818" s="5" t="inlineStr">
        <is>
          <t>unidentified</t>
        </is>
      </c>
      <c r="G818" s="5" t="inlineStr">
        <is>
          <t>C2</t>
        </is>
      </c>
      <c r="H818" s="5" t="inlineStr">
        <is>
          <t>no label votes</t>
        </is>
      </c>
      <c r="I818" s="5" t="inlineStr">
        <is>
          <t>(none)</t>
        </is>
      </c>
      <c r="J818" s="5" t="inlineStr"/>
      <c r="K818" s="5" t="inlineStr"/>
      <c r="L818" s="5" t="n">
        <v>238</v>
      </c>
      <c r="M818" s="5" t="n">
        <v>32</v>
      </c>
      <c r="N818" s="10">
        <f>IF(AND(ISNUMBER(L818),M818&gt;0),L818/M818,"")</f>
        <v/>
      </c>
      <c r="O818" s="5" t="n">
        <v>0.756</v>
      </c>
      <c r="P818" s="5" t="n">
        <v>101.7</v>
      </c>
      <c r="Q818" s="5" t="n">
        <v>1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0</v>
      </c>
      <c r="W818" s="5" t="n">
        <v>1</v>
      </c>
      <c r="X818" s="5" t="n">
        <v>7</v>
      </c>
      <c r="Y818" s="5" t="n">
        <v>2.06</v>
      </c>
      <c r="Z818" s="5" t="inlineStr"/>
      <c r="AA818" s="5" t="n">
        <v>926.6</v>
      </c>
      <c r="AB818" s="5" t="n">
        <v>2585.2</v>
      </c>
      <c r="AC818" s="5" t="n">
        <v>950</v>
      </c>
      <c r="AD818" s="5" t="n">
        <v>2655.9</v>
      </c>
      <c r="AE818" s="5" t="inlineStr"/>
      <c r="AF818" s="5">
        <f>IF(AE818="","",IF(OR(AE818=F818,AND(AE818="crane_footing",F818="isolated_footing")),"yes","no"))</f>
        <v/>
      </c>
    </row>
    <row r="819">
      <c r="A819" s="5" t="n">
        <v>818</v>
      </c>
      <c r="B819" s="5" t="inlineStr">
        <is>
          <t>129</t>
        </is>
      </c>
      <c r="C819" s="5" t="inlineStr">
        <is>
          <t>region between joints</t>
        </is>
      </c>
      <c r="D819" s="5" t="inlineStr">
        <is>
          <t>band</t>
        </is>
      </c>
      <c r="E819" s="5" t="n">
        <v>2</v>
      </c>
      <c r="F819" s="5" t="inlineStr">
        <is>
          <t>unidentified</t>
        </is>
      </c>
      <c r="G819" s="5" t="inlineStr">
        <is>
          <t>C2</t>
        </is>
      </c>
      <c r="H819" s="5" t="inlineStr">
        <is>
          <t>no label votes</t>
        </is>
      </c>
      <c r="I819" s="5" t="inlineStr">
        <is>
          <t>(none)</t>
        </is>
      </c>
      <c r="J819" s="5" t="inlineStr"/>
      <c r="K819" s="5" t="inlineStr"/>
      <c r="L819" s="5" t="n">
        <v>238</v>
      </c>
      <c r="M819" s="5" t="n">
        <v>32</v>
      </c>
      <c r="N819" s="10">
        <f>IF(AND(ISNUMBER(L819),M819&gt;0),L819/M819,"")</f>
        <v/>
      </c>
      <c r="O819" s="5" t="n">
        <v>0.756</v>
      </c>
      <c r="P819" s="5" t="n">
        <v>101.6</v>
      </c>
      <c r="Q819" s="5" t="n">
        <v>1</v>
      </c>
      <c r="R819" s="5" t="n">
        <v>1</v>
      </c>
      <c r="S819" s="5" t="n">
        <v>0</v>
      </c>
      <c r="T819" s="5" t="n">
        <v>0</v>
      </c>
      <c r="U819" s="5" t="n">
        <v>0</v>
      </c>
      <c r="V819" s="5" t="n">
        <v>0</v>
      </c>
      <c r="W819" s="5" t="n">
        <v>2</v>
      </c>
      <c r="X819" s="5" t="n">
        <v>7</v>
      </c>
      <c r="Y819" s="5" t="n">
        <v>0.12</v>
      </c>
      <c r="Z819" s="5" t="inlineStr"/>
      <c r="AA819" s="5" t="n">
        <v>961.1</v>
      </c>
      <c r="AB819" s="5" t="n">
        <v>2557.2</v>
      </c>
      <c r="AC819" s="5" t="n">
        <v>984.4</v>
      </c>
      <c r="AD819" s="5" t="n">
        <v>2627.9</v>
      </c>
      <c r="AE819" s="5" t="inlineStr"/>
      <c r="AF819" s="5">
        <f>IF(AE819="","",IF(OR(AE819=F819,AND(AE819="crane_footing",F819="isolated_footing")),"yes","no"))</f>
        <v/>
      </c>
    </row>
    <row r="820">
      <c r="A820" s="5" t="n">
        <v>819</v>
      </c>
      <c r="B820" s="5" t="inlineStr">
        <is>
          <t>129</t>
        </is>
      </c>
      <c r="C820" s="5" t="inlineStr">
        <is>
          <t>region between joints</t>
        </is>
      </c>
      <c r="D820" s="5" t="inlineStr">
        <is>
          <t>band</t>
        </is>
      </c>
      <c r="E820" s="5" t="n">
        <v>2</v>
      </c>
      <c r="F820" s="5" t="inlineStr">
        <is>
          <t>unidentified</t>
        </is>
      </c>
      <c r="G820" s="5" t="inlineStr">
        <is>
          <t>C2</t>
        </is>
      </c>
      <c r="H820" s="5" t="inlineStr">
        <is>
          <t>no label votes</t>
        </is>
      </c>
      <c r="I820" s="5" t="inlineStr">
        <is>
          <t>(none)</t>
        </is>
      </c>
      <c r="J820" s="5" t="inlineStr"/>
      <c r="K820" s="5" t="inlineStr"/>
      <c r="L820" s="5" t="n">
        <v>238</v>
      </c>
      <c r="M820" s="5" t="n">
        <v>32</v>
      </c>
      <c r="N820" s="10">
        <f>IF(AND(ISNUMBER(L820),M820&gt;0),L820/M820,"")</f>
        <v/>
      </c>
      <c r="O820" s="5" t="n">
        <v>0.756</v>
      </c>
      <c r="P820" s="5" t="n">
        <v>101.6</v>
      </c>
      <c r="Q820" s="5" t="n">
        <v>1</v>
      </c>
      <c r="R820" s="5" t="n">
        <v>1</v>
      </c>
      <c r="S820" s="5" t="n">
        <v>0</v>
      </c>
      <c r="T820" s="5" t="n">
        <v>0</v>
      </c>
      <c r="U820" s="5" t="n">
        <v>0</v>
      </c>
      <c r="V820" s="5" t="n">
        <v>0</v>
      </c>
      <c r="W820" s="5" t="n">
        <v>7</v>
      </c>
      <c r="X820" s="5" t="n">
        <v>7</v>
      </c>
      <c r="Y820" s="5" t="n">
        <v>0</v>
      </c>
      <c r="Z820" s="5" t="inlineStr"/>
      <c r="AA820" s="5" t="n">
        <v>972.6</v>
      </c>
      <c r="AB820" s="5" t="n">
        <v>2547.9</v>
      </c>
      <c r="AC820" s="5" t="n">
        <v>995.9</v>
      </c>
      <c r="AD820" s="5" t="n">
        <v>2618.6</v>
      </c>
      <c r="AE820" s="5" t="inlineStr"/>
      <c r="AF820" s="5">
        <f>IF(AE820="","",IF(OR(AE820=F820,AND(AE820="crane_footing",F820="isolated_footing")),"yes","no"))</f>
        <v/>
      </c>
    </row>
    <row r="821">
      <c r="A821" s="5" t="n">
        <v>820</v>
      </c>
      <c r="B821" s="5" t="inlineStr">
        <is>
          <t>129</t>
        </is>
      </c>
      <c r="C821" s="5" t="inlineStr">
        <is>
          <t>region between joints</t>
        </is>
      </c>
      <c r="D821" s="5" t="inlineStr">
        <is>
          <t>band</t>
        </is>
      </c>
      <c r="E821" s="5" t="n">
        <v>2</v>
      </c>
      <c r="F821" s="5" t="inlineStr">
        <is>
          <t>unidentified</t>
        </is>
      </c>
      <c r="G821" s="5" t="inlineStr">
        <is>
          <t>C2</t>
        </is>
      </c>
      <c r="H821" s="5" t="inlineStr">
        <is>
          <t>no label votes</t>
        </is>
      </c>
      <c r="I821" s="5" t="inlineStr">
        <is>
          <t>(none)</t>
        </is>
      </c>
      <c r="J821" s="5" t="inlineStr"/>
      <c r="K821" s="5" t="inlineStr"/>
      <c r="L821" s="5" t="n">
        <v>238</v>
      </c>
      <c r="M821" s="5" t="n">
        <v>32</v>
      </c>
      <c r="N821" s="10">
        <f>IF(AND(ISNUMBER(L821),M821&gt;0),L821/M821,"")</f>
        <v/>
      </c>
      <c r="O821" s="5" t="n">
        <v>0.756</v>
      </c>
      <c r="P821" s="5" t="n">
        <v>101.6</v>
      </c>
      <c r="Q821" s="5" t="n">
        <v>1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0</v>
      </c>
      <c r="W821" s="5" t="n">
        <v>1</v>
      </c>
      <c r="X821" s="5" t="n">
        <v>6</v>
      </c>
      <c r="Y821" s="5" t="n">
        <v>2.38</v>
      </c>
      <c r="Z821" s="5" t="inlineStr"/>
      <c r="AA821" s="5" t="n">
        <v>915.2</v>
      </c>
      <c r="AB821" s="5" t="n">
        <v>2594.6</v>
      </c>
      <c r="AC821" s="5" t="n">
        <v>938.5</v>
      </c>
      <c r="AD821" s="5" t="n">
        <v>2665.2</v>
      </c>
      <c r="AE821" s="5" t="inlineStr"/>
      <c r="AF821" s="5">
        <f>IF(AE821="","",IF(OR(AE821=F821,AND(AE821="crane_footing",F821="isolated_footing")),"yes","no"))</f>
        <v/>
      </c>
    </row>
    <row r="822">
      <c r="A822" s="5" t="n">
        <v>821</v>
      </c>
      <c r="B822" s="5" t="inlineStr">
        <is>
          <t>129</t>
        </is>
      </c>
      <c r="C822" s="5" t="inlineStr">
        <is>
          <t>region between joints</t>
        </is>
      </c>
      <c r="D822" s="5" t="inlineStr">
        <is>
          <t>band</t>
        </is>
      </c>
      <c r="E822" s="5" t="n">
        <v>2</v>
      </c>
      <c r="F822" s="5" t="inlineStr">
        <is>
          <t>unidentified</t>
        </is>
      </c>
      <c r="G822" s="5" t="inlineStr">
        <is>
          <t>C2</t>
        </is>
      </c>
      <c r="H822" s="5" t="inlineStr">
        <is>
          <t>no label votes</t>
        </is>
      </c>
      <c r="I822" s="5" t="inlineStr">
        <is>
          <t>(none)</t>
        </is>
      </c>
      <c r="J822" s="5" t="inlineStr"/>
      <c r="K822" s="5" t="inlineStr"/>
      <c r="L822" s="5" t="n">
        <v>238</v>
      </c>
      <c r="M822" s="5" t="n">
        <v>32</v>
      </c>
      <c r="N822" s="10">
        <f>IF(AND(ISNUMBER(L822),M822&gt;0),L822/M822,"")</f>
        <v/>
      </c>
      <c r="O822" s="5" t="n">
        <v>0.756</v>
      </c>
      <c r="P822" s="5" t="n">
        <v>101.7</v>
      </c>
      <c r="Q822" s="5" t="n">
        <v>1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0</v>
      </c>
      <c r="W822" s="5" t="n">
        <v>1</v>
      </c>
      <c r="X822" s="5" t="n">
        <v>7</v>
      </c>
      <c r="Y822" s="5" t="n">
        <v>1.41</v>
      </c>
      <c r="Z822" s="5" t="inlineStr"/>
      <c r="AA822" s="5" t="n">
        <v>938.1</v>
      </c>
      <c r="AB822" s="5" t="n">
        <v>2575.9</v>
      </c>
      <c r="AC822" s="5" t="n">
        <v>961.5</v>
      </c>
      <c r="AD822" s="5" t="n">
        <v>2646.5</v>
      </c>
      <c r="AE822" s="5" t="inlineStr"/>
      <c r="AF822" s="5">
        <f>IF(AE822="","",IF(OR(AE822=F822,AND(AE822="crane_footing",F822="isolated_footing")),"yes","no"))</f>
        <v/>
      </c>
    </row>
    <row r="823">
      <c r="A823" s="5" t="n">
        <v>822</v>
      </c>
      <c r="B823" s="5" t="inlineStr">
        <is>
          <t>129</t>
        </is>
      </c>
      <c r="C823" s="5" t="inlineStr">
        <is>
          <t>region between joints</t>
        </is>
      </c>
      <c r="D823" s="5" t="inlineStr">
        <is>
          <t>band</t>
        </is>
      </c>
      <c r="E823" s="5" t="n">
        <v>2</v>
      </c>
      <c r="F823" s="5" t="inlineStr">
        <is>
          <t>unidentified</t>
        </is>
      </c>
      <c r="G823" s="5" t="inlineStr">
        <is>
          <t>C2</t>
        </is>
      </c>
      <c r="H823" s="5" t="inlineStr">
        <is>
          <t>no label votes</t>
        </is>
      </c>
      <c r="I823" s="5" t="inlineStr">
        <is>
          <t>(none)</t>
        </is>
      </c>
      <c r="J823" s="5" t="inlineStr"/>
      <c r="K823" s="5" t="inlineStr"/>
      <c r="L823" s="5" t="n">
        <v>238</v>
      </c>
      <c r="M823" s="5" t="n">
        <v>32</v>
      </c>
      <c r="N823" s="10">
        <f>IF(AND(ISNUMBER(L823),M823&gt;0),L823/M823,"")</f>
        <v/>
      </c>
      <c r="O823" s="5" t="n">
        <v>0.756</v>
      </c>
      <c r="P823" s="5" t="n">
        <v>101.7</v>
      </c>
      <c r="Q823" s="5" t="n">
        <v>1</v>
      </c>
      <c r="R823" s="5" t="n">
        <v>1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1</v>
      </c>
      <c r="X823" s="5" t="n">
        <v>7</v>
      </c>
      <c r="Y823" s="5" t="n">
        <v>0.77</v>
      </c>
      <c r="Z823" s="5" t="inlineStr"/>
      <c r="AA823" s="5" t="n">
        <v>949.6</v>
      </c>
      <c r="AB823" s="5" t="n">
        <v>2566.6</v>
      </c>
      <c r="AC823" s="5" t="n">
        <v>973</v>
      </c>
      <c r="AD823" s="5" t="n">
        <v>2637.2</v>
      </c>
      <c r="AE823" s="5" t="inlineStr"/>
      <c r="AF823" s="5">
        <f>IF(AE823="","",IF(OR(AE823=F823,AND(AE823="crane_footing",F823="isolated_footing")),"yes","no"))</f>
        <v/>
      </c>
    </row>
    <row r="824">
      <c r="A824" s="5" t="n">
        <v>823</v>
      </c>
      <c r="B824" s="5" t="inlineStr">
        <is>
          <t>129</t>
        </is>
      </c>
      <c r="C824" s="5" t="inlineStr">
        <is>
          <t>region between joints</t>
        </is>
      </c>
      <c r="D824" s="5" t="inlineStr">
        <is>
          <t>band</t>
        </is>
      </c>
      <c r="E824" s="5" t="n">
        <v>2</v>
      </c>
      <c r="F824" s="5" t="inlineStr">
        <is>
          <t>unidentified</t>
        </is>
      </c>
      <c r="G824" s="5" t="inlineStr">
        <is>
          <t>C2</t>
        </is>
      </c>
      <c r="H824" s="5" t="inlineStr">
        <is>
          <t>no label votes</t>
        </is>
      </c>
      <c r="I824" s="5" t="inlineStr">
        <is>
          <t>(none)</t>
        </is>
      </c>
      <c r="J824" s="5" t="inlineStr"/>
      <c r="K824" s="5" t="inlineStr"/>
      <c r="L824" s="5" t="n">
        <v>238</v>
      </c>
      <c r="M824" s="5" t="n">
        <v>32</v>
      </c>
      <c r="N824" s="10">
        <f>IF(AND(ISNUMBER(L824),M824&gt;0),L824/M824,"")</f>
        <v/>
      </c>
      <c r="O824" s="5" t="n">
        <v>0.756</v>
      </c>
      <c r="P824" s="5" t="n">
        <v>101.6</v>
      </c>
      <c r="Q824" s="5" t="n">
        <v>1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0</v>
      </c>
      <c r="W824" s="5" t="n">
        <v>0</v>
      </c>
      <c r="X824" s="5" t="n">
        <v>6</v>
      </c>
      <c r="Y824" s="5" t="n">
        <v>2.38</v>
      </c>
      <c r="Z824" s="5" t="inlineStr"/>
      <c r="AA824" s="5" t="n">
        <v>903.7</v>
      </c>
      <c r="AB824" s="5" t="n">
        <v>2603.9</v>
      </c>
      <c r="AC824" s="5" t="n">
        <v>927</v>
      </c>
      <c r="AD824" s="5" t="n">
        <v>2674.5</v>
      </c>
      <c r="AE824" s="5" t="inlineStr"/>
      <c r="AF824" s="5">
        <f>IF(AE824="","",IF(OR(AE824=F824,AND(AE824="crane_footing",F824="isolated_footing")),"yes","no"))</f>
        <v/>
      </c>
    </row>
    <row r="825">
      <c r="A825" s="5" t="n">
        <v>824</v>
      </c>
      <c r="B825" s="5" t="inlineStr">
        <is>
          <t>129</t>
        </is>
      </c>
      <c r="C825" s="5" t="inlineStr">
        <is>
          <t>region between joints</t>
        </is>
      </c>
      <c r="D825" s="5" t="inlineStr">
        <is>
          <t>band</t>
        </is>
      </c>
      <c r="E825" s="5" t="n">
        <v>2</v>
      </c>
      <c r="F825" s="5" t="inlineStr">
        <is>
          <t>unidentified</t>
        </is>
      </c>
      <c r="G825" s="5" t="inlineStr">
        <is>
          <t>C2</t>
        </is>
      </c>
      <c r="H825" s="5" t="inlineStr">
        <is>
          <t>no label votes</t>
        </is>
      </c>
      <c r="I825" s="5" t="inlineStr">
        <is>
          <t>(none)</t>
        </is>
      </c>
      <c r="J825" s="5" t="inlineStr"/>
      <c r="K825" s="5" t="inlineStr"/>
      <c r="L825" s="5" t="n">
        <v>238</v>
      </c>
      <c r="M825" s="5" t="n">
        <v>32</v>
      </c>
      <c r="N825" s="10">
        <f>IF(AND(ISNUMBER(L825),M825&gt;0),L825/M825,"")</f>
        <v/>
      </c>
      <c r="O825" s="5" t="n">
        <v>0.756</v>
      </c>
      <c r="P825" s="5" t="n">
        <v>101.6</v>
      </c>
      <c r="Q825" s="5" t="n">
        <v>1</v>
      </c>
      <c r="R825" s="5" t="n">
        <v>0</v>
      </c>
      <c r="S825" s="5" t="n">
        <v>0</v>
      </c>
      <c r="T825" s="5" t="n">
        <v>0</v>
      </c>
      <c r="U825" s="5" t="n">
        <v>0</v>
      </c>
      <c r="V825" s="5" t="n">
        <v>0</v>
      </c>
      <c r="W825" s="5" t="n">
        <v>0</v>
      </c>
      <c r="X825" s="5" t="n">
        <v>6</v>
      </c>
      <c r="Y825" s="5" t="n">
        <v>2.38</v>
      </c>
      <c r="Z825" s="5" t="inlineStr"/>
      <c r="AA825" s="5" t="n">
        <v>892.2</v>
      </c>
      <c r="AB825" s="5" t="n">
        <v>2613.2</v>
      </c>
      <c r="AC825" s="5" t="n">
        <v>915.5</v>
      </c>
      <c r="AD825" s="5" t="n">
        <v>2683.9</v>
      </c>
      <c r="AE825" s="5" t="inlineStr"/>
      <c r="AF825" s="5">
        <f>IF(AE825="","",IF(OR(AE825=F825,AND(AE825="crane_footing",F825="isolated_footing")),"yes","no"))</f>
        <v/>
      </c>
    </row>
    <row r="826">
      <c r="A826" s="5" t="n">
        <v>825</v>
      </c>
      <c r="B826" s="5" t="inlineStr">
        <is>
          <t>129</t>
        </is>
      </c>
      <c r="C826" s="5" t="inlineStr">
        <is>
          <t>region between joints</t>
        </is>
      </c>
      <c r="D826" s="5" t="inlineStr">
        <is>
          <t>band</t>
        </is>
      </c>
      <c r="E826" s="5" t="n">
        <v>2</v>
      </c>
      <c r="F826" s="5" t="inlineStr">
        <is>
          <t>unidentified</t>
        </is>
      </c>
      <c r="G826" s="5" t="inlineStr">
        <is>
          <t>C2</t>
        </is>
      </c>
      <c r="H826" s="5" t="inlineStr">
        <is>
          <t>no label votes</t>
        </is>
      </c>
      <c r="I826" s="5" t="inlineStr">
        <is>
          <t>(none)</t>
        </is>
      </c>
      <c r="J826" s="5" t="inlineStr"/>
      <c r="K826" s="5" t="inlineStr"/>
      <c r="L826" s="5" t="n">
        <v>237</v>
      </c>
      <c r="M826" s="5" t="n">
        <v>32</v>
      </c>
      <c r="N826" s="10">
        <f>IF(AND(ISNUMBER(L826),M826&gt;0),L826/M826,"")</f>
        <v/>
      </c>
      <c r="O826" s="5" t="n">
        <v>0.755</v>
      </c>
      <c r="P826" s="5" t="n">
        <v>101.6</v>
      </c>
      <c r="Q826" s="5" t="n">
        <v>1</v>
      </c>
      <c r="R826" s="5" t="n">
        <v>1</v>
      </c>
      <c r="S826" s="5" t="n">
        <v>0</v>
      </c>
      <c r="T826" s="5" t="n">
        <v>0</v>
      </c>
      <c r="U826" s="5" t="n">
        <v>0</v>
      </c>
      <c r="V826" s="5" t="n">
        <v>0</v>
      </c>
      <c r="W826" s="5" t="n">
        <v>0</v>
      </c>
      <c r="X826" s="5" t="n">
        <v>5</v>
      </c>
      <c r="Y826" s="5" t="n">
        <v>0.66</v>
      </c>
      <c r="Z826" s="5" t="inlineStr"/>
      <c r="AA826" s="5" t="n">
        <v>846.2</v>
      </c>
      <c r="AB826" s="5" t="n">
        <v>2650.5</v>
      </c>
      <c r="AC826" s="5" t="n">
        <v>869.5</v>
      </c>
      <c r="AD826" s="5" t="n">
        <v>2721.1</v>
      </c>
      <c r="AE826" s="5" t="inlineStr"/>
      <c r="AF826" s="5">
        <f>IF(AE826="","",IF(OR(AE826=F826,AND(AE826="crane_footing",F826="isolated_footing")),"yes","no"))</f>
        <v/>
      </c>
    </row>
    <row r="827">
      <c r="A827" s="5" t="n">
        <v>826</v>
      </c>
      <c r="B827" s="5" t="inlineStr">
        <is>
          <t>129</t>
        </is>
      </c>
      <c r="C827" s="5" t="inlineStr">
        <is>
          <t>region between joints</t>
        </is>
      </c>
      <c r="D827" s="5" t="inlineStr">
        <is>
          <t>band</t>
        </is>
      </c>
      <c r="E827" s="5" t="n">
        <v>2</v>
      </c>
      <c r="F827" s="5" t="inlineStr">
        <is>
          <t>unidentified</t>
        </is>
      </c>
      <c r="G827" s="5" t="inlineStr">
        <is>
          <t>C2</t>
        </is>
      </c>
      <c r="H827" s="5" t="inlineStr">
        <is>
          <t>no label votes</t>
        </is>
      </c>
      <c r="I827" s="5" t="inlineStr">
        <is>
          <t>(none)</t>
        </is>
      </c>
      <c r="J827" s="5" t="inlineStr"/>
      <c r="K827" s="5" t="inlineStr"/>
      <c r="L827" s="5" t="n">
        <v>237</v>
      </c>
      <c r="M827" s="5" t="n">
        <v>32</v>
      </c>
      <c r="N827" s="10">
        <f>IF(AND(ISNUMBER(L827),M827&gt;0),L827/M827,"")</f>
        <v/>
      </c>
      <c r="O827" s="5" t="n">
        <v>0.755</v>
      </c>
      <c r="P827" s="5" t="n">
        <v>101.6</v>
      </c>
      <c r="Q827" s="5" t="n">
        <v>1</v>
      </c>
      <c r="R827" s="5" t="n">
        <v>0</v>
      </c>
      <c r="S827" s="5" t="n">
        <v>0</v>
      </c>
      <c r="T827" s="5" t="n">
        <v>0</v>
      </c>
      <c r="U827" s="5" t="n">
        <v>0</v>
      </c>
      <c r="V827" s="5" t="n">
        <v>0</v>
      </c>
      <c r="W827" s="5" t="n">
        <v>0</v>
      </c>
      <c r="X827" s="5" t="n">
        <v>6</v>
      </c>
      <c r="Y827" s="5" t="n">
        <v>1.31</v>
      </c>
      <c r="Z827" s="5" t="inlineStr"/>
      <c r="AA827" s="5" t="n">
        <v>857.7</v>
      </c>
      <c r="AB827" s="5" t="n">
        <v>2641.2</v>
      </c>
      <c r="AC827" s="5" t="n">
        <v>881</v>
      </c>
      <c r="AD827" s="5" t="n">
        <v>2711.8</v>
      </c>
      <c r="AE827" s="5" t="inlineStr"/>
      <c r="AF827" s="5">
        <f>IF(AE827="","",IF(OR(AE827=F827,AND(AE827="crane_footing",F827="isolated_footing")),"yes","no"))</f>
        <v/>
      </c>
    </row>
    <row r="828">
      <c r="A828" s="5" t="n">
        <v>827</v>
      </c>
      <c r="B828" s="5" t="inlineStr">
        <is>
          <t>129</t>
        </is>
      </c>
      <c r="C828" s="5" t="inlineStr">
        <is>
          <t>region between joints</t>
        </is>
      </c>
      <c r="D828" s="5" t="inlineStr">
        <is>
          <t>band</t>
        </is>
      </c>
      <c r="E828" s="5" t="n">
        <v>2</v>
      </c>
      <c r="F828" s="5" t="inlineStr">
        <is>
          <t>unidentified</t>
        </is>
      </c>
      <c r="G828" s="5" t="inlineStr">
        <is>
          <t>C2</t>
        </is>
      </c>
      <c r="H828" s="5" t="inlineStr">
        <is>
          <t>no label votes</t>
        </is>
      </c>
      <c r="I828" s="5" t="inlineStr">
        <is>
          <t>(none)</t>
        </is>
      </c>
      <c r="J828" s="5" t="inlineStr"/>
      <c r="K828" s="5" t="inlineStr"/>
      <c r="L828" s="5" t="n">
        <v>237</v>
      </c>
      <c r="M828" s="5" t="n">
        <v>32</v>
      </c>
      <c r="N828" s="10">
        <f>IF(AND(ISNUMBER(L828),M828&gt;0),L828/M828,"")</f>
        <v/>
      </c>
      <c r="O828" s="5" t="n">
        <v>0.755</v>
      </c>
      <c r="P828" s="5" t="n">
        <v>101.6</v>
      </c>
      <c r="Q828" s="5" t="n">
        <v>1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0</v>
      </c>
      <c r="W828" s="5" t="n">
        <v>0</v>
      </c>
      <c r="X828" s="5" t="n">
        <v>6</v>
      </c>
      <c r="Y828" s="5" t="n">
        <v>2.37</v>
      </c>
      <c r="Z828" s="5" t="inlineStr"/>
      <c r="AA828" s="5" t="n">
        <v>880.7</v>
      </c>
      <c r="AB828" s="5" t="n">
        <v>2622.6</v>
      </c>
      <c r="AC828" s="5" t="n">
        <v>904</v>
      </c>
      <c r="AD828" s="5" t="n">
        <v>2693.2</v>
      </c>
      <c r="AE828" s="5" t="inlineStr"/>
      <c r="AF828" s="5">
        <f>IF(AE828="","",IF(OR(AE828=F828,AND(AE828="crane_footing",F828="isolated_footing")),"yes","no"))</f>
        <v/>
      </c>
    </row>
    <row r="829">
      <c r="A829" s="5" t="n">
        <v>828</v>
      </c>
      <c r="B829" s="5" t="inlineStr">
        <is>
          <t>129</t>
        </is>
      </c>
      <c r="C829" s="5" t="inlineStr">
        <is>
          <t>region between joints</t>
        </is>
      </c>
      <c r="D829" s="5" t="inlineStr">
        <is>
          <t>band</t>
        </is>
      </c>
      <c r="E829" s="5" t="n">
        <v>2</v>
      </c>
      <c r="F829" s="5" t="inlineStr">
        <is>
          <t>unidentified</t>
        </is>
      </c>
      <c r="G829" s="5" t="inlineStr">
        <is>
          <t>C2</t>
        </is>
      </c>
      <c r="H829" s="5" t="inlineStr">
        <is>
          <t>no label votes</t>
        </is>
      </c>
      <c r="I829" s="5" t="inlineStr">
        <is>
          <t>(none)</t>
        </is>
      </c>
      <c r="J829" s="5" t="inlineStr"/>
      <c r="K829" s="5" t="inlineStr"/>
      <c r="L829" s="5" t="n">
        <v>237</v>
      </c>
      <c r="M829" s="5" t="n">
        <v>32</v>
      </c>
      <c r="N829" s="10">
        <f>IF(AND(ISNUMBER(L829),M829&gt;0),L829/M829,"")</f>
        <v/>
      </c>
      <c r="O829" s="5" t="n">
        <v>0.755</v>
      </c>
      <c r="P829" s="5" t="n">
        <v>101.6</v>
      </c>
      <c r="Q829" s="5" t="n">
        <v>1</v>
      </c>
      <c r="R829" s="5" t="n">
        <v>0</v>
      </c>
      <c r="S829" s="5" t="n">
        <v>0</v>
      </c>
      <c r="T829" s="5" t="n">
        <v>0</v>
      </c>
      <c r="U829" s="5" t="n">
        <v>0</v>
      </c>
      <c r="V829" s="5" t="n">
        <v>0</v>
      </c>
      <c r="W829" s="5" t="n">
        <v>0</v>
      </c>
      <c r="X829" s="5" t="n">
        <v>6</v>
      </c>
      <c r="Y829" s="5" t="n">
        <v>1.96</v>
      </c>
      <c r="Z829" s="5" t="inlineStr"/>
      <c r="AA829" s="5" t="n">
        <v>869.2</v>
      </c>
      <c r="AB829" s="5" t="n">
        <v>2631.9</v>
      </c>
      <c r="AC829" s="5" t="n">
        <v>892.5</v>
      </c>
      <c r="AD829" s="5" t="n">
        <v>2702.5</v>
      </c>
      <c r="AE829" s="5" t="inlineStr"/>
      <c r="AF829" s="5">
        <f>IF(AE829="","",IF(OR(AE829=F829,AND(AE829="crane_footing",F829="isolated_footing")),"yes","no"))</f>
        <v/>
      </c>
    </row>
    <row r="830">
      <c r="A830" s="5" t="n">
        <v>829</v>
      </c>
      <c r="B830" s="5" t="inlineStr">
        <is>
          <t>129</t>
        </is>
      </c>
      <c r="C830" s="5" t="inlineStr">
        <is>
          <t>region between joints</t>
        </is>
      </c>
      <c r="D830" s="5" t="inlineStr">
        <is>
          <t>band</t>
        </is>
      </c>
      <c r="E830" s="5" t="n">
        <v>2</v>
      </c>
      <c r="F830" s="5" t="inlineStr">
        <is>
          <t>unidentified</t>
        </is>
      </c>
      <c r="G830" s="5" t="inlineStr">
        <is>
          <t>C2</t>
        </is>
      </c>
      <c r="H830" s="5" t="inlineStr">
        <is>
          <t>no label votes</t>
        </is>
      </c>
      <c r="I830" s="5" t="inlineStr">
        <is>
          <t>(none)</t>
        </is>
      </c>
      <c r="J830" s="5" t="inlineStr"/>
      <c r="K830" s="5" t="inlineStr"/>
      <c r="L830" s="5" t="n">
        <v>232</v>
      </c>
      <c r="M830" s="5" t="n">
        <v>32</v>
      </c>
      <c r="N830" s="10">
        <f>IF(AND(ISNUMBER(L830),M830&gt;0),L830/M830,"")</f>
        <v/>
      </c>
      <c r="O830" s="5" t="n">
        <v>0.737</v>
      </c>
      <c r="P830" s="5" t="n">
        <v>101.6</v>
      </c>
      <c r="Q830" s="5" t="n">
        <v>0</v>
      </c>
      <c r="R830" s="5" t="n">
        <v>1</v>
      </c>
      <c r="S830" s="5" t="n">
        <v>0</v>
      </c>
      <c r="T830" s="5" t="n">
        <v>0</v>
      </c>
      <c r="U830" s="5" t="n">
        <v>0</v>
      </c>
      <c r="V830" s="5" t="n">
        <v>0</v>
      </c>
      <c r="W830" s="5" t="n">
        <v>1</v>
      </c>
      <c r="X830" s="5" t="n">
        <v>5</v>
      </c>
      <c r="Y830" s="5" t="n">
        <v>0.19</v>
      </c>
      <c r="Z830" s="5" t="inlineStr"/>
      <c r="AA830" s="5" t="n">
        <v>835.1</v>
      </c>
      <c r="AB830" s="5" t="n">
        <v>2659.9</v>
      </c>
      <c r="AC830" s="5" t="n">
        <v>858.1</v>
      </c>
      <c r="AD830" s="5" t="n">
        <v>2728.9</v>
      </c>
      <c r="AE830" s="5" t="inlineStr"/>
      <c r="AF830" s="5">
        <f>IF(AE830="","",IF(OR(AE830=F830,AND(AE830="crane_footing",F830="isolated_footing")),"yes","no"))</f>
        <v/>
      </c>
    </row>
    <row r="831">
      <c r="A831" s="5" t="n">
        <v>830</v>
      </c>
      <c r="B831" s="5" t="inlineStr">
        <is>
          <t>129</t>
        </is>
      </c>
      <c r="C831" s="5" t="inlineStr">
        <is>
          <t>region between joints</t>
        </is>
      </c>
      <c r="D831" s="5" t="inlineStr">
        <is>
          <t>band</t>
        </is>
      </c>
      <c r="E831" s="5" t="n">
        <v>2</v>
      </c>
      <c r="F831" s="5" t="inlineStr">
        <is>
          <t>unidentified</t>
        </is>
      </c>
      <c r="G831" s="5" t="inlineStr">
        <is>
          <t>C2</t>
        </is>
      </c>
      <c r="H831" s="5" t="inlineStr">
        <is>
          <t>no label votes</t>
        </is>
      </c>
      <c r="I831" s="5" t="inlineStr">
        <is>
          <t>(none)</t>
        </is>
      </c>
      <c r="J831" s="5" t="inlineStr"/>
      <c r="K831" s="5" t="inlineStr"/>
      <c r="L831" s="5" t="n">
        <v>230</v>
      </c>
      <c r="M831" s="5" t="n">
        <v>32</v>
      </c>
      <c r="N831" s="10">
        <f>IF(AND(ISNUMBER(L831),M831&gt;0),L831/M831,"")</f>
        <v/>
      </c>
      <c r="O831" s="5" t="n">
        <v>0.73</v>
      </c>
      <c r="P831" s="5" t="n">
        <v>101.6</v>
      </c>
      <c r="Q831" s="5" t="n">
        <v>1</v>
      </c>
      <c r="R831" s="5" t="n">
        <v>1</v>
      </c>
      <c r="S831" s="5" t="n">
        <v>0</v>
      </c>
      <c r="T831" s="5" t="n">
        <v>0</v>
      </c>
      <c r="U831" s="5" t="n">
        <v>0</v>
      </c>
      <c r="V831" s="5" t="n">
        <v>0</v>
      </c>
      <c r="W831" s="5" t="n">
        <v>0</v>
      </c>
      <c r="X831" s="5" t="n">
        <v>5</v>
      </c>
      <c r="Y831" s="5" t="n">
        <v>0</v>
      </c>
      <c r="Z831" s="5" t="inlineStr"/>
      <c r="AA831" s="5" t="n">
        <v>1180</v>
      </c>
      <c r="AB831" s="5" t="n">
        <v>2380</v>
      </c>
      <c r="AC831" s="5" t="n">
        <v>1202.8</v>
      </c>
      <c r="AD831" s="5" t="n">
        <v>2448.3</v>
      </c>
      <c r="AE831" s="5" t="inlineStr"/>
      <c r="AF831" s="5">
        <f>IF(AE831="","",IF(OR(AE831=F831,AND(AE831="crane_footing",F831="isolated_footing")),"yes","no"))</f>
        <v/>
      </c>
    </row>
    <row r="832">
      <c r="A832" s="5" t="n">
        <v>831</v>
      </c>
      <c r="B832" s="5" t="inlineStr">
        <is>
          <t>129</t>
        </is>
      </c>
      <c r="C832" s="5" t="inlineStr">
        <is>
          <t>region between joints</t>
        </is>
      </c>
      <c r="D832" s="5" t="inlineStr">
        <is>
          <t>band</t>
        </is>
      </c>
      <c r="E832" s="5" t="n">
        <v>2</v>
      </c>
      <c r="F832" s="5" t="inlineStr">
        <is>
          <t>unidentified</t>
        </is>
      </c>
      <c r="G832" s="5" t="inlineStr">
        <is>
          <t>C2</t>
        </is>
      </c>
      <c r="H832" s="5" t="inlineStr">
        <is>
          <t>no label votes</t>
        </is>
      </c>
      <c r="I832" s="5" t="inlineStr">
        <is>
          <t>(none)</t>
        </is>
      </c>
      <c r="J832" s="5" t="inlineStr"/>
      <c r="K832" s="5" t="inlineStr"/>
      <c r="L832" s="5" t="n">
        <v>224</v>
      </c>
      <c r="M832" s="5" t="n">
        <v>32</v>
      </c>
      <c r="N832" s="10">
        <f>IF(AND(ISNUMBER(L832),M832&gt;0),L832/M832,"")</f>
        <v/>
      </c>
      <c r="O832" s="5" t="n">
        <v>0.711</v>
      </c>
      <c r="P832" s="5" t="n">
        <v>1.6</v>
      </c>
      <c r="Q832" s="5" t="n">
        <v>1</v>
      </c>
      <c r="R832" s="5" t="n">
        <v>0</v>
      </c>
      <c r="S832" s="5" t="n">
        <v>0</v>
      </c>
      <c r="T832" s="5" t="n">
        <v>0</v>
      </c>
      <c r="U832" s="5" t="n">
        <v>0</v>
      </c>
      <c r="V832" s="5" t="n">
        <v>0</v>
      </c>
      <c r="W832" s="5" t="n">
        <v>0</v>
      </c>
      <c r="X832" s="5" t="n">
        <v>4</v>
      </c>
      <c r="Y832" s="5" t="n">
        <v>1.96</v>
      </c>
      <c r="Z832" s="5" t="inlineStr"/>
      <c r="AA832" s="5" t="n">
        <v>1121.9</v>
      </c>
      <c r="AB832" s="5" t="n">
        <v>2373.3</v>
      </c>
      <c r="AC832" s="5" t="n">
        <v>1188.2</v>
      </c>
      <c r="AD832" s="5" t="n">
        <v>2384.6</v>
      </c>
      <c r="AE832" s="5" t="inlineStr"/>
      <c r="AF832" s="5">
        <f>IF(AE832="","",IF(OR(AE832=F832,AND(AE832="crane_footing",F832="isolated_footing")),"yes","no"))</f>
        <v/>
      </c>
    </row>
    <row r="833">
      <c r="A833" s="5" t="n">
        <v>832</v>
      </c>
      <c r="B833" s="5" t="inlineStr">
        <is>
          <t>129</t>
        </is>
      </c>
      <c r="C833" s="5" t="inlineStr">
        <is>
          <t>region between joints</t>
        </is>
      </c>
      <c r="D833" s="5" t="inlineStr">
        <is>
          <t>band</t>
        </is>
      </c>
      <c r="E833" s="5" t="n">
        <v>2</v>
      </c>
      <c r="F833" s="5" t="inlineStr">
        <is>
          <t>unidentified</t>
        </is>
      </c>
      <c r="G833" s="5" t="inlineStr">
        <is>
          <t>C2</t>
        </is>
      </c>
      <c r="H833" s="5" t="inlineStr">
        <is>
          <t>no label votes</t>
        </is>
      </c>
      <c r="I833" s="5" t="inlineStr">
        <is>
          <t>(none)</t>
        </is>
      </c>
      <c r="J833" s="5" t="inlineStr"/>
      <c r="K833" s="5" t="inlineStr"/>
      <c r="L833" s="5" t="n">
        <v>224</v>
      </c>
      <c r="M833" s="5" t="n">
        <v>32</v>
      </c>
      <c r="N833" s="10">
        <f>IF(AND(ISNUMBER(L833),M833&gt;0),L833/M833,"")</f>
        <v/>
      </c>
      <c r="O833" s="5" t="n">
        <v>0.711</v>
      </c>
      <c r="P833" s="5" t="n">
        <v>1.6</v>
      </c>
      <c r="Q833" s="5" t="n">
        <v>1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0</v>
      </c>
      <c r="W833" s="5" t="n">
        <v>0</v>
      </c>
      <c r="X833" s="5" t="n">
        <v>4</v>
      </c>
      <c r="Y833" s="5" t="n">
        <v>1.96</v>
      </c>
      <c r="Z833" s="5" t="inlineStr"/>
      <c r="AA833" s="5" t="n">
        <v>1066.1</v>
      </c>
      <c r="AB833" s="5" t="n">
        <v>2418.7</v>
      </c>
      <c r="AC833" s="5" t="n">
        <v>1132.4</v>
      </c>
      <c r="AD833" s="5" t="n">
        <v>2429.9</v>
      </c>
      <c r="AE833" s="5" t="inlineStr"/>
      <c r="AF833" s="5">
        <f>IF(AE833="","",IF(OR(AE833=F833,AND(AE833="crane_footing",F833="isolated_footing")),"yes","no"))</f>
        <v/>
      </c>
    </row>
    <row r="834">
      <c r="A834" s="5" t="n">
        <v>833</v>
      </c>
      <c r="B834" s="5" t="inlineStr">
        <is>
          <t>129</t>
        </is>
      </c>
      <c r="C834" s="5" t="inlineStr">
        <is>
          <t>region between joints</t>
        </is>
      </c>
      <c r="D834" s="5" t="inlineStr">
        <is>
          <t>band</t>
        </is>
      </c>
      <c r="E834" s="5" t="n">
        <v>2</v>
      </c>
      <c r="F834" s="5" t="inlineStr">
        <is>
          <t>unidentified</t>
        </is>
      </c>
      <c r="G834" s="5" t="inlineStr">
        <is>
          <t>C2</t>
        </is>
      </c>
      <c r="H834" s="5" t="inlineStr">
        <is>
          <t>no label votes</t>
        </is>
      </c>
      <c r="I834" s="5" t="inlineStr">
        <is>
          <t>(none)</t>
        </is>
      </c>
      <c r="J834" s="5" t="inlineStr"/>
      <c r="K834" s="5" t="inlineStr"/>
      <c r="L834" s="5" t="n">
        <v>224</v>
      </c>
      <c r="M834" s="5" t="n">
        <v>32</v>
      </c>
      <c r="N834" s="10">
        <f>IF(AND(ISNUMBER(L834),M834&gt;0),L834/M834,"")</f>
        <v/>
      </c>
      <c r="O834" s="5" t="n">
        <v>0.711</v>
      </c>
      <c r="P834" s="5" t="n">
        <v>1.6</v>
      </c>
      <c r="Q834" s="5" t="n">
        <v>1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0</v>
      </c>
      <c r="W834" s="5" t="n">
        <v>0</v>
      </c>
      <c r="X834" s="5" t="n">
        <v>4</v>
      </c>
      <c r="Y834" s="5" t="n">
        <v>1.96</v>
      </c>
      <c r="Z834" s="5" t="inlineStr"/>
      <c r="AA834" s="5" t="n">
        <v>1099.6</v>
      </c>
      <c r="AB834" s="5" t="n">
        <v>2391.5</v>
      </c>
      <c r="AC834" s="5" t="n">
        <v>1165.9</v>
      </c>
      <c r="AD834" s="5" t="n">
        <v>2402.7</v>
      </c>
      <c r="AE834" s="5" t="inlineStr"/>
      <c r="AF834" s="5">
        <f>IF(AE834="","",IF(OR(AE834=F834,AND(AE834="crane_footing",F834="isolated_footing")),"yes","no"))</f>
        <v/>
      </c>
    </row>
    <row r="835">
      <c r="A835" s="5" t="n">
        <v>834</v>
      </c>
      <c r="B835" s="5" t="inlineStr">
        <is>
          <t>129</t>
        </is>
      </c>
      <c r="C835" s="5" t="inlineStr">
        <is>
          <t>region between joints</t>
        </is>
      </c>
      <c r="D835" s="5" t="inlineStr">
        <is>
          <t>band</t>
        </is>
      </c>
      <c r="E835" s="5" t="n">
        <v>2</v>
      </c>
      <c r="F835" s="5" t="inlineStr">
        <is>
          <t>unidentified</t>
        </is>
      </c>
      <c r="G835" s="5" t="inlineStr">
        <is>
          <t>C2</t>
        </is>
      </c>
      <c r="H835" s="5" t="inlineStr">
        <is>
          <t>no label votes</t>
        </is>
      </c>
      <c r="I835" s="5" t="inlineStr">
        <is>
          <t>(none)</t>
        </is>
      </c>
      <c r="J835" s="5" t="inlineStr"/>
      <c r="K835" s="5" t="inlineStr"/>
      <c r="L835" s="5" t="n">
        <v>224</v>
      </c>
      <c r="M835" s="5" t="n">
        <v>32</v>
      </c>
      <c r="N835" s="10">
        <f>IF(AND(ISNUMBER(L835),M835&gt;0),L835/M835,"")</f>
        <v/>
      </c>
      <c r="O835" s="5" t="n">
        <v>0.711</v>
      </c>
      <c r="P835" s="5" t="n">
        <v>1.6</v>
      </c>
      <c r="Q835" s="5" t="n">
        <v>1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0</v>
      </c>
      <c r="W835" s="5" t="n">
        <v>0</v>
      </c>
      <c r="X835" s="5" t="n">
        <v>3</v>
      </c>
      <c r="Y835" s="5" t="n">
        <v>1.96</v>
      </c>
      <c r="Z835" s="5" t="inlineStr"/>
      <c r="AA835" s="5" t="n">
        <v>1088.4</v>
      </c>
      <c r="AB835" s="5" t="n">
        <v>2400.5</v>
      </c>
      <c r="AC835" s="5" t="n">
        <v>1154.7</v>
      </c>
      <c r="AD835" s="5" t="n">
        <v>2411.8</v>
      </c>
      <c r="AE835" s="5" t="inlineStr"/>
      <c r="AF835" s="5">
        <f>IF(AE835="","",IF(OR(AE835=F835,AND(AE835="crane_footing",F835="isolated_footing")),"yes","no"))</f>
        <v/>
      </c>
    </row>
    <row r="836">
      <c r="A836" s="5" t="n">
        <v>835</v>
      </c>
      <c r="B836" s="5" t="inlineStr">
        <is>
          <t>129</t>
        </is>
      </c>
      <c r="C836" s="5" t="inlineStr">
        <is>
          <t>region between joints</t>
        </is>
      </c>
      <c r="D836" s="5" t="inlineStr">
        <is>
          <t>band</t>
        </is>
      </c>
      <c r="E836" s="5" t="n">
        <v>2</v>
      </c>
      <c r="F836" s="5" t="inlineStr">
        <is>
          <t>unidentified</t>
        </is>
      </c>
      <c r="G836" s="5" t="inlineStr">
        <is>
          <t>C2</t>
        </is>
      </c>
      <c r="H836" s="5" t="inlineStr">
        <is>
          <t>no label votes</t>
        </is>
      </c>
      <c r="I836" s="5" t="inlineStr">
        <is>
          <t>(none)</t>
        </is>
      </c>
      <c r="J836" s="5" t="inlineStr"/>
      <c r="K836" s="5" t="inlineStr"/>
      <c r="L836" s="5" t="n">
        <v>224</v>
      </c>
      <c r="M836" s="5" t="n">
        <v>32</v>
      </c>
      <c r="N836" s="10">
        <f>IF(AND(ISNUMBER(L836),M836&gt;0),L836/M836,"")</f>
        <v/>
      </c>
      <c r="O836" s="5" t="n">
        <v>0.711</v>
      </c>
      <c r="P836" s="5" t="n">
        <v>1.6</v>
      </c>
      <c r="Q836" s="5" t="n">
        <v>1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0</v>
      </c>
      <c r="W836" s="5" t="n">
        <v>0</v>
      </c>
      <c r="X836" s="5" t="n">
        <v>4</v>
      </c>
      <c r="Y836" s="5" t="n">
        <v>1.96</v>
      </c>
      <c r="Z836" s="5" t="inlineStr"/>
      <c r="AA836" s="5" t="n">
        <v>1110.7</v>
      </c>
      <c r="AB836" s="5" t="n">
        <v>2382.4</v>
      </c>
      <c r="AC836" s="5" t="n">
        <v>1177</v>
      </c>
      <c r="AD836" s="5" t="n">
        <v>2393.7</v>
      </c>
      <c r="AE836" s="5" t="inlineStr"/>
      <c r="AF836" s="5">
        <f>IF(AE836="","",IF(OR(AE836=F836,AND(AE836="crane_footing",F836="isolated_footing")),"yes","no"))</f>
        <v/>
      </c>
    </row>
    <row r="837">
      <c r="A837" s="5" t="n">
        <v>836</v>
      </c>
      <c r="B837" s="5" t="inlineStr">
        <is>
          <t>129</t>
        </is>
      </c>
      <c r="C837" s="5" t="inlineStr">
        <is>
          <t>region between joints</t>
        </is>
      </c>
      <c r="D837" s="5" t="inlineStr">
        <is>
          <t>band</t>
        </is>
      </c>
      <c r="E837" s="5" t="n">
        <v>2</v>
      </c>
      <c r="F837" s="5" t="inlineStr">
        <is>
          <t>unidentified</t>
        </is>
      </c>
      <c r="G837" s="5" t="inlineStr">
        <is>
          <t>C2</t>
        </is>
      </c>
      <c r="H837" s="5" t="inlineStr">
        <is>
          <t>no label votes</t>
        </is>
      </c>
      <c r="I837" s="5" t="inlineStr">
        <is>
          <t>(none)</t>
        </is>
      </c>
      <c r="J837" s="5" t="inlineStr"/>
      <c r="K837" s="5" t="inlineStr"/>
      <c r="L837" s="5" t="n">
        <v>223</v>
      </c>
      <c r="M837" s="5" t="n">
        <v>32</v>
      </c>
      <c r="N837" s="10">
        <f>IF(AND(ISNUMBER(L837),M837&gt;0),L837/M837,"")</f>
        <v/>
      </c>
      <c r="O837" s="5" t="n">
        <v>0.711</v>
      </c>
      <c r="P837" s="5" t="n">
        <v>1.6</v>
      </c>
      <c r="Q837" s="5" t="n">
        <v>1</v>
      </c>
      <c r="R837" s="5" t="n">
        <v>0</v>
      </c>
      <c r="S837" s="5" t="n">
        <v>0</v>
      </c>
      <c r="T837" s="5" t="n">
        <v>0</v>
      </c>
      <c r="U837" s="5" t="n">
        <v>0</v>
      </c>
      <c r="V837" s="5" t="n">
        <v>0</v>
      </c>
      <c r="W837" s="5" t="n">
        <v>0</v>
      </c>
      <c r="X837" s="5" t="n">
        <v>4</v>
      </c>
      <c r="Y837" s="5" t="n">
        <v>2.23</v>
      </c>
      <c r="Z837" s="5" t="inlineStr"/>
      <c r="AA837" s="5" t="n">
        <v>1010.4</v>
      </c>
      <c r="AB837" s="5" t="n">
        <v>2464</v>
      </c>
      <c r="AC837" s="5" t="n">
        <v>1076.6</v>
      </c>
      <c r="AD837" s="5" t="n">
        <v>2475.2</v>
      </c>
      <c r="AE837" s="5" t="inlineStr"/>
      <c r="AF837" s="5">
        <f>IF(AE837="","",IF(OR(AE837=F837,AND(AE837="crane_footing",F837="isolated_footing")),"yes","no"))</f>
        <v/>
      </c>
    </row>
    <row r="838">
      <c r="A838" s="5" t="n">
        <v>837</v>
      </c>
      <c r="B838" s="5" t="inlineStr">
        <is>
          <t>129</t>
        </is>
      </c>
      <c r="C838" s="5" t="inlineStr">
        <is>
          <t>region between joints</t>
        </is>
      </c>
      <c r="D838" s="5" t="inlineStr">
        <is>
          <t>band</t>
        </is>
      </c>
      <c r="E838" s="5" t="n">
        <v>2</v>
      </c>
      <c r="F838" s="5" t="inlineStr">
        <is>
          <t>unidentified</t>
        </is>
      </c>
      <c r="G838" s="5" t="inlineStr">
        <is>
          <t>C2</t>
        </is>
      </c>
      <c r="H838" s="5" t="inlineStr">
        <is>
          <t>no label votes</t>
        </is>
      </c>
      <c r="I838" s="5" t="inlineStr">
        <is>
          <t>(none)</t>
        </is>
      </c>
      <c r="J838" s="5" t="inlineStr"/>
      <c r="K838" s="5" t="inlineStr"/>
      <c r="L838" s="5" t="n">
        <v>223</v>
      </c>
      <c r="M838" s="5" t="n">
        <v>32</v>
      </c>
      <c r="N838" s="10">
        <f>IF(AND(ISNUMBER(L838),M838&gt;0),L838/M838,"")</f>
        <v/>
      </c>
      <c r="O838" s="5" t="n">
        <v>0.711</v>
      </c>
      <c r="P838" s="5" t="n">
        <v>1.6</v>
      </c>
      <c r="Q838" s="5" t="n">
        <v>1</v>
      </c>
      <c r="R838" s="5" t="n">
        <v>0</v>
      </c>
      <c r="S838" s="5" t="n">
        <v>0</v>
      </c>
      <c r="T838" s="5" t="n">
        <v>0</v>
      </c>
      <c r="U838" s="5" t="n">
        <v>0</v>
      </c>
      <c r="V838" s="5" t="n">
        <v>0</v>
      </c>
      <c r="W838" s="5" t="n">
        <v>0</v>
      </c>
      <c r="X838" s="5" t="n">
        <v>4</v>
      </c>
      <c r="Y838" s="5" t="n">
        <v>2.23</v>
      </c>
      <c r="Z838" s="5" t="inlineStr"/>
      <c r="AA838" s="5" t="n">
        <v>1032.7</v>
      </c>
      <c r="AB838" s="5" t="n">
        <v>2445.8</v>
      </c>
      <c r="AC838" s="5" t="n">
        <v>1098.9</v>
      </c>
      <c r="AD838" s="5" t="n">
        <v>2457.1</v>
      </c>
      <c r="AE838" s="5" t="inlineStr"/>
      <c r="AF838" s="5">
        <f>IF(AE838="","",IF(OR(AE838=F838,AND(AE838="crane_footing",F838="isolated_footing")),"yes","no"))</f>
        <v/>
      </c>
    </row>
    <row r="839">
      <c r="A839" s="5" t="n">
        <v>838</v>
      </c>
      <c r="B839" s="5" t="inlineStr">
        <is>
          <t>129</t>
        </is>
      </c>
      <c r="C839" s="5" t="inlineStr">
        <is>
          <t>region between joints</t>
        </is>
      </c>
      <c r="D839" s="5" t="inlineStr">
        <is>
          <t>band</t>
        </is>
      </c>
      <c r="E839" s="5" t="n">
        <v>2</v>
      </c>
      <c r="F839" s="5" t="inlineStr">
        <is>
          <t>unidentified</t>
        </is>
      </c>
      <c r="G839" s="5" t="inlineStr">
        <is>
          <t>C2</t>
        </is>
      </c>
      <c r="H839" s="5" t="inlineStr">
        <is>
          <t>no label votes</t>
        </is>
      </c>
      <c r="I839" s="5" t="inlineStr">
        <is>
          <t>(none)</t>
        </is>
      </c>
      <c r="J839" s="5" t="inlineStr"/>
      <c r="K839" s="5" t="inlineStr"/>
      <c r="L839" s="5" t="n">
        <v>223</v>
      </c>
      <c r="M839" s="5" t="n">
        <v>32</v>
      </c>
      <c r="N839" s="10">
        <f>IF(AND(ISNUMBER(L839),M839&gt;0),L839/M839,"")</f>
        <v/>
      </c>
      <c r="O839" s="5" t="n">
        <v>0.711</v>
      </c>
      <c r="P839" s="5" t="n">
        <v>1.6</v>
      </c>
      <c r="Q839" s="5" t="n">
        <v>1</v>
      </c>
      <c r="R839" s="5" t="n">
        <v>0</v>
      </c>
      <c r="S839" s="5" t="n">
        <v>0</v>
      </c>
      <c r="T839" s="5" t="n">
        <v>0</v>
      </c>
      <c r="U839" s="5" t="n">
        <v>0</v>
      </c>
      <c r="V839" s="5" t="n">
        <v>0</v>
      </c>
      <c r="W839" s="5" t="n">
        <v>0</v>
      </c>
      <c r="X839" s="5" t="n">
        <v>4</v>
      </c>
      <c r="Y839" s="5" t="n">
        <v>1.96</v>
      </c>
      <c r="Z839" s="5" t="inlineStr"/>
      <c r="AA839" s="5" t="n">
        <v>1077.3</v>
      </c>
      <c r="AB839" s="5" t="n">
        <v>2409.6</v>
      </c>
      <c r="AC839" s="5" t="n">
        <v>1143.5</v>
      </c>
      <c r="AD839" s="5" t="n">
        <v>2420.9</v>
      </c>
      <c r="AE839" s="5" t="inlineStr"/>
      <c r="AF839" s="5">
        <f>IF(AE839="","",IF(OR(AE839=F839,AND(AE839="crane_footing",F839="isolated_footing")),"yes","no"))</f>
        <v/>
      </c>
    </row>
    <row r="840">
      <c r="A840" s="5" t="n">
        <v>839</v>
      </c>
      <c r="B840" s="5" t="inlineStr">
        <is>
          <t>129</t>
        </is>
      </c>
      <c r="C840" s="5" t="inlineStr">
        <is>
          <t>region between joints</t>
        </is>
      </c>
      <c r="D840" s="5" t="inlineStr">
        <is>
          <t>band</t>
        </is>
      </c>
      <c r="E840" s="5" t="n">
        <v>2</v>
      </c>
      <c r="F840" s="5" t="inlineStr">
        <is>
          <t>unidentified</t>
        </is>
      </c>
      <c r="G840" s="5" t="inlineStr">
        <is>
          <t>C2</t>
        </is>
      </c>
      <c r="H840" s="5" t="inlineStr">
        <is>
          <t>no label votes</t>
        </is>
      </c>
      <c r="I840" s="5" t="inlineStr">
        <is>
          <t>(none)</t>
        </is>
      </c>
      <c r="J840" s="5" t="inlineStr"/>
      <c r="K840" s="5" t="inlineStr"/>
      <c r="L840" s="5" t="n">
        <v>223</v>
      </c>
      <c r="M840" s="5" t="n">
        <v>32</v>
      </c>
      <c r="N840" s="10">
        <f>IF(AND(ISNUMBER(L840),M840&gt;0),L840/M840,"")</f>
        <v/>
      </c>
      <c r="O840" s="5" t="n">
        <v>0.711</v>
      </c>
      <c r="P840" s="5" t="n">
        <v>1.6</v>
      </c>
      <c r="Q840" s="5" t="n">
        <v>1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0</v>
      </c>
      <c r="W840" s="5" t="n">
        <v>0</v>
      </c>
      <c r="X840" s="5" t="n">
        <v>4</v>
      </c>
      <c r="Y840" s="5" t="n">
        <v>1.96</v>
      </c>
      <c r="Z840" s="5" t="inlineStr"/>
      <c r="AA840" s="5" t="n">
        <v>1055</v>
      </c>
      <c r="AB840" s="5" t="n">
        <v>2427.7</v>
      </c>
      <c r="AC840" s="5" t="n">
        <v>1121.2</v>
      </c>
      <c r="AD840" s="5" t="n">
        <v>2439</v>
      </c>
      <c r="AE840" s="5" t="inlineStr"/>
      <c r="AF840" s="5">
        <f>IF(AE840="","",IF(OR(AE840=F840,AND(AE840="crane_footing",F840="isolated_footing")),"yes","no"))</f>
        <v/>
      </c>
    </row>
    <row r="841">
      <c r="A841" s="5" t="n">
        <v>840</v>
      </c>
      <c r="B841" s="5" t="inlineStr">
        <is>
          <t>129</t>
        </is>
      </c>
      <c r="C841" s="5" t="inlineStr">
        <is>
          <t>region between joints</t>
        </is>
      </c>
      <c r="D841" s="5" t="inlineStr">
        <is>
          <t>band</t>
        </is>
      </c>
      <c r="E841" s="5" t="n">
        <v>2</v>
      </c>
      <c r="F841" s="5" t="inlineStr">
        <is>
          <t>unidentified</t>
        </is>
      </c>
      <c r="G841" s="5" t="inlineStr">
        <is>
          <t>C2</t>
        </is>
      </c>
      <c r="H841" s="5" t="inlineStr">
        <is>
          <t>no label votes</t>
        </is>
      </c>
      <c r="I841" s="5" t="inlineStr">
        <is>
          <t>(none)</t>
        </is>
      </c>
      <c r="J841" s="5" t="inlineStr"/>
      <c r="K841" s="5" t="inlineStr"/>
      <c r="L841" s="5" t="n">
        <v>223</v>
      </c>
      <c r="M841" s="5" t="n">
        <v>32</v>
      </c>
      <c r="N841" s="10">
        <f>IF(AND(ISNUMBER(L841),M841&gt;0),L841/M841,"")</f>
        <v/>
      </c>
      <c r="O841" s="5" t="n">
        <v>0.71</v>
      </c>
      <c r="P841" s="5" t="n">
        <v>1.6</v>
      </c>
      <c r="Q841" s="5" t="n">
        <v>1</v>
      </c>
      <c r="R841" s="5" t="n">
        <v>0</v>
      </c>
      <c r="S841" s="5" t="n">
        <v>0</v>
      </c>
      <c r="T841" s="5" t="n">
        <v>0</v>
      </c>
      <c r="U841" s="5" t="n">
        <v>0</v>
      </c>
      <c r="V841" s="5" t="n">
        <v>0</v>
      </c>
      <c r="W841" s="5" t="n">
        <v>1</v>
      </c>
      <c r="X841" s="5" t="n">
        <v>4</v>
      </c>
      <c r="Y841" s="5" t="n">
        <v>2.06</v>
      </c>
      <c r="Z841" s="5" t="inlineStr"/>
      <c r="AA841" s="5" t="n">
        <v>976.9</v>
      </c>
      <c r="AB841" s="5" t="n">
        <v>2491.2</v>
      </c>
      <c r="AC841" s="5" t="n">
        <v>1043.1</v>
      </c>
      <c r="AD841" s="5" t="n">
        <v>2502.4</v>
      </c>
      <c r="AE841" s="5" t="inlineStr"/>
      <c r="AF841" s="5">
        <f>IF(AE841="","",IF(OR(AE841=F841,AND(AE841="crane_footing",F841="isolated_footing")),"yes","no"))</f>
        <v/>
      </c>
    </row>
    <row r="842">
      <c r="A842" s="5" t="n">
        <v>841</v>
      </c>
      <c r="B842" s="5" t="inlineStr">
        <is>
          <t>129</t>
        </is>
      </c>
      <c r="C842" s="5" t="inlineStr">
        <is>
          <t>region between joints</t>
        </is>
      </c>
      <c r="D842" s="5" t="inlineStr">
        <is>
          <t>band</t>
        </is>
      </c>
      <c r="E842" s="5" t="n">
        <v>2</v>
      </c>
      <c r="F842" s="5" t="inlineStr">
        <is>
          <t>unidentified</t>
        </is>
      </c>
      <c r="G842" s="5" t="inlineStr">
        <is>
          <t>C2</t>
        </is>
      </c>
      <c r="H842" s="5" t="inlineStr">
        <is>
          <t>no label votes</t>
        </is>
      </c>
      <c r="I842" s="5" t="inlineStr">
        <is>
          <t>(none)</t>
        </is>
      </c>
      <c r="J842" s="5" t="inlineStr"/>
      <c r="K842" s="5" t="inlineStr"/>
      <c r="L842" s="5" t="n">
        <v>223</v>
      </c>
      <c r="M842" s="5" t="n">
        <v>32</v>
      </c>
      <c r="N842" s="10">
        <f>IF(AND(ISNUMBER(L842),M842&gt;0),L842/M842,"")</f>
        <v/>
      </c>
      <c r="O842" s="5" t="n">
        <v>0.71</v>
      </c>
      <c r="P842" s="5" t="n">
        <v>1.6</v>
      </c>
      <c r="Q842" s="5" t="n">
        <v>1</v>
      </c>
      <c r="R842" s="5" t="n">
        <v>0</v>
      </c>
      <c r="S842" s="5" t="n">
        <v>0</v>
      </c>
      <c r="T842" s="5" t="n">
        <v>0</v>
      </c>
      <c r="U842" s="5" t="n">
        <v>0</v>
      </c>
      <c r="V842" s="5" t="n">
        <v>0</v>
      </c>
      <c r="W842" s="5" t="n">
        <v>1</v>
      </c>
      <c r="X842" s="5" t="n">
        <v>4</v>
      </c>
      <c r="Y842" s="5" t="n">
        <v>2.06</v>
      </c>
      <c r="Z842" s="5" t="inlineStr"/>
      <c r="AA842" s="5" t="n">
        <v>943.4</v>
      </c>
      <c r="AB842" s="5" t="n">
        <v>2518.3</v>
      </c>
      <c r="AC842" s="5" t="n">
        <v>1009.6</v>
      </c>
      <c r="AD842" s="5" t="n">
        <v>2529.6</v>
      </c>
      <c r="AE842" s="5" t="inlineStr"/>
      <c r="AF842" s="5">
        <f>IF(AE842="","",IF(OR(AE842=F842,AND(AE842="crane_footing",F842="isolated_footing")),"yes","no"))</f>
        <v/>
      </c>
    </row>
    <row r="843">
      <c r="A843" s="5" t="n">
        <v>842</v>
      </c>
      <c r="B843" s="5" t="inlineStr">
        <is>
          <t>129</t>
        </is>
      </c>
      <c r="C843" s="5" t="inlineStr">
        <is>
          <t>region between joints</t>
        </is>
      </c>
      <c r="D843" s="5" t="inlineStr">
        <is>
          <t>band</t>
        </is>
      </c>
      <c r="E843" s="5" t="n">
        <v>2</v>
      </c>
      <c r="F843" s="5" t="inlineStr">
        <is>
          <t>unidentified</t>
        </is>
      </c>
      <c r="G843" s="5" t="inlineStr">
        <is>
          <t>C2</t>
        </is>
      </c>
      <c r="H843" s="5" t="inlineStr">
        <is>
          <t>no label votes</t>
        </is>
      </c>
      <c r="I843" s="5" t="inlineStr">
        <is>
          <t>(none)</t>
        </is>
      </c>
      <c r="J843" s="5" t="inlineStr"/>
      <c r="K843" s="5" t="inlineStr"/>
      <c r="L843" s="5" t="n">
        <v>223</v>
      </c>
      <c r="M843" s="5" t="n">
        <v>32</v>
      </c>
      <c r="N843" s="10">
        <f>IF(AND(ISNUMBER(L843),M843&gt;0),L843/M843,"")</f>
        <v/>
      </c>
      <c r="O843" s="5" t="n">
        <v>0.71</v>
      </c>
      <c r="P843" s="5" t="n">
        <v>1.6</v>
      </c>
      <c r="Q843" s="5" t="n">
        <v>1</v>
      </c>
      <c r="R843" s="5" t="n">
        <v>0</v>
      </c>
      <c r="S843" s="5" t="n">
        <v>0</v>
      </c>
      <c r="T843" s="5" t="n">
        <v>0</v>
      </c>
      <c r="U843" s="5" t="n">
        <v>0</v>
      </c>
      <c r="V843" s="5" t="n">
        <v>0</v>
      </c>
      <c r="W843" s="5" t="n">
        <v>1</v>
      </c>
      <c r="X843" s="5" t="n">
        <v>4</v>
      </c>
      <c r="Y843" s="5" t="n">
        <v>2.23</v>
      </c>
      <c r="Z843" s="5" t="inlineStr"/>
      <c r="AA843" s="5" t="n">
        <v>999.2</v>
      </c>
      <c r="AB843" s="5" t="n">
        <v>2473</v>
      </c>
      <c r="AC843" s="5" t="n">
        <v>1065.4</v>
      </c>
      <c r="AD843" s="5" t="n">
        <v>2484.3</v>
      </c>
      <c r="AE843" s="5" t="inlineStr"/>
      <c r="AF843" s="5">
        <f>IF(AE843="","",IF(OR(AE843=F843,AND(AE843="crane_footing",F843="isolated_footing")),"yes","no"))</f>
        <v/>
      </c>
    </row>
    <row r="844">
      <c r="A844" s="5" t="n">
        <v>843</v>
      </c>
      <c r="B844" s="5" t="inlineStr">
        <is>
          <t>129</t>
        </is>
      </c>
      <c r="C844" s="5" t="inlineStr">
        <is>
          <t>region between joints</t>
        </is>
      </c>
      <c r="D844" s="5" t="inlineStr">
        <is>
          <t>band</t>
        </is>
      </c>
      <c r="E844" s="5" t="n">
        <v>2</v>
      </c>
      <c r="F844" s="5" t="inlineStr">
        <is>
          <t>unidentified</t>
        </is>
      </c>
      <c r="G844" s="5" t="inlineStr">
        <is>
          <t>C2</t>
        </is>
      </c>
      <c r="H844" s="5" t="inlineStr">
        <is>
          <t>no label votes</t>
        </is>
      </c>
      <c r="I844" s="5" t="inlineStr">
        <is>
          <t>(none)</t>
        </is>
      </c>
      <c r="J844" s="5" t="inlineStr"/>
      <c r="K844" s="5" t="inlineStr"/>
      <c r="L844" s="5" t="n">
        <v>223</v>
      </c>
      <c r="M844" s="5" t="n">
        <v>32</v>
      </c>
      <c r="N844" s="10">
        <f>IF(AND(ISNUMBER(L844),M844&gt;0),L844/M844,"")</f>
        <v/>
      </c>
      <c r="O844" s="5" t="n">
        <v>0.71</v>
      </c>
      <c r="P844" s="5" t="n">
        <v>1.6</v>
      </c>
      <c r="Q844" s="5" t="n">
        <v>1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0</v>
      </c>
      <c r="W844" s="5" t="n">
        <v>0</v>
      </c>
      <c r="X844" s="5" t="n">
        <v>4</v>
      </c>
      <c r="Y844" s="5" t="n">
        <v>2.23</v>
      </c>
      <c r="Z844" s="5" t="inlineStr"/>
      <c r="AA844" s="5" t="n">
        <v>988</v>
      </c>
      <c r="AB844" s="5" t="n">
        <v>2482.1</v>
      </c>
      <c r="AC844" s="5" t="n">
        <v>1054.2</v>
      </c>
      <c r="AD844" s="5" t="n">
        <v>2493.4</v>
      </c>
      <c r="AE844" s="5" t="inlineStr"/>
      <c r="AF844" s="5">
        <f>IF(AE844="","",IF(OR(AE844=F844,AND(AE844="crane_footing",F844="isolated_footing")),"yes","no"))</f>
        <v/>
      </c>
    </row>
    <row r="845">
      <c r="A845" s="5" t="n">
        <v>844</v>
      </c>
      <c r="B845" s="5" t="inlineStr">
        <is>
          <t>129</t>
        </is>
      </c>
      <c r="C845" s="5" t="inlineStr">
        <is>
          <t>region between joints</t>
        </is>
      </c>
      <c r="D845" s="5" t="inlineStr">
        <is>
          <t>band</t>
        </is>
      </c>
      <c r="E845" s="5" t="n">
        <v>2</v>
      </c>
      <c r="F845" s="5" t="inlineStr">
        <is>
          <t>unidentified</t>
        </is>
      </c>
      <c r="G845" s="5" t="inlineStr">
        <is>
          <t>C2</t>
        </is>
      </c>
      <c r="H845" s="5" t="inlineStr">
        <is>
          <t>no label votes</t>
        </is>
      </c>
      <c r="I845" s="5" t="inlineStr">
        <is>
          <t>(none)</t>
        </is>
      </c>
      <c r="J845" s="5" t="inlineStr"/>
      <c r="K845" s="5" t="inlineStr"/>
      <c r="L845" s="5" t="n">
        <v>223</v>
      </c>
      <c r="M845" s="5" t="n">
        <v>32</v>
      </c>
      <c r="N845" s="10">
        <f>IF(AND(ISNUMBER(L845),M845&gt;0),L845/M845,"")</f>
        <v/>
      </c>
      <c r="O845" s="5" t="n">
        <v>0.71</v>
      </c>
      <c r="P845" s="5" t="n">
        <v>1.6</v>
      </c>
      <c r="Q845" s="5" t="n">
        <v>1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0</v>
      </c>
      <c r="W845" s="5" t="n">
        <v>0</v>
      </c>
      <c r="X845" s="5" t="n">
        <v>4</v>
      </c>
      <c r="Y845" s="5" t="n">
        <v>2.23</v>
      </c>
      <c r="Z845" s="5" t="inlineStr"/>
      <c r="AA845" s="5" t="n">
        <v>1043.9</v>
      </c>
      <c r="AB845" s="5" t="n">
        <v>2436.8</v>
      </c>
      <c r="AC845" s="5" t="n">
        <v>1110</v>
      </c>
      <c r="AD845" s="5" t="n">
        <v>2448</v>
      </c>
      <c r="AE845" s="5" t="inlineStr"/>
      <c r="AF845" s="5">
        <f>IF(AE845="","",IF(OR(AE845=F845,AND(AE845="crane_footing",F845="isolated_footing")),"yes","no"))</f>
        <v/>
      </c>
    </row>
    <row r="846">
      <c r="A846" s="5" t="n">
        <v>845</v>
      </c>
      <c r="B846" s="5" t="inlineStr">
        <is>
          <t>129</t>
        </is>
      </c>
      <c r="C846" s="5" t="inlineStr">
        <is>
          <t>region between joints</t>
        </is>
      </c>
      <c r="D846" s="5" t="inlineStr">
        <is>
          <t>band</t>
        </is>
      </c>
      <c r="E846" s="5" t="n">
        <v>2</v>
      </c>
      <c r="F846" s="5" t="inlineStr">
        <is>
          <t>unidentified</t>
        </is>
      </c>
      <c r="G846" s="5" t="inlineStr">
        <is>
          <t>C2</t>
        </is>
      </c>
      <c r="H846" s="5" t="inlineStr">
        <is>
          <t>no label votes</t>
        </is>
      </c>
      <c r="I846" s="5" t="inlineStr">
        <is>
          <t>(none)</t>
        </is>
      </c>
      <c r="J846" s="5" t="inlineStr"/>
      <c r="K846" s="5" t="inlineStr"/>
      <c r="L846" s="5" t="n">
        <v>223</v>
      </c>
      <c r="M846" s="5" t="n">
        <v>32</v>
      </c>
      <c r="N846" s="10">
        <f>IF(AND(ISNUMBER(L846),M846&gt;0),L846/M846,"")</f>
        <v/>
      </c>
      <c r="O846" s="5" t="n">
        <v>0.71</v>
      </c>
      <c r="P846" s="5" t="n">
        <v>1.6</v>
      </c>
      <c r="Q846" s="5" t="n">
        <v>1</v>
      </c>
      <c r="R846" s="5" t="n">
        <v>0</v>
      </c>
      <c r="S846" s="5" t="n">
        <v>0</v>
      </c>
      <c r="T846" s="5" t="n">
        <v>0</v>
      </c>
      <c r="U846" s="5" t="n">
        <v>0</v>
      </c>
      <c r="V846" s="5" t="n">
        <v>0</v>
      </c>
      <c r="W846" s="5" t="n">
        <v>1</v>
      </c>
      <c r="X846" s="5" t="n">
        <v>4</v>
      </c>
      <c r="Y846" s="5" t="n">
        <v>2.06</v>
      </c>
      <c r="Z846" s="5" t="inlineStr"/>
      <c r="AA846" s="5" t="n">
        <v>965.7</v>
      </c>
      <c r="AB846" s="5" t="n">
        <v>2500.2</v>
      </c>
      <c r="AC846" s="5" t="n">
        <v>1031.9</v>
      </c>
      <c r="AD846" s="5" t="n">
        <v>2511.5</v>
      </c>
      <c r="AE846" s="5" t="inlineStr"/>
      <c r="AF846" s="5">
        <f>IF(AE846="","",IF(OR(AE846=F846,AND(AE846="crane_footing",F846="isolated_footing")),"yes","no"))</f>
        <v/>
      </c>
    </row>
    <row r="847">
      <c r="A847" s="5" t="n">
        <v>846</v>
      </c>
      <c r="B847" s="5" t="inlineStr">
        <is>
          <t>129</t>
        </is>
      </c>
      <c r="C847" s="5" t="inlineStr">
        <is>
          <t>region between joints</t>
        </is>
      </c>
      <c r="D847" s="5" t="inlineStr">
        <is>
          <t>band</t>
        </is>
      </c>
      <c r="E847" s="5" t="n">
        <v>2</v>
      </c>
      <c r="F847" s="5" t="inlineStr">
        <is>
          <t>unidentified</t>
        </is>
      </c>
      <c r="G847" s="5" t="inlineStr">
        <is>
          <t>C2</t>
        </is>
      </c>
      <c r="H847" s="5" t="inlineStr">
        <is>
          <t>no label votes</t>
        </is>
      </c>
      <c r="I847" s="5" t="inlineStr">
        <is>
          <t>(none)</t>
        </is>
      </c>
      <c r="J847" s="5" t="inlineStr"/>
      <c r="K847" s="5" t="inlineStr"/>
      <c r="L847" s="5" t="n">
        <v>223</v>
      </c>
      <c r="M847" s="5" t="n">
        <v>32</v>
      </c>
      <c r="N847" s="10">
        <f>IF(AND(ISNUMBER(L847),M847&gt;0),L847/M847,"")</f>
        <v/>
      </c>
      <c r="O847" s="5" t="n">
        <v>0.71</v>
      </c>
      <c r="P847" s="5" t="n">
        <v>1.6</v>
      </c>
      <c r="Q847" s="5" t="n">
        <v>1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1</v>
      </c>
      <c r="X847" s="5" t="n">
        <v>4</v>
      </c>
      <c r="Y847" s="5" t="n">
        <v>2.23</v>
      </c>
      <c r="Z847" s="5" t="inlineStr"/>
      <c r="AA847" s="5" t="n">
        <v>1021.5</v>
      </c>
      <c r="AB847" s="5" t="n">
        <v>2454.9</v>
      </c>
      <c r="AC847" s="5" t="n">
        <v>1087.7</v>
      </c>
      <c r="AD847" s="5" t="n">
        <v>2466.2</v>
      </c>
      <c r="AE847" s="5" t="inlineStr"/>
      <c r="AF847" s="5">
        <f>IF(AE847="","",IF(OR(AE847=F847,AND(AE847="crane_footing",F847="isolated_footing")),"yes","no"))</f>
        <v/>
      </c>
    </row>
    <row r="848">
      <c r="A848" s="5" t="n">
        <v>847</v>
      </c>
      <c r="B848" s="5" t="inlineStr">
        <is>
          <t>129</t>
        </is>
      </c>
      <c r="C848" s="5" t="inlineStr">
        <is>
          <t>region between joints</t>
        </is>
      </c>
      <c r="D848" s="5" t="inlineStr">
        <is>
          <t>band</t>
        </is>
      </c>
      <c r="E848" s="5" t="n">
        <v>2</v>
      </c>
      <c r="F848" s="5" t="inlineStr">
        <is>
          <t>unidentified</t>
        </is>
      </c>
      <c r="G848" s="5" t="inlineStr">
        <is>
          <t>C2</t>
        </is>
      </c>
      <c r="H848" s="5" t="inlineStr">
        <is>
          <t>no label votes</t>
        </is>
      </c>
      <c r="I848" s="5" t="inlineStr">
        <is>
          <t>(none)</t>
        </is>
      </c>
      <c r="J848" s="5" t="inlineStr"/>
      <c r="K848" s="5" t="inlineStr"/>
      <c r="L848" s="5" t="n">
        <v>223</v>
      </c>
      <c r="M848" s="5" t="n">
        <v>32</v>
      </c>
      <c r="N848" s="10">
        <f>IF(AND(ISNUMBER(L848),M848&gt;0),L848/M848,"")</f>
        <v/>
      </c>
      <c r="O848" s="5" t="n">
        <v>0.71</v>
      </c>
      <c r="P848" s="5" t="n">
        <v>101.6</v>
      </c>
      <c r="Q848" s="5" t="n">
        <v>0</v>
      </c>
      <c r="R848" s="5" t="n">
        <v>1</v>
      </c>
      <c r="S848" s="5" t="n">
        <v>0</v>
      </c>
      <c r="T848" s="5" t="n">
        <v>0</v>
      </c>
      <c r="U848" s="5" t="n">
        <v>0</v>
      </c>
      <c r="V848" s="5" t="n">
        <v>0</v>
      </c>
      <c r="W848" s="5" t="n">
        <v>1</v>
      </c>
      <c r="X848" s="5" t="n">
        <v>6</v>
      </c>
      <c r="Y848" s="5" t="n">
        <v>0</v>
      </c>
      <c r="Z848" s="5" t="inlineStr"/>
      <c r="AA848" s="5" t="n">
        <v>985</v>
      </c>
      <c r="AB848" s="5" t="n">
        <v>2538.6</v>
      </c>
      <c r="AC848" s="5" t="n">
        <v>1007.4</v>
      </c>
      <c r="AD848" s="5" t="n">
        <v>2605</v>
      </c>
      <c r="AE848" s="5" t="inlineStr"/>
      <c r="AF848" s="5">
        <f>IF(AE848="","",IF(OR(AE848=F848,AND(AE848="crane_footing",F848="isolated_footing")),"yes","no"))</f>
        <v/>
      </c>
    </row>
    <row r="849">
      <c r="A849" s="5" t="n">
        <v>848</v>
      </c>
      <c r="B849" s="5" t="inlineStr">
        <is>
          <t>129</t>
        </is>
      </c>
      <c r="C849" s="5" t="inlineStr">
        <is>
          <t>region between joints</t>
        </is>
      </c>
      <c r="D849" s="5" t="inlineStr">
        <is>
          <t>band</t>
        </is>
      </c>
      <c r="E849" s="5" t="n">
        <v>2</v>
      </c>
      <c r="F849" s="5" t="inlineStr">
        <is>
          <t>unidentified</t>
        </is>
      </c>
      <c r="G849" s="5" t="inlineStr">
        <is>
          <t>C2</t>
        </is>
      </c>
      <c r="H849" s="5" t="inlineStr">
        <is>
          <t>no label votes</t>
        </is>
      </c>
      <c r="I849" s="5" t="inlineStr">
        <is>
          <t>(none)</t>
        </is>
      </c>
      <c r="J849" s="5" t="inlineStr"/>
      <c r="K849" s="5" t="inlineStr"/>
      <c r="L849" s="5" t="n">
        <v>223</v>
      </c>
      <c r="M849" s="5" t="n">
        <v>32</v>
      </c>
      <c r="N849" s="10">
        <f>IF(AND(ISNUMBER(L849),M849&gt;0),L849/M849,"")</f>
        <v/>
      </c>
      <c r="O849" s="5" t="n">
        <v>0.709</v>
      </c>
      <c r="P849" s="5" t="n">
        <v>1.7</v>
      </c>
      <c r="Q849" s="5" t="n">
        <v>1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0</v>
      </c>
      <c r="W849" s="5" t="n">
        <v>2</v>
      </c>
      <c r="X849" s="5" t="n">
        <v>4</v>
      </c>
      <c r="Y849" s="5" t="n">
        <v>2.06</v>
      </c>
      <c r="Z849" s="5" t="inlineStr"/>
      <c r="AA849" s="5" t="n">
        <v>910</v>
      </c>
      <c r="AB849" s="5" t="n">
        <v>2545.5</v>
      </c>
      <c r="AC849" s="5" t="n">
        <v>976.1</v>
      </c>
      <c r="AD849" s="5" t="n">
        <v>2556.8</v>
      </c>
      <c r="AE849" s="5" t="inlineStr"/>
      <c r="AF849" s="5">
        <f>IF(AE849="","",IF(OR(AE849=F849,AND(AE849="crane_footing",F849="isolated_footing")),"yes","no"))</f>
        <v/>
      </c>
    </row>
    <row r="850">
      <c r="A850" s="5" t="n">
        <v>849</v>
      </c>
      <c r="B850" s="5" t="inlineStr">
        <is>
          <t>129</t>
        </is>
      </c>
      <c r="C850" s="5" t="inlineStr">
        <is>
          <t>region between joints</t>
        </is>
      </c>
      <c r="D850" s="5" t="inlineStr">
        <is>
          <t>band</t>
        </is>
      </c>
      <c r="E850" s="5" t="n">
        <v>2</v>
      </c>
      <c r="F850" s="5" t="inlineStr">
        <is>
          <t>unidentified</t>
        </is>
      </c>
      <c r="G850" s="5" t="inlineStr">
        <is>
          <t>C2</t>
        </is>
      </c>
      <c r="H850" s="5" t="inlineStr">
        <is>
          <t>no label votes</t>
        </is>
      </c>
      <c r="I850" s="5" t="inlineStr">
        <is>
          <t>(none)</t>
        </is>
      </c>
      <c r="J850" s="5" t="inlineStr"/>
      <c r="K850" s="5" t="inlineStr"/>
      <c r="L850" s="5" t="n">
        <v>223</v>
      </c>
      <c r="M850" s="5" t="n">
        <v>32</v>
      </c>
      <c r="N850" s="10">
        <f>IF(AND(ISNUMBER(L850),M850&gt;0),L850/M850,"")</f>
        <v/>
      </c>
      <c r="O850" s="5" t="n">
        <v>0.709</v>
      </c>
      <c r="P850" s="5" t="n">
        <v>1.6</v>
      </c>
      <c r="Q850" s="5" t="n">
        <v>1</v>
      </c>
      <c r="R850" s="5" t="n">
        <v>0</v>
      </c>
      <c r="S850" s="5" t="n">
        <v>0</v>
      </c>
      <c r="T850" s="5" t="n">
        <v>0</v>
      </c>
      <c r="U850" s="5" t="n">
        <v>0</v>
      </c>
      <c r="V850" s="5" t="n">
        <v>0</v>
      </c>
      <c r="W850" s="5" t="n">
        <v>1</v>
      </c>
      <c r="X850" s="5" t="n">
        <v>4</v>
      </c>
      <c r="Y850" s="5" t="n">
        <v>2.23</v>
      </c>
      <c r="Z850" s="5" t="inlineStr"/>
      <c r="AA850" s="5" t="n">
        <v>865.4</v>
      </c>
      <c r="AB850" s="5" t="n">
        <v>2581.7</v>
      </c>
      <c r="AC850" s="5" t="n">
        <v>931.5</v>
      </c>
      <c r="AD850" s="5" t="n">
        <v>2593</v>
      </c>
      <c r="AE850" s="5" t="inlineStr"/>
      <c r="AF850" s="5">
        <f>IF(AE850="","",IF(OR(AE850=F850,AND(AE850="crane_footing",F850="isolated_footing")),"yes","no"))</f>
        <v/>
      </c>
    </row>
    <row r="851">
      <c r="A851" s="5" t="n">
        <v>850</v>
      </c>
      <c r="B851" s="5" t="inlineStr">
        <is>
          <t>129</t>
        </is>
      </c>
      <c r="C851" s="5" t="inlineStr">
        <is>
          <t>region between joints</t>
        </is>
      </c>
      <c r="D851" s="5" t="inlineStr">
        <is>
          <t>band</t>
        </is>
      </c>
      <c r="E851" s="5" t="n">
        <v>2</v>
      </c>
      <c r="F851" s="5" t="inlineStr">
        <is>
          <t>unidentified</t>
        </is>
      </c>
      <c r="G851" s="5" t="inlineStr">
        <is>
          <t>C2</t>
        </is>
      </c>
      <c r="H851" s="5" t="inlineStr">
        <is>
          <t>no label votes</t>
        </is>
      </c>
      <c r="I851" s="5" t="inlineStr">
        <is>
          <t>(none)</t>
        </is>
      </c>
      <c r="J851" s="5" t="inlineStr"/>
      <c r="K851" s="5" t="inlineStr"/>
      <c r="L851" s="5" t="n">
        <v>223</v>
      </c>
      <c r="M851" s="5" t="n">
        <v>32</v>
      </c>
      <c r="N851" s="10">
        <f>IF(AND(ISNUMBER(L851),M851&gt;0),L851/M851,"")</f>
        <v/>
      </c>
      <c r="O851" s="5" t="n">
        <v>0.709</v>
      </c>
      <c r="P851" s="5" t="n">
        <v>1.6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0</v>
      </c>
      <c r="V851" s="5" t="n">
        <v>0</v>
      </c>
      <c r="W851" s="5" t="n">
        <v>0</v>
      </c>
      <c r="X851" s="5" t="n">
        <v>4</v>
      </c>
      <c r="Y851" s="5" t="n">
        <v>2.06</v>
      </c>
      <c r="Z851" s="5" t="inlineStr"/>
      <c r="AA851" s="5" t="n">
        <v>921.2</v>
      </c>
      <c r="AB851" s="5" t="n">
        <v>2536.5</v>
      </c>
      <c r="AC851" s="5" t="n">
        <v>987.3</v>
      </c>
      <c r="AD851" s="5" t="n">
        <v>2547.7</v>
      </c>
      <c r="AE851" s="5" t="inlineStr"/>
      <c r="AF851" s="5">
        <f>IF(AE851="","",IF(OR(AE851=F851,AND(AE851="crane_footing",F851="isolated_footing")),"yes","no"))</f>
        <v/>
      </c>
    </row>
    <row r="852">
      <c r="A852" s="5" t="n">
        <v>851</v>
      </c>
      <c r="B852" s="5" t="inlineStr">
        <is>
          <t>129</t>
        </is>
      </c>
      <c r="C852" s="5" t="inlineStr">
        <is>
          <t>region between joints</t>
        </is>
      </c>
      <c r="D852" s="5" t="inlineStr">
        <is>
          <t>band</t>
        </is>
      </c>
      <c r="E852" s="5" t="n">
        <v>2</v>
      </c>
      <c r="F852" s="5" t="inlineStr">
        <is>
          <t>unidentified</t>
        </is>
      </c>
      <c r="G852" s="5" t="inlineStr">
        <is>
          <t>C2</t>
        </is>
      </c>
      <c r="H852" s="5" t="inlineStr">
        <is>
          <t>no label votes</t>
        </is>
      </c>
      <c r="I852" s="5" t="inlineStr">
        <is>
          <t>(none)</t>
        </is>
      </c>
      <c r="J852" s="5" t="inlineStr"/>
      <c r="K852" s="5" t="inlineStr"/>
      <c r="L852" s="5" t="n">
        <v>223</v>
      </c>
      <c r="M852" s="5" t="n">
        <v>32</v>
      </c>
      <c r="N852" s="10">
        <f>IF(AND(ISNUMBER(L852),M852&gt;0),L852/M852,"")</f>
        <v/>
      </c>
      <c r="O852" s="5" t="n">
        <v>0.709</v>
      </c>
      <c r="P852" s="5" t="n">
        <v>1.6</v>
      </c>
      <c r="Q852" s="5" t="n">
        <v>1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0</v>
      </c>
      <c r="W852" s="5" t="n">
        <v>3</v>
      </c>
      <c r="X852" s="5" t="n">
        <v>4</v>
      </c>
      <c r="Y852" s="5" t="n">
        <v>2.06</v>
      </c>
      <c r="Z852" s="5" t="inlineStr"/>
      <c r="AA852" s="5" t="n">
        <v>887.7</v>
      </c>
      <c r="AB852" s="5" t="n">
        <v>2563.6</v>
      </c>
      <c r="AC852" s="5" t="n">
        <v>953.8</v>
      </c>
      <c r="AD852" s="5" t="n">
        <v>2574.9</v>
      </c>
      <c r="AE852" s="5" t="inlineStr"/>
      <c r="AF852" s="5">
        <f>IF(AE852="","",IF(OR(AE852=F852,AND(AE852="crane_footing",F852="isolated_footing")),"yes","no"))</f>
        <v/>
      </c>
    </row>
    <row r="853">
      <c r="A853" s="5" t="n">
        <v>852</v>
      </c>
      <c r="B853" s="5" t="inlineStr">
        <is>
          <t>129</t>
        </is>
      </c>
      <c r="C853" s="5" t="inlineStr">
        <is>
          <t>region between joints</t>
        </is>
      </c>
      <c r="D853" s="5" t="inlineStr">
        <is>
          <t>band</t>
        </is>
      </c>
      <c r="E853" s="5" t="n">
        <v>2</v>
      </c>
      <c r="F853" s="5" t="inlineStr">
        <is>
          <t>unidentified</t>
        </is>
      </c>
      <c r="G853" s="5" t="inlineStr">
        <is>
          <t>C2</t>
        </is>
      </c>
      <c r="H853" s="5" t="inlineStr">
        <is>
          <t>no label votes</t>
        </is>
      </c>
      <c r="I853" s="5" t="inlineStr">
        <is>
          <t>(none)</t>
        </is>
      </c>
      <c r="J853" s="5" t="inlineStr"/>
      <c r="K853" s="5" t="inlineStr"/>
      <c r="L853" s="5" t="n">
        <v>223</v>
      </c>
      <c r="M853" s="5" t="n">
        <v>32</v>
      </c>
      <c r="N853" s="10">
        <f>IF(AND(ISNUMBER(L853),M853&gt;0),L853/M853,"")</f>
        <v/>
      </c>
      <c r="O853" s="5" t="n">
        <v>0.709</v>
      </c>
      <c r="P853" s="5" t="n">
        <v>1.6</v>
      </c>
      <c r="Q853" s="5" t="n">
        <v>1</v>
      </c>
      <c r="R853" s="5" t="n">
        <v>0</v>
      </c>
      <c r="S853" s="5" t="n">
        <v>0</v>
      </c>
      <c r="T853" s="5" t="n">
        <v>0</v>
      </c>
      <c r="U853" s="5" t="n">
        <v>0</v>
      </c>
      <c r="V853" s="5" t="n">
        <v>0</v>
      </c>
      <c r="W853" s="5" t="n">
        <v>2</v>
      </c>
      <c r="X853" s="5" t="n">
        <v>4</v>
      </c>
      <c r="Y853" s="5" t="n">
        <v>2.06</v>
      </c>
      <c r="Z853" s="5" t="inlineStr"/>
      <c r="AA853" s="5" t="n">
        <v>954.6</v>
      </c>
      <c r="AB853" s="5" t="n">
        <v>2509.3</v>
      </c>
      <c r="AC853" s="5" t="n">
        <v>1020.7</v>
      </c>
      <c r="AD853" s="5" t="n">
        <v>2520.5</v>
      </c>
      <c r="AE853" s="5" t="inlineStr"/>
      <c r="AF853" s="5">
        <f>IF(AE853="","",IF(OR(AE853=F853,AND(AE853="crane_footing",F853="isolated_footing")),"yes","no"))</f>
        <v/>
      </c>
    </row>
    <row r="854">
      <c r="A854" s="5" t="n">
        <v>853</v>
      </c>
      <c r="B854" s="5" t="inlineStr">
        <is>
          <t>129</t>
        </is>
      </c>
      <c r="C854" s="5" t="inlineStr">
        <is>
          <t>region between joints</t>
        </is>
      </c>
      <c r="D854" s="5" t="inlineStr">
        <is>
          <t>band</t>
        </is>
      </c>
      <c r="E854" s="5" t="n">
        <v>2</v>
      </c>
      <c r="F854" s="5" t="inlineStr">
        <is>
          <t>unidentified</t>
        </is>
      </c>
      <c r="G854" s="5" t="inlineStr">
        <is>
          <t>C2</t>
        </is>
      </c>
      <c r="H854" s="5" t="inlineStr">
        <is>
          <t>no label votes</t>
        </is>
      </c>
      <c r="I854" s="5" t="inlineStr">
        <is>
          <t>(none)</t>
        </is>
      </c>
      <c r="J854" s="5" t="inlineStr"/>
      <c r="K854" s="5" t="inlineStr"/>
      <c r="L854" s="5" t="n">
        <v>223</v>
      </c>
      <c r="M854" s="5" t="n">
        <v>32</v>
      </c>
      <c r="N854" s="10">
        <f>IF(AND(ISNUMBER(L854),M854&gt;0),L854/M854,"")</f>
        <v/>
      </c>
      <c r="O854" s="5" t="n">
        <v>0.709</v>
      </c>
      <c r="P854" s="5" t="n">
        <v>1.6</v>
      </c>
      <c r="Q854" s="5" t="n">
        <v>1</v>
      </c>
      <c r="R854" s="5" t="n">
        <v>0</v>
      </c>
      <c r="S854" s="5" t="n">
        <v>0</v>
      </c>
      <c r="T854" s="5" t="n">
        <v>0</v>
      </c>
      <c r="U854" s="5" t="n">
        <v>0</v>
      </c>
      <c r="V854" s="5" t="n">
        <v>0</v>
      </c>
      <c r="W854" s="5" t="n">
        <v>0</v>
      </c>
      <c r="X854" s="5" t="n">
        <v>4</v>
      </c>
      <c r="Y854" s="5" t="n">
        <v>2.06</v>
      </c>
      <c r="Z854" s="5" t="inlineStr"/>
      <c r="AA854" s="5" t="n">
        <v>932.3</v>
      </c>
      <c r="AB854" s="5" t="n">
        <v>2527.4</v>
      </c>
      <c r="AC854" s="5" t="n">
        <v>998.4</v>
      </c>
      <c r="AD854" s="5" t="n">
        <v>2538.7</v>
      </c>
      <c r="AE854" s="5" t="inlineStr"/>
      <c r="AF854" s="5">
        <f>IF(AE854="","",IF(OR(AE854=F854,AND(AE854="crane_footing",F854="isolated_footing")),"yes","no"))</f>
        <v/>
      </c>
    </row>
    <row r="855">
      <c r="A855" s="5" t="n">
        <v>854</v>
      </c>
      <c r="B855" s="5" t="inlineStr">
        <is>
          <t>129</t>
        </is>
      </c>
      <c r="C855" s="5" t="inlineStr">
        <is>
          <t>region between joints</t>
        </is>
      </c>
      <c r="D855" s="5" t="inlineStr">
        <is>
          <t>band</t>
        </is>
      </c>
      <c r="E855" s="5" t="n">
        <v>2</v>
      </c>
      <c r="F855" s="5" t="inlineStr">
        <is>
          <t>unidentified</t>
        </is>
      </c>
      <c r="G855" s="5" t="inlineStr">
        <is>
          <t>C2</t>
        </is>
      </c>
      <c r="H855" s="5" t="inlineStr">
        <is>
          <t>no label votes</t>
        </is>
      </c>
      <c r="I855" s="5" t="inlineStr">
        <is>
          <t>(none)</t>
        </is>
      </c>
      <c r="J855" s="5" t="inlineStr"/>
      <c r="K855" s="5" t="inlineStr"/>
      <c r="L855" s="5" t="n">
        <v>223</v>
      </c>
      <c r="M855" s="5" t="n">
        <v>32</v>
      </c>
      <c r="N855" s="10">
        <f>IF(AND(ISNUMBER(L855),M855&gt;0),L855/M855,"")</f>
        <v/>
      </c>
      <c r="O855" s="5" t="n">
        <v>0.709</v>
      </c>
      <c r="P855" s="5" t="n">
        <v>101.6</v>
      </c>
      <c r="Q855" s="5" t="n">
        <v>0</v>
      </c>
      <c r="R855" s="5" t="n">
        <v>1</v>
      </c>
      <c r="S855" s="5" t="n">
        <v>0</v>
      </c>
      <c r="T855" s="5" t="n">
        <v>0</v>
      </c>
      <c r="U855" s="5" t="n">
        <v>0</v>
      </c>
      <c r="V855" s="5" t="n">
        <v>0</v>
      </c>
      <c r="W855" s="5" t="n">
        <v>0</v>
      </c>
      <c r="X855" s="5" t="n">
        <v>6</v>
      </c>
      <c r="Y855" s="5" t="n">
        <v>0</v>
      </c>
      <c r="Z855" s="5" t="inlineStr"/>
      <c r="AA855" s="5" t="n">
        <v>1008</v>
      </c>
      <c r="AB855" s="5" t="n">
        <v>2519.9</v>
      </c>
      <c r="AC855" s="5" t="n">
        <v>1030.4</v>
      </c>
      <c r="AD855" s="5" t="n">
        <v>2586.3</v>
      </c>
      <c r="AE855" s="5" t="inlineStr"/>
      <c r="AF855" s="5">
        <f>IF(AE855="","",IF(OR(AE855=F855,AND(AE855="crane_footing",F855="isolated_footing")),"yes","no"))</f>
        <v/>
      </c>
    </row>
    <row r="856">
      <c r="A856" s="5" t="n">
        <v>855</v>
      </c>
      <c r="B856" s="5" t="inlineStr">
        <is>
          <t>129</t>
        </is>
      </c>
      <c r="C856" s="5" t="inlineStr">
        <is>
          <t>region between joints</t>
        </is>
      </c>
      <c r="D856" s="5" t="inlineStr">
        <is>
          <t>band</t>
        </is>
      </c>
      <c r="E856" s="5" t="n">
        <v>2</v>
      </c>
      <c r="F856" s="5" t="inlineStr">
        <is>
          <t>unidentified</t>
        </is>
      </c>
      <c r="G856" s="5" t="inlineStr">
        <is>
          <t>C2</t>
        </is>
      </c>
      <c r="H856" s="5" t="inlineStr">
        <is>
          <t>no label votes</t>
        </is>
      </c>
      <c r="I856" s="5" t="inlineStr">
        <is>
          <t>(none)</t>
        </is>
      </c>
      <c r="J856" s="5" t="inlineStr"/>
      <c r="K856" s="5" t="inlineStr"/>
      <c r="L856" s="5" t="n">
        <v>223</v>
      </c>
      <c r="M856" s="5" t="n">
        <v>32</v>
      </c>
      <c r="N856" s="10">
        <f>IF(AND(ISNUMBER(L856),M856&gt;0),L856/M856,"")</f>
        <v/>
      </c>
      <c r="O856" s="5" t="n">
        <v>0.709</v>
      </c>
      <c r="P856" s="5" t="n">
        <v>101.7</v>
      </c>
      <c r="Q856" s="5" t="n">
        <v>0</v>
      </c>
      <c r="R856" s="5" t="n">
        <v>1</v>
      </c>
      <c r="S856" s="5" t="n">
        <v>0</v>
      </c>
      <c r="T856" s="5" t="n">
        <v>0</v>
      </c>
      <c r="U856" s="5" t="n">
        <v>0</v>
      </c>
      <c r="V856" s="5" t="n">
        <v>0</v>
      </c>
      <c r="W856" s="5" t="n">
        <v>0</v>
      </c>
      <c r="X856" s="5" t="n">
        <v>6</v>
      </c>
      <c r="Y856" s="5" t="n">
        <v>0</v>
      </c>
      <c r="Z856" s="5" t="inlineStr"/>
      <c r="AA856" s="5" t="n">
        <v>1019.4</v>
      </c>
      <c r="AB856" s="5" t="n">
        <v>2510.6</v>
      </c>
      <c r="AC856" s="5" t="n">
        <v>1041.9</v>
      </c>
      <c r="AD856" s="5" t="n">
        <v>2577</v>
      </c>
      <c r="AE856" s="5" t="inlineStr"/>
      <c r="AF856" s="5">
        <f>IF(AE856="","",IF(OR(AE856=F856,AND(AE856="crane_footing",F856="isolated_footing")),"yes","no"))</f>
        <v/>
      </c>
    </row>
    <row r="857">
      <c r="A857" s="5" t="n">
        <v>856</v>
      </c>
      <c r="B857" s="5" t="inlineStr">
        <is>
          <t>129</t>
        </is>
      </c>
      <c r="C857" s="5" t="inlineStr">
        <is>
          <t>region between joints</t>
        </is>
      </c>
      <c r="D857" s="5" t="inlineStr">
        <is>
          <t>band</t>
        </is>
      </c>
      <c r="E857" s="5" t="n">
        <v>2</v>
      </c>
      <c r="F857" s="5" t="inlineStr">
        <is>
          <t>unidentified</t>
        </is>
      </c>
      <c r="G857" s="5" t="inlineStr">
        <is>
          <t>C2</t>
        </is>
      </c>
      <c r="H857" s="5" t="inlineStr">
        <is>
          <t>no label votes</t>
        </is>
      </c>
      <c r="I857" s="5" t="inlineStr">
        <is>
          <t>(none)</t>
        </is>
      </c>
      <c r="J857" s="5" t="inlineStr"/>
      <c r="K857" s="5" t="inlineStr"/>
      <c r="L857" s="5" t="n">
        <v>223</v>
      </c>
      <c r="M857" s="5" t="n">
        <v>32</v>
      </c>
      <c r="N857" s="10">
        <f>IF(AND(ISNUMBER(L857),M857&gt;0),L857/M857,"")</f>
        <v/>
      </c>
      <c r="O857" s="5" t="n">
        <v>0.709</v>
      </c>
      <c r="P857" s="5" t="n">
        <v>101.6</v>
      </c>
      <c r="Q857" s="5" t="n">
        <v>0</v>
      </c>
      <c r="R857" s="5" t="n">
        <v>1</v>
      </c>
      <c r="S857" s="5" t="n">
        <v>0</v>
      </c>
      <c r="T857" s="5" t="n">
        <v>0</v>
      </c>
      <c r="U857" s="5" t="n">
        <v>0</v>
      </c>
      <c r="V857" s="5" t="n">
        <v>0</v>
      </c>
      <c r="W857" s="5" t="n">
        <v>5</v>
      </c>
      <c r="X857" s="5" t="n">
        <v>6</v>
      </c>
      <c r="Y857" s="5" t="n">
        <v>0</v>
      </c>
      <c r="Z857" s="5" t="inlineStr"/>
      <c r="AA857" s="5" t="n">
        <v>996.5</v>
      </c>
      <c r="AB857" s="5" t="n">
        <v>2529.3</v>
      </c>
      <c r="AC857" s="5" t="n">
        <v>1018.9</v>
      </c>
      <c r="AD857" s="5" t="n">
        <v>2595.7</v>
      </c>
      <c r="AE857" s="5" t="inlineStr"/>
      <c r="AF857" s="5">
        <f>IF(AE857="","",IF(OR(AE857=F857,AND(AE857="crane_footing",F857="isolated_footing")),"yes","no"))</f>
        <v/>
      </c>
    </row>
    <row r="858">
      <c r="A858" s="5" t="n">
        <v>857</v>
      </c>
      <c r="B858" s="5" t="inlineStr">
        <is>
          <t>129</t>
        </is>
      </c>
      <c r="C858" s="5" t="inlineStr">
        <is>
          <t>region between joints</t>
        </is>
      </c>
      <c r="D858" s="5" t="inlineStr">
        <is>
          <t>band</t>
        </is>
      </c>
      <c r="E858" s="5" t="n">
        <v>2</v>
      </c>
      <c r="F858" s="5" t="inlineStr">
        <is>
          <t>unidentified</t>
        </is>
      </c>
      <c r="G858" s="5" t="inlineStr">
        <is>
          <t>C2</t>
        </is>
      </c>
      <c r="H858" s="5" t="inlineStr">
        <is>
          <t>no label votes</t>
        </is>
      </c>
      <c r="I858" s="5" t="inlineStr">
        <is>
          <t>(none)</t>
        </is>
      </c>
      <c r="J858" s="5" t="inlineStr"/>
      <c r="K858" s="5" t="inlineStr"/>
      <c r="L858" s="5" t="n">
        <v>223</v>
      </c>
      <c r="M858" s="5" t="n">
        <v>32</v>
      </c>
      <c r="N858" s="10">
        <f>IF(AND(ISNUMBER(L858),M858&gt;0),L858/M858,"")</f>
        <v/>
      </c>
      <c r="O858" s="5" t="n">
        <v>0.709</v>
      </c>
      <c r="P858" s="5" t="n">
        <v>1.6</v>
      </c>
      <c r="Q858" s="5" t="n">
        <v>1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5" t="n">
        <v>4</v>
      </c>
      <c r="Y858" s="5" t="n">
        <v>2.23</v>
      </c>
      <c r="Z858" s="5" t="inlineStr"/>
      <c r="AA858" s="5" t="n">
        <v>831.9</v>
      </c>
      <c r="AB858" s="5" t="n">
        <v>2608.9</v>
      </c>
      <c r="AC858" s="5" t="n">
        <v>898</v>
      </c>
      <c r="AD858" s="5" t="n">
        <v>2620.2</v>
      </c>
      <c r="AE858" s="5" t="inlineStr"/>
      <c r="AF858" s="5">
        <f>IF(AE858="","",IF(OR(AE858=F858,AND(AE858="crane_footing",F858="isolated_footing")),"yes","no"))</f>
        <v/>
      </c>
    </row>
    <row r="859">
      <c r="A859" s="5" t="n">
        <v>858</v>
      </c>
      <c r="B859" s="5" t="inlineStr">
        <is>
          <t>129</t>
        </is>
      </c>
      <c r="C859" s="5" t="inlineStr">
        <is>
          <t>region between joints</t>
        </is>
      </c>
      <c r="D859" s="5" t="inlineStr">
        <is>
          <t>band</t>
        </is>
      </c>
      <c r="E859" s="5" t="n">
        <v>2</v>
      </c>
      <c r="F859" s="5" t="inlineStr">
        <is>
          <t>unidentified</t>
        </is>
      </c>
      <c r="G859" s="5" t="inlineStr">
        <is>
          <t>C2</t>
        </is>
      </c>
      <c r="H859" s="5" t="inlineStr">
        <is>
          <t>no label votes</t>
        </is>
      </c>
      <c r="I859" s="5" t="inlineStr">
        <is>
          <t>(none)</t>
        </is>
      </c>
      <c r="J859" s="5" t="inlineStr"/>
      <c r="K859" s="5" t="inlineStr"/>
      <c r="L859" s="5" t="n">
        <v>223</v>
      </c>
      <c r="M859" s="5" t="n">
        <v>32</v>
      </c>
      <c r="N859" s="10">
        <f>IF(AND(ISNUMBER(L859),M859&gt;0),L859/M859,"")</f>
        <v/>
      </c>
      <c r="O859" s="5" t="n">
        <v>0.709</v>
      </c>
      <c r="P859" s="5" t="n">
        <v>1.6</v>
      </c>
      <c r="Q859" s="5" t="n">
        <v>1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0</v>
      </c>
      <c r="W859" s="5" t="n">
        <v>0</v>
      </c>
      <c r="X859" s="5" t="n">
        <v>4</v>
      </c>
      <c r="Y859" s="5" t="n">
        <v>2.06</v>
      </c>
      <c r="Z859" s="5" t="inlineStr"/>
      <c r="AA859" s="5" t="n">
        <v>898.9</v>
      </c>
      <c r="AB859" s="5" t="n">
        <v>2554.5</v>
      </c>
      <c r="AC859" s="5" t="n">
        <v>964.9</v>
      </c>
      <c r="AD859" s="5" t="n">
        <v>2565.8</v>
      </c>
      <c r="AE859" s="5" t="inlineStr"/>
      <c r="AF859" s="5">
        <f>IF(AE859="","",IF(OR(AE859=F859,AND(AE859="crane_footing",F859="isolated_footing")),"yes","no"))</f>
        <v/>
      </c>
    </row>
    <row r="860">
      <c r="A860" s="5" t="n">
        <v>859</v>
      </c>
      <c r="B860" s="5" t="inlineStr">
        <is>
          <t>129</t>
        </is>
      </c>
      <c r="C860" s="5" t="inlineStr">
        <is>
          <t>region between joints</t>
        </is>
      </c>
      <c r="D860" s="5" t="inlineStr">
        <is>
          <t>band</t>
        </is>
      </c>
      <c r="E860" s="5" t="n">
        <v>2</v>
      </c>
      <c r="F860" s="5" t="inlineStr">
        <is>
          <t>unidentified</t>
        </is>
      </c>
      <c r="G860" s="5" t="inlineStr">
        <is>
          <t>C2</t>
        </is>
      </c>
      <c r="H860" s="5" t="inlineStr">
        <is>
          <t>no label votes</t>
        </is>
      </c>
      <c r="I860" s="5" t="inlineStr">
        <is>
          <t>(none)</t>
        </is>
      </c>
      <c r="J860" s="5" t="inlineStr"/>
      <c r="K860" s="5" t="inlineStr"/>
      <c r="L860" s="5" t="n">
        <v>223</v>
      </c>
      <c r="M860" s="5" t="n">
        <v>32</v>
      </c>
      <c r="N860" s="10">
        <f>IF(AND(ISNUMBER(L860),M860&gt;0),L860/M860,"")</f>
        <v/>
      </c>
      <c r="O860" s="5" t="n">
        <v>0.709</v>
      </c>
      <c r="P860" s="5" t="n">
        <v>1.6</v>
      </c>
      <c r="Q860" s="5" t="n">
        <v>1</v>
      </c>
      <c r="R860" s="5" t="n">
        <v>0</v>
      </c>
      <c r="S860" s="5" t="n">
        <v>0</v>
      </c>
      <c r="T860" s="5" t="n">
        <v>0</v>
      </c>
      <c r="U860" s="5" t="n">
        <v>0</v>
      </c>
      <c r="V860" s="5" t="n">
        <v>0</v>
      </c>
      <c r="W860" s="5" t="n">
        <v>0</v>
      </c>
      <c r="X860" s="5" t="n">
        <v>3</v>
      </c>
      <c r="Y860" s="5" t="n">
        <v>2.23</v>
      </c>
      <c r="Z860" s="5" t="inlineStr"/>
      <c r="AA860" s="5" t="n">
        <v>843</v>
      </c>
      <c r="AB860" s="5" t="n">
        <v>2599.8</v>
      </c>
      <c r="AC860" s="5" t="n">
        <v>909.1</v>
      </c>
      <c r="AD860" s="5" t="n">
        <v>2611.1</v>
      </c>
      <c r="AE860" s="5" t="inlineStr"/>
      <c r="AF860" s="5">
        <f>IF(AE860="","",IF(OR(AE860=F860,AND(AE860="crane_footing",F860="isolated_footing")),"yes","no"))</f>
        <v/>
      </c>
    </row>
    <row r="861">
      <c r="A861" s="5" t="n">
        <v>860</v>
      </c>
      <c r="B861" s="5" t="inlineStr">
        <is>
          <t>129</t>
        </is>
      </c>
      <c r="C861" s="5" t="inlineStr">
        <is>
          <t>region between joints</t>
        </is>
      </c>
      <c r="D861" s="5" t="inlineStr">
        <is>
          <t>band</t>
        </is>
      </c>
      <c r="E861" s="5" t="n">
        <v>2</v>
      </c>
      <c r="F861" s="5" t="inlineStr">
        <is>
          <t>unidentified</t>
        </is>
      </c>
      <c r="G861" s="5" t="inlineStr">
        <is>
          <t>C2</t>
        </is>
      </c>
      <c r="H861" s="5" t="inlineStr">
        <is>
          <t>no label votes</t>
        </is>
      </c>
      <c r="I861" s="5" t="inlineStr">
        <is>
          <t>(none)</t>
        </is>
      </c>
      <c r="J861" s="5" t="inlineStr"/>
      <c r="K861" s="5" t="inlineStr"/>
      <c r="L861" s="5" t="n">
        <v>223</v>
      </c>
      <c r="M861" s="5" t="n">
        <v>32</v>
      </c>
      <c r="N861" s="10">
        <f>IF(AND(ISNUMBER(L861),M861&gt;0),L861/M861,"")</f>
        <v/>
      </c>
      <c r="O861" s="5" t="n">
        <v>0.709</v>
      </c>
      <c r="P861" s="5" t="n">
        <v>1.6</v>
      </c>
      <c r="Q861" s="5" t="n">
        <v>1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0</v>
      </c>
      <c r="W861" s="5" t="n">
        <v>0</v>
      </c>
      <c r="X861" s="5" t="n">
        <v>4</v>
      </c>
      <c r="Y861" s="5" t="n">
        <v>2.06</v>
      </c>
      <c r="Z861" s="5" t="inlineStr"/>
      <c r="AA861" s="5" t="n">
        <v>876.5</v>
      </c>
      <c r="AB861" s="5" t="n">
        <v>2572.7</v>
      </c>
      <c r="AC861" s="5" t="n">
        <v>942.6</v>
      </c>
      <c r="AD861" s="5" t="n">
        <v>2583.9</v>
      </c>
      <c r="AE861" s="5" t="inlineStr"/>
      <c r="AF861" s="5">
        <f>IF(AE861="","",IF(OR(AE861=F861,AND(AE861="crane_footing",F861="isolated_footing")),"yes","no"))</f>
        <v/>
      </c>
    </row>
    <row r="862">
      <c r="A862" s="5" t="n">
        <v>861</v>
      </c>
      <c r="B862" s="5" t="inlineStr">
        <is>
          <t>129</t>
        </is>
      </c>
      <c r="C862" s="5" t="inlineStr">
        <is>
          <t>region between joints</t>
        </is>
      </c>
      <c r="D862" s="5" t="inlineStr">
        <is>
          <t>band</t>
        </is>
      </c>
      <c r="E862" s="5" t="n">
        <v>2</v>
      </c>
      <c r="F862" s="5" t="inlineStr">
        <is>
          <t>unidentified</t>
        </is>
      </c>
      <c r="G862" s="5" t="inlineStr">
        <is>
          <t>C2</t>
        </is>
      </c>
      <c r="H862" s="5" t="inlineStr">
        <is>
          <t>no label votes</t>
        </is>
      </c>
      <c r="I862" s="5" t="inlineStr">
        <is>
          <t>(none)</t>
        </is>
      </c>
      <c r="J862" s="5" t="inlineStr"/>
      <c r="K862" s="5" t="inlineStr"/>
      <c r="L862" s="5" t="n">
        <v>223</v>
      </c>
      <c r="M862" s="5" t="n">
        <v>32</v>
      </c>
      <c r="N862" s="10">
        <f>IF(AND(ISNUMBER(L862),M862&gt;0),L862/M862,"")</f>
        <v/>
      </c>
      <c r="O862" s="5" t="n">
        <v>0.709</v>
      </c>
      <c r="P862" s="5" t="n">
        <v>1.6</v>
      </c>
      <c r="Q862" s="5" t="n">
        <v>1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0</v>
      </c>
      <c r="W862" s="5" t="n">
        <v>0</v>
      </c>
      <c r="X862" s="5" t="n">
        <v>4</v>
      </c>
      <c r="Y862" s="5" t="n">
        <v>1.85</v>
      </c>
      <c r="Z862" s="5" t="inlineStr"/>
      <c r="AA862" s="5" t="n">
        <v>820.7</v>
      </c>
      <c r="AB862" s="5" t="n">
        <v>2618</v>
      </c>
      <c r="AC862" s="5" t="n">
        <v>886.8</v>
      </c>
      <c r="AD862" s="5" t="n">
        <v>2629.2</v>
      </c>
      <c r="AE862" s="5" t="inlineStr"/>
      <c r="AF862" s="5">
        <f>IF(AE862="","",IF(OR(AE862=F862,AND(AE862="crane_footing",F862="isolated_footing")),"yes","no"))</f>
        <v/>
      </c>
    </row>
    <row r="863">
      <c r="A863" s="5" t="n">
        <v>862</v>
      </c>
      <c r="B863" s="5" t="inlineStr">
        <is>
          <t>129</t>
        </is>
      </c>
      <c r="C863" s="5" t="inlineStr">
        <is>
          <t>region between joints</t>
        </is>
      </c>
      <c r="D863" s="5" t="inlineStr">
        <is>
          <t>band</t>
        </is>
      </c>
      <c r="E863" s="5" t="n">
        <v>2</v>
      </c>
      <c r="F863" s="5" t="inlineStr">
        <is>
          <t>unidentified</t>
        </is>
      </c>
      <c r="G863" s="5" t="inlineStr">
        <is>
          <t>C2</t>
        </is>
      </c>
      <c r="H863" s="5" t="inlineStr">
        <is>
          <t>no label votes</t>
        </is>
      </c>
      <c r="I863" s="5" t="inlineStr">
        <is>
          <t>(none)</t>
        </is>
      </c>
      <c r="J863" s="5" t="inlineStr"/>
      <c r="K863" s="5" t="inlineStr"/>
      <c r="L863" s="5" t="n">
        <v>223</v>
      </c>
      <c r="M863" s="5" t="n">
        <v>32</v>
      </c>
      <c r="N863" s="10">
        <f>IF(AND(ISNUMBER(L863),M863&gt;0),L863/M863,"")</f>
        <v/>
      </c>
      <c r="O863" s="5" t="n">
        <v>0.709</v>
      </c>
      <c r="P863" s="5" t="n">
        <v>1.6</v>
      </c>
      <c r="Q863" s="5" t="n">
        <v>1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0</v>
      </c>
      <c r="W863" s="5" t="n">
        <v>0</v>
      </c>
      <c r="X863" s="5" t="n">
        <v>4</v>
      </c>
      <c r="Y863" s="5" t="n">
        <v>2.23</v>
      </c>
      <c r="Z863" s="5" t="inlineStr"/>
      <c r="AA863" s="5" t="n">
        <v>854.2</v>
      </c>
      <c r="AB863" s="5" t="n">
        <v>2590.8</v>
      </c>
      <c r="AC863" s="5" t="n">
        <v>920.3</v>
      </c>
      <c r="AD863" s="5" t="n">
        <v>2602</v>
      </c>
      <c r="AE863" s="5" t="inlineStr"/>
      <c r="AF863" s="5">
        <f>IF(AE863="","",IF(OR(AE863=F863,AND(AE863="crane_footing",F863="isolated_footing")),"yes","no"))</f>
        <v/>
      </c>
    </row>
    <row r="864">
      <c r="A864" s="5" t="n">
        <v>863</v>
      </c>
      <c r="B864" s="5" t="inlineStr">
        <is>
          <t>129</t>
        </is>
      </c>
      <c r="C864" s="5" t="inlineStr">
        <is>
          <t>region between joints</t>
        </is>
      </c>
      <c r="D864" s="5" t="inlineStr">
        <is>
          <t>band</t>
        </is>
      </c>
      <c r="E864" s="5" t="n">
        <v>2</v>
      </c>
      <c r="F864" s="5" t="inlineStr">
        <is>
          <t>unidentified</t>
        </is>
      </c>
      <c r="G864" s="5" t="inlineStr">
        <is>
          <t>C2</t>
        </is>
      </c>
      <c r="H864" s="5" t="inlineStr">
        <is>
          <t>no label votes</t>
        </is>
      </c>
      <c r="I864" s="5" t="inlineStr">
        <is>
          <t>(none)</t>
        </is>
      </c>
      <c r="J864" s="5" t="inlineStr"/>
      <c r="K864" s="5" t="inlineStr"/>
      <c r="L864" s="5" t="n">
        <v>223</v>
      </c>
      <c r="M864" s="5" t="n">
        <v>32</v>
      </c>
      <c r="N864" s="10">
        <f>IF(AND(ISNUMBER(L864),M864&gt;0),L864/M864,"")</f>
        <v/>
      </c>
      <c r="O864" s="5" t="n">
        <v>0.708</v>
      </c>
      <c r="P864" s="5" t="n">
        <v>1.6</v>
      </c>
      <c r="Q864" s="5" t="n">
        <v>1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0</v>
      </c>
      <c r="W864" s="5" t="n">
        <v>0</v>
      </c>
      <c r="X864" s="5" t="n">
        <v>3</v>
      </c>
      <c r="Y864" s="5" t="n">
        <v>1.99</v>
      </c>
      <c r="Z864" s="5" t="inlineStr"/>
      <c r="AA864" s="5" t="n">
        <v>798.5</v>
      </c>
      <c r="AB864" s="5" t="n">
        <v>2636.1</v>
      </c>
      <c r="AC864" s="5" t="n">
        <v>864.5</v>
      </c>
      <c r="AD864" s="5" t="n">
        <v>2647.4</v>
      </c>
      <c r="AE864" s="5" t="inlineStr"/>
      <c r="AF864" s="5">
        <f>IF(AE864="","",IF(OR(AE864=F864,AND(AE864="crane_footing",F864="isolated_footing")),"yes","no"))</f>
        <v/>
      </c>
    </row>
    <row r="865">
      <c r="A865" s="5" t="n">
        <v>864</v>
      </c>
      <c r="B865" s="5" t="inlineStr">
        <is>
          <t>129</t>
        </is>
      </c>
      <c r="C865" s="5" t="inlineStr">
        <is>
          <t>region between joints</t>
        </is>
      </c>
      <c r="D865" s="5" t="inlineStr">
        <is>
          <t>band</t>
        </is>
      </c>
      <c r="E865" s="5" t="n">
        <v>2</v>
      </c>
      <c r="F865" s="5" t="inlineStr">
        <is>
          <t>unidentified</t>
        </is>
      </c>
      <c r="G865" s="5" t="inlineStr">
        <is>
          <t>C2</t>
        </is>
      </c>
      <c r="H865" s="5" t="inlineStr">
        <is>
          <t>no label votes</t>
        </is>
      </c>
      <c r="I865" s="5" t="inlineStr">
        <is>
          <t>(none)</t>
        </is>
      </c>
      <c r="J865" s="5" t="inlineStr"/>
      <c r="K865" s="5" t="inlineStr"/>
      <c r="L865" s="5" t="n">
        <v>223</v>
      </c>
      <c r="M865" s="5" t="n">
        <v>32</v>
      </c>
      <c r="N865" s="10">
        <f>IF(AND(ISNUMBER(L865),M865&gt;0),L865/M865,"")</f>
        <v/>
      </c>
      <c r="O865" s="5" t="n">
        <v>0.708</v>
      </c>
      <c r="P865" s="5" t="n">
        <v>1.6</v>
      </c>
      <c r="Q865" s="5" t="n">
        <v>1</v>
      </c>
      <c r="R865" s="5" t="n">
        <v>0</v>
      </c>
      <c r="S865" s="5" t="n">
        <v>0</v>
      </c>
      <c r="T865" s="5" t="n">
        <v>0</v>
      </c>
      <c r="U865" s="5" t="n">
        <v>0</v>
      </c>
      <c r="V865" s="5" t="n">
        <v>0</v>
      </c>
      <c r="W865" s="5" t="n">
        <v>0</v>
      </c>
      <c r="X865" s="5" t="n">
        <v>3</v>
      </c>
      <c r="Y865" s="5" t="n">
        <v>2.23</v>
      </c>
      <c r="Z865" s="5" t="inlineStr"/>
      <c r="AA865" s="5" t="n">
        <v>787.3</v>
      </c>
      <c r="AB865" s="5" t="n">
        <v>2645.2</v>
      </c>
      <c r="AC865" s="5" t="n">
        <v>853.3</v>
      </c>
      <c r="AD865" s="5" t="n">
        <v>2656.4</v>
      </c>
      <c r="AE865" s="5" t="inlineStr"/>
      <c r="AF865" s="5">
        <f>IF(AE865="","",IF(OR(AE865=F865,AND(AE865="crane_footing",F865="isolated_footing")),"yes","no"))</f>
        <v/>
      </c>
    </row>
    <row r="866">
      <c r="A866" s="5" t="n">
        <v>865</v>
      </c>
      <c r="B866" s="5" t="inlineStr">
        <is>
          <t>129</t>
        </is>
      </c>
      <c r="C866" s="5" t="inlineStr">
        <is>
          <t>region between joints</t>
        </is>
      </c>
      <c r="D866" s="5" t="inlineStr">
        <is>
          <t>band</t>
        </is>
      </c>
      <c r="E866" s="5" t="n">
        <v>2</v>
      </c>
      <c r="F866" s="5" t="inlineStr">
        <is>
          <t>unidentified</t>
        </is>
      </c>
      <c r="G866" s="5" t="inlineStr">
        <is>
          <t>C2</t>
        </is>
      </c>
      <c r="H866" s="5" t="inlineStr">
        <is>
          <t>no label votes</t>
        </is>
      </c>
      <c r="I866" s="5" t="inlineStr">
        <is>
          <t>(none)</t>
        </is>
      </c>
      <c r="J866" s="5" t="inlineStr"/>
      <c r="K866" s="5" t="inlineStr"/>
      <c r="L866" s="5" t="n">
        <v>223</v>
      </c>
      <c r="M866" s="5" t="n">
        <v>32</v>
      </c>
      <c r="N866" s="10">
        <f>IF(AND(ISNUMBER(L866),M866&gt;0),L866/M866,"")</f>
        <v/>
      </c>
      <c r="O866" s="5" t="n">
        <v>0.708</v>
      </c>
      <c r="P866" s="5" t="n">
        <v>1.6</v>
      </c>
      <c r="Q866" s="5" t="n">
        <v>1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0</v>
      </c>
      <c r="W866" s="5" t="n">
        <v>0</v>
      </c>
      <c r="X866" s="5" t="n">
        <v>4</v>
      </c>
      <c r="Y866" s="5" t="n">
        <v>1.38</v>
      </c>
      <c r="Z866" s="5" t="inlineStr"/>
      <c r="AA866" s="5" t="n">
        <v>809.6</v>
      </c>
      <c r="AB866" s="5" t="n">
        <v>2627</v>
      </c>
      <c r="AC866" s="5" t="n">
        <v>875.6</v>
      </c>
      <c r="AD866" s="5" t="n">
        <v>2638.3</v>
      </c>
      <c r="AE866" s="5" t="inlineStr"/>
      <c r="AF866" s="5">
        <f>IF(AE866="","",IF(OR(AE866=F866,AND(AE866="crane_footing",F866="isolated_footing")),"yes","no"))</f>
        <v/>
      </c>
    </row>
    <row r="867">
      <c r="A867" s="5" t="n">
        <v>866</v>
      </c>
      <c r="B867" s="5" t="inlineStr">
        <is>
          <t>129</t>
        </is>
      </c>
      <c r="C867" s="5" t="inlineStr">
        <is>
          <t>region between joints</t>
        </is>
      </c>
      <c r="D867" s="5" t="inlineStr">
        <is>
          <t>band</t>
        </is>
      </c>
      <c r="E867" s="5" t="n">
        <v>2</v>
      </c>
      <c r="F867" s="5" t="inlineStr">
        <is>
          <t>unidentified</t>
        </is>
      </c>
      <c r="G867" s="5" t="inlineStr">
        <is>
          <t>C2</t>
        </is>
      </c>
      <c r="H867" s="5" t="inlineStr">
        <is>
          <t>no label votes</t>
        </is>
      </c>
      <c r="I867" s="5" t="inlineStr">
        <is>
          <t>(none)</t>
        </is>
      </c>
      <c r="J867" s="5" t="inlineStr"/>
      <c r="K867" s="5" t="inlineStr"/>
      <c r="L867" s="5" t="n">
        <v>199</v>
      </c>
      <c r="M867" s="5" t="n">
        <v>32</v>
      </c>
      <c r="N867" s="10">
        <f>IF(AND(ISNUMBER(L867),M867&gt;0),L867/M867,"")</f>
        <v/>
      </c>
      <c r="O867" s="5" t="n">
        <v>0.632</v>
      </c>
      <c r="P867" s="5" t="n">
        <v>1.6</v>
      </c>
      <c r="Q867" s="5" t="n">
        <v>1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1</v>
      </c>
      <c r="X867" s="5" t="n">
        <v>3</v>
      </c>
      <c r="Y867" s="5" t="n">
        <v>1.99</v>
      </c>
      <c r="Z867" s="5" t="inlineStr"/>
      <c r="AA867" s="5" t="n">
        <v>783.2</v>
      </c>
      <c r="AB867" s="5" t="n">
        <v>2654.4</v>
      </c>
      <c r="AC867" s="5" t="n">
        <v>842.1</v>
      </c>
      <c r="AD867" s="5" t="n">
        <v>2665.5</v>
      </c>
      <c r="AE867" s="5" t="inlineStr"/>
      <c r="AF867" s="5">
        <f>IF(AE867="","",IF(OR(AE867=F867,AND(AE867="crane_footing",F867="isolated_footing")),"yes","no"))</f>
        <v/>
      </c>
    </row>
    <row r="868">
      <c r="A868" s="5" t="n">
        <v>867</v>
      </c>
      <c r="B868" s="5" t="inlineStr">
        <is>
          <t>129</t>
        </is>
      </c>
      <c r="C868" s="5" t="inlineStr">
        <is>
          <t>region between joints</t>
        </is>
      </c>
      <c r="D868" s="5" t="inlineStr">
        <is>
          <t>band</t>
        </is>
      </c>
      <c r="E868" s="5" t="n">
        <v>2</v>
      </c>
      <c r="F868" s="5" t="inlineStr">
        <is>
          <t>unidentified</t>
        </is>
      </c>
      <c r="G868" s="5" t="inlineStr">
        <is>
          <t>C2</t>
        </is>
      </c>
      <c r="H868" s="5" t="inlineStr">
        <is>
          <t>no label votes</t>
        </is>
      </c>
      <c r="I868" s="5" t="inlineStr">
        <is>
          <t>(none)</t>
        </is>
      </c>
      <c r="J868" s="5" t="inlineStr"/>
      <c r="K868" s="5" t="inlineStr"/>
      <c r="L868" s="5" t="n">
        <v>193</v>
      </c>
      <c r="M868" s="5" t="n">
        <v>32</v>
      </c>
      <c r="N868" s="10">
        <f>IF(AND(ISNUMBER(L868),M868&gt;0),L868/M868,"")</f>
        <v/>
      </c>
      <c r="O868" s="5" t="n">
        <v>0.615</v>
      </c>
      <c r="P868" s="5" t="n">
        <v>1.6</v>
      </c>
      <c r="Q868" s="5" t="n">
        <v>1</v>
      </c>
      <c r="R868" s="5" t="n">
        <v>0</v>
      </c>
      <c r="S868" s="5" t="n">
        <v>0</v>
      </c>
      <c r="T868" s="5" t="n">
        <v>0</v>
      </c>
      <c r="U868" s="5" t="n">
        <v>0</v>
      </c>
      <c r="V868" s="5" t="n">
        <v>0</v>
      </c>
      <c r="W868" s="5" t="n">
        <v>0</v>
      </c>
      <c r="X868" s="5" t="n">
        <v>3</v>
      </c>
      <c r="Y868" s="5" t="n">
        <v>1.93</v>
      </c>
      <c r="Z868" s="5" t="inlineStr"/>
      <c r="AA868" s="5" t="n">
        <v>1133</v>
      </c>
      <c r="AB868" s="5" t="n">
        <v>2364.3</v>
      </c>
      <c r="AC868" s="5" t="n">
        <v>1190.4</v>
      </c>
      <c r="AD868" s="5" t="n">
        <v>2375.3</v>
      </c>
      <c r="AE868" s="5" t="inlineStr"/>
      <c r="AF868" s="5">
        <f>IF(AE868="","",IF(OR(AE868=F868,AND(AE868="crane_footing",F868="isolated_footing")),"yes","no"))</f>
        <v/>
      </c>
    </row>
    <row r="869">
      <c r="A869" s="5" t="n">
        <v>868</v>
      </c>
      <c r="B869" s="5" t="inlineStr">
        <is>
          <t>129</t>
        </is>
      </c>
      <c r="C869" s="5" t="inlineStr">
        <is>
          <t>region between joints</t>
        </is>
      </c>
      <c r="D869" s="5" t="inlineStr">
        <is>
          <t>band</t>
        </is>
      </c>
      <c r="E869" s="5" t="n">
        <v>2</v>
      </c>
      <c r="F869" s="5" t="inlineStr">
        <is>
          <t>unidentified</t>
        </is>
      </c>
      <c r="G869" s="5" t="inlineStr">
        <is>
          <t>C2</t>
        </is>
      </c>
      <c r="H869" s="5" t="inlineStr">
        <is>
          <t>no label votes</t>
        </is>
      </c>
      <c r="I869" s="5" t="inlineStr">
        <is>
          <t>(none)</t>
        </is>
      </c>
      <c r="J869" s="5" t="inlineStr"/>
      <c r="K869" s="5" t="inlineStr"/>
      <c r="L869" s="5" t="n">
        <v>171</v>
      </c>
      <c r="M869" s="5" t="n">
        <v>32</v>
      </c>
      <c r="N869" s="10">
        <f>IF(AND(ISNUMBER(L869),M869&gt;0),L869/M869,"")</f>
        <v/>
      </c>
      <c r="O869" s="5" t="n">
        <v>0.544</v>
      </c>
      <c r="P869" s="5" t="n">
        <v>101.6</v>
      </c>
      <c r="Q869" s="5" t="n">
        <v>1</v>
      </c>
      <c r="R869" s="5" t="n">
        <v>1</v>
      </c>
      <c r="S869" s="5" t="n">
        <v>0</v>
      </c>
      <c r="T869" s="5" t="n">
        <v>0</v>
      </c>
      <c r="U869" s="5" t="n">
        <v>0</v>
      </c>
      <c r="V869" s="5" t="n">
        <v>0</v>
      </c>
      <c r="W869" s="5" t="n">
        <v>0</v>
      </c>
      <c r="X869" s="5" t="n">
        <v>4</v>
      </c>
      <c r="Y869" s="5" t="n">
        <v>0.19</v>
      </c>
      <c r="Z869" s="5" t="inlineStr"/>
      <c r="AA869" s="5" t="n">
        <v>827.2</v>
      </c>
      <c r="AB869" s="5" t="n">
        <v>2669.2</v>
      </c>
      <c r="AC869" s="5" t="n">
        <v>846.6</v>
      </c>
      <c r="AD869" s="5" t="n">
        <v>2720.6</v>
      </c>
      <c r="AE869" s="5" t="inlineStr"/>
      <c r="AF869" s="5">
        <f>IF(AE869="","",IF(OR(AE869=F869,AND(AE869="crane_footing",F869="isolated_footing")),"yes","no"))</f>
        <v/>
      </c>
    </row>
    <row r="870">
      <c r="A870" s="5" t="n">
        <v>869</v>
      </c>
      <c r="B870" s="5" t="inlineStr">
        <is>
          <t>129</t>
        </is>
      </c>
      <c r="C870" s="5" t="inlineStr">
        <is>
          <t>region between joints</t>
        </is>
      </c>
      <c r="D870" s="5" t="inlineStr">
        <is>
          <t>band</t>
        </is>
      </c>
      <c r="E870" s="5" t="n">
        <v>2</v>
      </c>
      <c r="F870" s="5" t="inlineStr">
        <is>
          <t>unidentified</t>
        </is>
      </c>
      <c r="G870" s="5" t="inlineStr">
        <is>
          <t>C2</t>
        </is>
      </c>
      <c r="H870" s="5" t="inlineStr">
        <is>
          <t>no label votes</t>
        </is>
      </c>
      <c r="I870" s="5" t="inlineStr">
        <is>
          <t>(none)</t>
        </is>
      </c>
      <c r="J870" s="5" t="inlineStr"/>
      <c r="K870" s="5" t="inlineStr"/>
      <c r="L870" s="5" t="n">
        <v>167</v>
      </c>
      <c r="M870" s="5" t="n">
        <v>32</v>
      </c>
      <c r="N870" s="10">
        <f>IF(AND(ISNUMBER(L870),M870&gt;0),L870/M870,"")</f>
        <v/>
      </c>
      <c r="O870" s="5" t="n">
        <v>0.531</v>
      </c>
      <c r="P870" s="5" t="n">
        <v>101.7</v>
      </c>
      <c r="Q870" s="5" t="n">
        <v>1</v>
      </c>
      <c r="R870" s="5" t="n">
        <v>1</v>
      </c>
      <c r="S870" s="5" t="n">
        <v>0</v>
      </c>
      <c r="T870" s="5" t="n">
        <v>0</v>
      </c>
      <c r="U870" s="5" t="n">
        <v>0</v>
      </c>
      <c r="V870" s="5" t="n">
        <v>0</v>
      </c>
      <c r="W870" s="5" t="n">
        <v>7</v>
      </c>
      <c r="X870" s="5" t="n">
        <v>3</v>
      </c>
      <c r="Y870" s="5" t="n">
        <v>0</v>
      </c>
      <c r="Z870" s="5" t="inlineStr"/>
      <c r="AA870" s="5" t="n">
        <v>1191.4</v>
      </c>
      <c r="AB870" s="5" t="n">
        <v>2388.8</v>
      </c>
      <c r="AC870" s="5" t="n">
        <v>1210.6</v>
      </c>
      <c r="AD870" s="5" t="n">
        <v>2439</v>
      </c>
      <c r="AE870" s="5" t="inlineStr"/>
      <c r="AF870" s="5">
        <f>IF(AE870="","",IF(OR(AE870=F870,AND(AE870="crane_footing",F870="isolated_footing")),"yes","no"))</f>
        <v/>
      </c>
    </row>
    <row r="871">
      <c r="A871" s="5" t="n">
        <v>870</v>
      </c>
      <c r="B871" s="5" t="inlineStr">
        <is>
          <t>129</t>
        </is>
      </c>
      <c r="C871" s="5" t="inlineStr">
        <is>
          <t>region between joints</t>
        </is>
      </c>
      <c r="D871" s="5" t="inlineStr">
        <is>
          <t>band</t>
        </is>
      </c>
      <c r="E871" s="5" t="n">
        <v>2</v>
      </c>
      <c r="F871" s="5" t="inlineStr">
        <is>
          <t>unidentified</t>
        </is>
      </c>
      <c r="G871" s="5" t="inlineStr">
        <is>
          <t>C2</t>
        </is>
      </c>
      <c r="H871" s="5" t="inlineStr">
        <is>
          <t>no label votes</t>
        </is>
      </c>
      <c r="I871" s="5" t="inlineStr">
        <is>
          <t>(none)</t>
        </is>
      </c>
      <c r="J871" s="5" t="inlineStr"/>
      <c r="K871" s="5" t="inlineStr"/>
      <c r="L871" s="5" t="n">
        <v>135</v>
      </c>
      <c r="M871" s="5" t="n">
        <v>32</v>
      </c>
      <c r="N871" s="10">
        <f>IF(AND(ISNUMBER(L871),M871&gt;0),L871/M871,"")</f>
        <v/>
      </c>
      <c r="O871" s="5" t="n">
        <v>0.429</v>
      </c>
      <c r="P871" s="5" t="n">
        <v>1.6</v>
      </c>
      <c r="Q871" s="5" t="n">
        <v>1</v>
      </c>
      <c r="R871" s="5" t="n">
        <v>0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5" t="n">
        <v>3</v>
      </c>
      <c r="Y871" s="5" t="n">
        <v>1.35</v>
      </c>
      <c r="Z871" s="5" t="inlineStr"/>
      <c r="AA871" s="5" t="n">
        <v>790.9</v>
      </c>
      <c r="AB871" s="5" t="n">
        <v>2664</v>
      </c>
      <c r="AC871" s="5" t="n">
        <v>831</v>
      </c>
      <c r="AD871" s="5" t="n">
        <v>2674.6</v>
      </c>
      <c r="AE871" s="5" t="inlineStr"/>
      <c r="AF871" s="5">
        <f>IF(AE871="","",IF(OR(AE871=F871,AND(AE871="crane_footing",F871="isolated_footing")),"yes","no"))</f>
        <v/>
      </c>
    </row>
    <row r="872">
      <c r="A872" s="5" t="n">
        <v>871</v>
      </c>
      <c r="B872" s="5" t="inlineStr">
        <is>
          <t>129</t>
        </is>
      </c>
      <c r="C872" s="5" t="inlineStr">
        <is>
          <t>region between joints</t>
        </is>
      </c>
      <c r="D872" s="5" t="inlineStr">
        <is>
          <t>band</t>
        </is>
      </c>
      <c r="E872" s="5" t="n">
        <v>2</v>
      </c>
      <c r="F872" s="5" t="inlineStr">
        <is>
          <t>unidentified</t>
        </is>
      </c>
      <c r="G872" s="5" t="inlineStr">
        <is>
          <t>C2</t>
        </is>
      </c>
      <c r="H872" s="5" t="inlineStr">
        <is>
          <t>no label votes</t>
        </is>
      </c>
      <c r="I872" s="5" t="inlineStr">
        <is>
          <t>(none)</t>
        </is>
      </c>
      <c r="J872" s="5" t="inlineStr"/>
      <c r="K872" s="5" t="inlineStr"/>
      <c r="L872" s="5" t="n">
        <v>129</v>
      </c>
      <c r="M872" s="5" t="n">
        <v>32</v>
      </c>
      <c r="N872" s="10">
        <f>IF(AND(ISNUMBER(L872),M872&gt;0),L872/M872,"")</f>
        <v/>
      </c>
      <c r="O872" s="5" t="n">
        <v>0.411</v>
      </c>
      <c r="P872" s="5" t="n">
        <v>1.7</v>
      </c>
      <c r="Q872" s="5" t="n">
        <v>1</v>
      </c>
      <c r="R872" s="5" t="n">
        <v>0</v>
      </c>
      <c r="S872" s="5" t="n">
        <v>0</v>
      </c>
      <c r="T872" s="5" t="n">
        <v>0</v>
      </c>
      <c r="U872" s="5" t="n">
        <v>0</v>
      </c>
      <c r="V872" s="5" t="n">
        <v>0</v>
      </c>
      <c r="W872" s="5" t="n">
        <v>1</v>
      </c>
      <c r="X872" s="5" t="n">
        <v>3</v>
      </c>
      <c r="Y872" s="5" t="n">
        <v>1.29</v>
      </c>
      <c r="Z872" s="5" t="inlineStr"/>
      <c r="AA872" s="5" t="n">
        <v>1144.2</v>
      </c>
      <c r="AB872" s="5" t="n">
        <v>2355.2</v>
      </c>
      <c r="AC872" s="5" t="n">
        <v>1182.6</v>
      </c>
      <c r="AD872" s="5" t="n">
        <v>2365.7</v>
      </c>
      <c r="AE872" s="5" t="inlineStr"/>
      <c r="AF872" s="5">
        <f>IF(AE872="","",IF(OR(AE872=F872,AND(AE872="crane_footing",F872="isolated_footing")),"yes","no"))</f>
        <v/>
      </c>
    </row>
    <row r="873">
      <c r="A873" s="5" t="n">
        <v>872</v>
      </c>
      <c r="B873" s="5" t="inlineStr">
        <is>
          <t>129</t>
        </is>
      </c>
      <c r="C873" s="5" t="inlineStr">
        <is>
          <t>region between joints</t>
        </is>
      </c>
      <c r="D873" s="5" t="inlineStr">
        <is>
          <t>band</t>
        </is>
      </c>
      <c r="E873" s="5" t="n">
        <v>2</v>
      </c>
      <c r="F873" s="5" t="inlineStr">
        <is>
          <t>unidentified</t>
        </is>
      </c>
      <c r="G873" s="5" t="inlineStr">
        <is>
          <t>C2</t>
        </is>
      </c>
      <c r="H873" s="5" t="inlineStr">
        <is>
          <t>no label votes</t>
        </is>
      </c>
      <c r="I873" s="5" t="inlineStr">
        <is>
          <t>(none)</t>
        </is>
      </c>
      <c r="J873" s="5" t="inlineStr"/>
      <c r="K873" s="5" t="inlineStr"/>
      <c r="L873" s="5" t="n">
        <v>106</v>
      </c>
      <c r="M873" s="5" t="n">
        <v>32</v>
      </c>
      <c r="N873" s="10">
        <f>IF(AND(ISNUMBER(L873),M873&gt;0),L873/M873,"")</f>
        <v/>
      </c>
      <c r="O873" s="5" t="n">
        <v>0.337</v>
      </c>
      <c r="P873" s="5" t="n">
        <v>101.6</v>
      </c>
      <c r="Q873" s="5" t="n">
        <v>1</v>
      </c>
      <c r="R873" s="5" t="n">
        <v>1</v>
      </c>
      <c r="S873" s="5" t="n">
        <v>0</v>
      </c>
      <c r="T873" s="5" t="n">
        <v>0</v>
      </c>
      <c r="U873" s="5" t="n">
        <v>0</v>
      </c>
      <c r="V873" s="5" t="n">
        <v>0</v>
      </c>
      <c r="W873" s="5" t="n">
        <v>0</v>
      </c>
      <c r="X873" s="5" t="n">
        <v>3</v>
      </c>
      <c r="Y873" s="5" t="n">
        <v>0.2</v>
      </c>
      <c r="Z873" s="5" t="inlineStr"/>
      <c r="AA873" s="5" t="n">
        <v>819.6</v>
      </c>
      <c r="AB873" s="5" t="n">
        <v>2678.5</v>
      </c>
      <c r="AC873" s="5" t="n">
        <v>835.1</v>
      </c>
      <c r="AD873" s="5" t="n">
        <v>2711.1</v>
      </c>
      <c r="AE873" s="5" t="inlineStr"/>
      <c r="AF873" s="5">
        <f>IF(AE873="","",IF(OR(AE873=F873,AND(AE873="crane_footing",F873="isolated_footing")),"yes","no"))</f>
        <v/>
      </c>
    </row>
    <row r="874">
      <c r="A874" s="5" t="n">
        <v>873</v>
      </c>
      <c r="B874" s="5" t="inlineStr">
        <is>
          <t>129</t>
        </is>
      </c>
      <c r="C874" s="5" t="inlineStr">
        <is>
          <t>region between joints</t>
        </is>
      </c>
      <c r="D874" s="5" t="inlineStr">
        <is>
          <t>band</t>
        </is>
      </c>
      <c r="E874" s="5" t="n">
        <v>2</v>
      </c>
      <c r="F874" s="5" t="inlineStr">
        <is>
          <t>unidentified</t>
        </is>
      </c>
      <c r="G874" s="5" t="inlineStr">
        <is>
          <t>C2</t>
        </is>
      </c>
      <c r="H874" s="5" t="inlineStr">
        <is>
          <t>no label votes</t>
        </is>
      </c>
      <c r="I874" s="5" t="inlineStr">
        <is>
          <t>(none)</t>
        </is>
      </c>
      <c r="J874" s="5" t="inlineStr"/>
      <c r="K874" s="5" t="inlineStr"/>
      <c r="L874" s="5" t="n">
        <v>71</v>
      </c>
      <c r="M874" s="5" t="n">
        <v>32</v>
      </c>
      <c r="N874" s="10">
        <f>IF(AND(ISNUMBER(L874),M874&gt;0),L874/M874,"")</f>
        <v/>
      </c>
      <c r="O874" s="5" t="n">
        <v>0.226</v>
      </c>
      <c r="P874" s="5" t="n">
        <v>1.6</v>
      </c>
      <c r="Q874" s="5" t="n">
        <v>1</v>
      </c>
      <c r="R874" s="5" t="n">
        <v>0</v>
      </c>
      <c r="S874" s="5" t="n">
        <v>0</v>
      </c>
      <c r="T874" s="5" t="n">
        <v>0</v>
      </c>
      <c r="U874" s="5" t="n">
        <v>0</v>
      </c>
      <c r="V874" s="5" t="n">
        <v>0</v>
      </c>
      <c r="W874" s="5" t="n">
        <v>0</v>
      </c>
      <c r="X874" s="5" t="n">
        <v>2</v>
      </c>
      <c r="Y874" s="5" t="n">
        <v>0.71</v>
      </c>
      <c r="Z874" s="5" t="inlineStr"/>
      <c r="AA874" s="5" t="n">
        <v>798.6</v>
      </c>
      <c r="AB874" s="5" t="n">
        <v>2673.6</v>
      </c>
      <c r="AC874" s="5" t="n">
        <v>819.8</v>
      </c>
      <c r="AD874" s="5" t="n">
        <v>2683.6</v>
      </c>
      <c r="AE874" s="5" t="inlineStr"/>
      <c r="AF874" s="5">
        <f>IF(AE874="","",IF(OR(AE874=F874,AND(AE874="crane_footing",F874="isolated_footing")),"yes","no"))</f>
        <v/>
      </c>
    </row>
    <row r="875">
      <c r="A875" s="5" t="n">
        <v>874</v>
      </c>
      <c r="B875" s="5" t="inlineStr">
        <is>
          <t>129</t>
        </is>
      </c>
      <c r="C875" s="5" t="inlineStr">
        <is>
          <t>region between joints</t>
        </is>
      </c>
      <c r="D875" s="5" t="inlineStr">
        <is>
          <t>band</t>
        </is>
      </c>
      <c r="E875" s="5" t="n">
        <v>2</v>
      </c>
      <c r="F875" s="5" t="inlineStr">
        <is>
          <t>unidentified</t>
        </is>
      </c>
      <c r="G875" s="5" t="inlineStr">
        <is>
          <t>C2</t>
        </is>
      </c>
      <c r="H875" s="5" t="inlineStr">
        <is>
          <t>no label votes</t>
        </is>
      </c>
      <c r="I875" s="5" t="inlineStr">
        <is>
          <t>(none)</t>
        </is>
      </c>
      <c r="J875" s="5" t="inlineStr"/>
      <c r="K875" s="5" t="inlineStr"/>
      <c r="L875" s="5" t="n">
        <v>65</v>
      </c>
      <c r="M875" s="5" t="n">
        <v>32</v>
      </c>
      <c r="N875" s="10">
        <f>IF(AND(ISNUMBER(L875),M875&gt;0),L875/M875,"")</f>
        <v/>
      </c>
      <c r="O875" s="5" t="n">
        <v>0.207</v>
      </c>
      <c r="P875" s="5" t="n">
        <v>1.7</v>
      </c>
      <c r="Q875" s="5" t="n">
        <v>1</v>
      </c>
      <c r="R875" s="5" t="n">
        <v>0</v>
      </c>
      <c r="S875" s="5" t="n">
        <v>0</v>
      </c>
      <c r="T875" s="5" t="n">
        <v>0</v>
      </c>
      <c r="U875" s="5" t="n">
        <v>0</v>
      </c>
      <c r="V875" s="5" t="n">
        <v>0</v>
      </c>
      <c r="W875" s="5" t="n">
        <v>0</v>
      </c>
      <c r="X875" s="5" t="n">
        <v>2</v>
      </c>
      <c r="Y875" s="5" t="n">
        <v>0.65</v>
      </c>
      <c r="Z875" s="5" t="inlineStr"/>
      <c r="AA875" s="5" t="n">
        <v>1155.4</v>
      </c>
      <c r="AB875" s="5" t="n">
        <v>2346.2</v>
      </c>
      <c r="AC875" s="5" t="n">
        <v>1174.8</v>
      </c>
      <c r="AD875" s="5" t="n">
        <v>2356.1</v>
      </c>
      <c r="AE875" s="5" t="inlineStr"/>
      <c r="AF875" s="5">
        <f>IF(AE875="","",IF(OR(AE875=F875,AND(AE875="crane_footing",F875="isolated_footing")),"yes","no"))</f>
        <v/>
      </c>
    </row>
    <row r="876">
      <c r="A876" s="5" t="n">
        <v>875</v>
      </c>
      <c r="B876" s="5" t="inlineStr">
        <is>
          <t>130</t>
        </is>
      </c>
      <c r="C876" s="5" t="inlineStr">
        <is>
          <t>own label</t>
        </is>
      </c>
      <c r="D876" s="5" t="inlineStr">
        <is>
          <t>solid</t>
        </is>
      </c>
      <c r="E876" s="5" t="n">
        <v>25</v>
      </c>
      <c r="F876" s="5" t="inlineStr">
        <is>
          <t>column</t>
        </is>
      </c>
      <c r="G876" s="5" t="inlineStr">
        <is>
          <t>Column P1/130 0.80 × 0.25 m</t>
        </is>
      </c>
      <c r="H876" s="5" t="inlineStr">
        <is>
          <t>label vote</t>
        </is>
      </c>
      <c r="I876" s="5" t="inlineStr">
        <is>
          <t>P1/130</t>
        </is>
      </c>
      <c r="J876" s="5" t="inlineStr">
        <is>
          <t>printed label</t>
        </is>
      </c>
      <c r="K876" s="5" t="inlineStr">
        <is>
          <t>P1/130/130</t>
        </is>
      </c>
      <c r="L876" s="5" t="n">
        <v>80</v>
      </c>
      <c r="M876" s="5" t="n">
        <v>25</v>
      </c>
      <c r="N876" s="10">
        <f>IF(AND(ISNUMBER(L876),M876&gt;0),L876/M876,"")</f>
        <v/>
      </c>
      <c r="O876" s="5" t="n">
        <v>0.2</v>
      </c>
      <c r="P876" s="5" t="n">
        <v>165.3</v>
      </c>
      <c r="Q876" s="5" t="n">
        <v>0</v>
      </c>
      <c r="R876" s="5" t="n">
        <v>0</v>
      </c>
      <c r="S876" s="5" t="n">
        <v>0</v>
      </c>
      <c r="T876" s="5" t="n">
        <v>1</v>
      </c>
      <c r="U876" s="5" t="n">
        <v>0</v>
      </c>
      <c r="V876" s="5" t="n">
        <v>0</v>
      </c>
      <c r="W876" s="5" t="n">
        <v>2</v>
      </c>
      <c r="X876" s="5" t="n">
        <v>0</v>
      </c>
      <c r="Y876" s="5" t="n"/>
      <c r="Z876" s="5" t="inlineStr"/>
      <c r="AA876" s="5" t="n">
        <v>762.9</v>
      </c>
      <c r="AB876" s="5" t="n">
        <v>1459</v>
      </c>
      <c r="AC876" s="5" t="n">
        <v>787.7</v>
      </c>
      <c r="AD876" s="5" t="n">
        <v>1472.2</v>
      </c>
      <c r="AE876" s="5" t="inlineStr">
        <is>
          <t>column</t>
        </is>
      </c>
      <c r="AF876" s="5">
        <f>IF(AE876="","",IF(OR(AE876=F876,AND(AE876="crane_footing",F876="isolated_footing")),"yes","no"))</f>
        <v/>
      </c>
    </row>
    <row r="877">
      <c r="A877" s="5" t="n">
        <v>876</v>
      </c>
      <c r="B877" s="5" t="inlineStr">
        <is>
          <t>130</t>
        </is>
      </c>
      <c r="C877" s="5" t="inlineStr">
        <is>
          <t>own label</t>
        </is>
      </c>
      <c r="D877" s="5" t="inlineStr">
        <is>
          <t>solid</t>
        </is>
      </c>
      <c r="E877" s="5" t="n">
        <v>25</v>
      </c>
      <c r="F877" s="5" t="inlineStr">
        <is>
          <t>column</t>
        </is>
      </c>
      <c r="G877" s="5" t="inlineStr">
        <is>
          <t>Column P1/130 0.80 × 0.25 m</t>
        </is>
      </c>
      <c r="H877" s="5" t="inlineStr">
        <is>
          <t>label vote</t>
        </is>
      </c>
      <c r="I877" s="5" t="inlineStr">
        <is>
          <t>P1/130</t>
        </is>
      </c>
      <c r="J877" s="5" t="inlineStr">
        <is>
          <t>printed label</t>
        </is>
      </c>
      <c r="K877" s="5" t="inlineStr">
        <is>
          <t>P1/130/130</t>
        </is>
      </c>
      <c r="L877" s="5" t="n">
        <v>80</v>
      </c>
      <c r="M877" s="5" t="n">
        <v>25</v>
      </c>
      <c r="N877" s="10">
        <f>IF(AND(ISNUMBER(L877),M877&gt;0),L877/M877,"")</f>
        <v/>
      </c>
      <c r="O877" s="5" t="n">
        <v>0.2</v>
      </c>
      <c r="P877" s="5" t="n">
        <v>165.3</v>
      </c>
      <c r="Q877" s="5" t="n">
        <v>0</v>
      </c>
      <c r="R877" s="5" t="n">
        <v>0</v>
      </c>
      <c r="S877" s="5" t="n">
        <v>0</v>
      </c>
      <c r="T877" s="5" t="n">
        <v>1</v>
      </c>
      <c r="U877" s="5" t="n">
        <v>0</v>
      </c>
      <c r="V877" s="5" t="n">
        <v>0</v>
      </c>
      <c r="W877" s="5" t="n">
        <v>2</v>
      </c>
      <c r="X877" s="5" t="n">
        <v>0</v>
      </c>
      <c r="Y877" s="5" t="n"/>
      <c r="Z877" s="5" t="inlineStr"/>
      <c r="AA877" s="5" t="n">
        <v>792.9</v>
      </c>
      <c r="AB877" s="5" t="n">
        <v>1379.5</v>
      </c>
      <c r="AC877" s="5" t="n">
        <v>817.6</v>
      </c>
      <c r="AD877" s="5" t="n">
        <v>1392.6</v>
      </c>
      <c r="AE877" s="5" t="inlineStr">
        <is>
          <t>column</t>
        </is>
      </c>
      <c r="AF877" s="5">
        <f>IF(AE877="","",IF(OR(AE877=F877,AND(AE877="crane_footing",F877="isolated_footing")),"yes","no"))</f>
        <v/>
      </c>
    </row>
    <row r="878">
      <c r="A878" s="5" t="n">
        <v>877</v>
      </c>
      <c r="B878" s="5" t="inlineStr">
        <is>
          <t>130</t>
        </is>
      </c>
      <c r="C878" s="5" t="inlineStr">
        <is>
          <t>own label</t>
        </is>
      </c>
      <c r="D878" s="5" t="inlineStr">
        <is>
          <t>solid</t>
        </is>
      </c>
      <c r="E878" s="5" t="n">
        <v>25</v>
      </c>
      <c r="F878" s="5" t="inlineStr">
        <is>
          <t>column</t>
        </is>
      </c>
      <c r="G878" s="5" t="inlineStr">
        <is>
          <t>Column P3/130 0.40 × 0.25 m</t>
        </is>
      </c>
      <c r="H878" s="5" t="inlineStr">
        <is>
          <t>its own label (the cluster's class was only a guess)</t>
        </is>
      </c>
      <c r="I878" s="5" t="inlineStr">
        <is>
          <t>P3/130</t>
        </is>
      </c>
      <c r="J878" s="5" t="inlineStr">
        <is>
          <t>printed label</t>
        </is>
      </c>
      <c r="K878" s="5" t="inlineStr">
        <is>
          <t>P3/130/130</t>
        </is>
      </c>
      <c r="L878" s="5" t="n">
        <v>40</v>
      </c>
      <c r="M878" s="5" t="n">
        <v>25</v>
      </c>
      <c r="N878" s="10">
        <f>IF(AND(ISNUMBER(L878),M878&gt;0),L878/M878,"")</f>
        <v/>
      </c>
      <c r="O878" s="5" t="n">
        <v>0.101</v>
      </c>
      <c r="P878" s="5" t="n">
        <v>165.3</v>
      </c>
      <c r="Q878" s="5" t="n">
        <v>0</v>
      </c>
      <c r="R878" s="5" t="n">
        <v>1</v>
      </c>
      <c r="S878" s="5" t="n">
        <v>0</v>
      </c>
      <c r="T878" s="5" t="n">
        <v>0</v>
      </c>
      <c r="U878" s="5" t="n">
        <v>0</v>
      </c>
      <c r="V878" s="5" t="n">
        <v>0</v>
      </c>
      <c r="W878" s="5" t="n">
        <v>0</v>
      </c>
      <c r="X878" s="5" t="n">
        <v>2</v>
      </c>
      <c r="Y878" s="5" t="n"/>
      <c r="Z878" s="5" t="inlineStr"/>
      <c r="AA878" s="5" t="n">
        <v>709.4</v>
      </c>
      <c r="AB878" s="5" t="n">
        <v>1278.5</v>
      </c>
      <c r="AC878" s="5" t="n">
        <v>722.7</v>
      </c>
      <c r="AD878" s="5" t="n">
        <v>1288.7</v>
      </c>
      <c r="AE878" s="5" t="inlineStr">
        <is>
          <t>column</t>
        </is>
      </c>
      <c r="AF878" s="5">
        <f>IF(AE878="","",IF(OR(AE878=F878,AND(AE878="crane_footing",F878="isolated_footing")),"yes","no"))</f>
        <v/>
      </c>
    </row>
    <row r="879">
      <c r="A879" s="5" t="n">
        <v>878</v>
      </c>
      <c r="B879" s="5" t="inlineStr">
        <is>
          <t>130</t>
        </is>
      </c>
      <c r="C879" s="5" t="inlineStr">
        <is>
          <t>own label</t>
        </is>
      </c>
      <c r="D879" s="5" t="inlineStr">
        <is>
          <t>solid</t>
        </is>
      </c>
      <c r="E879" s="5" t="n">
        <v>25</v>
      </c>
      <c r="F879" s="5" t="inlineStr">
        <is>
          <t>column</t>
        </is>
      </c>
      <c r="G879" s="5" t="inlineStr">
        <is>
          <t>Column P3/130 0.40 × 0.25 m</t>
        </is>
      </c>
      <c r="H879" s="5" t="inlineStr">
        <is>
          <t>its own label (the cluster's class was only a guess)</t>
        </is>
      </c>
      <c r="I879" s="5" t="inlineStr">
        <is>
          <t>P3/130</t>
        </is>
      </c>
      <c r="J879" s="5" t="inlineStr">
        <is>
          <t>printed label</t>
        </is>
      </c>
      <c r="K879" s="5" t="inlineStr">
        <is>
          <t>P3/130/130</t>
        </is>
      </c>
      <c r="L879" s="5" t="n">
        <v>40</v>
      </c>
      <c r="M879" s="5" t="n">
        <v>25</v>
      </c>
      <c r="N879" s="10">
        <f>IF(AND(ISNUMBER(L879),M879&gt;0),L879/M879,"")</f>
        <v/>
      </c>
      <c r="O879" s="5" t="n">
        <v>0.1</v>
      </c>
      <c r="P879" s="5" t="n">
        <v>165.3</v>
      </c>
      <c r="Q879" s="5" t="n">
        <v>1</v>
      </c>
      <c r="R879" s="5" t="n">
        <v>1</v>
      </c>
      <c r="S879" s="5" t="n">
        <v>0</v>
      </c>
      <c r="T879" s="5" t="n">
        <v>0</v>
      </c>
      <c r="U879" s="5" t="n">
        <v>0</v>
      </c>
      <c r="V879" s="5" t="n">
        <v>0</v>
      </c>
      <c r="W879" s="5" t="n">
        <v>0</v>
      </c>
      <c r="X879" s="5" t="n">
        <v>1</v>
      </c>
      <c r="Y879" s="5" t="n"/>
      <c r="Z879" s="5" t="inlineStr"/>
      <c r="AA879" s="5" t="n">
        <v>611</v>
      </c>
      <c r="AB879" s="5" t="n">
        <v>1304.5</v>
      </c>
      <c r="AC879" s="5" t="n">
        <v>624.3</v>
      </c>
      <c r="AD879" s="5" t="n">
        <v>1314.6</v>
      </c>
      <c r="AE879" s="5" t="inlineStr">
        <is>
          <t>column</t>
        </is>
      </c>
      <c r="AF879" s="5">
        <f>IF(AE879="","",IF(OR(AE879=F879,AND(AE879="crane_footing",F879="isolated_footing")),"yes","no"))</f>
        <v/>
      </c>
    </row>
    <row r="880">
      <c r="A880" s="5" t="n">
        <v>879</v>
      </c>
      <c r="B880" s="5" t="inlineStr">
        <is>
          <t>130</t>
        </is>
      </c>
      <c r="C880" s="5" t="inlineStr">
        <is>
          <t>own label</t>
        </is>
      </c>
      <c r="D880" s="5" t="inlineStr">
        <is>
          <t>solid</t>
        </is>
      </c>
      <c r="E880" s="5" t="n">
        <v>33</v>
      </c>
      <c r="F880" s="5" t="inlineStr">
        <is>
          <t>shear_wall</t>
        </is>
      </c>
      <c r="G880" s="5" t="inlineStr">
        <is>
          <t>Shear wall V1/130 1.25 × 0.25 m</t>
        </is>
      </c>
      <c r="H880" s="5" t="inlineStr">
        <is>
          <t>label vote</t>
        </is>
      </c>
      <c r="I880" s="5" t="inlineStr">
        <is>
          <t>V1/130</t>
        </is>
      </c>
      <c r="J880" s="5" t="inlineStr">
        <is>
          <t>printed label</t>
        </is>
      </c>
      <c r="K880" s="5" t="inlineStr">
        <is>
          <t>V1/130/130</t>
        </is>
      </c>
      <c r="L880" s="5" t="n">
        <v>125</v>
      </c>
      <c r="M880" s="5" t="n">
        <v>25</v>
      </c>
      <c r="N880" s="10">
        <f>IF(AND(ISNUMBER(L880),M880&gt;0),L880/M880,"")</f>
        <v/>
      </c>
      <c r="O880" s="5" t="n">
        <v>0.313</v>
      </c>
      <c r="P880" s="5" t="n">
        <v>165.2</v>
      </c>
      <c r="Q880" s="5" t="n">
        <v>1</v>
      </c>
      <c r="R880" s="5" t="n">
        <v>1</v>
      </c>
      <c r="S880" s="5" t="n">
        <v>0</v>
      </c>
      <c r="T880" s="5" t="n">
        <v>0</v>
      </c>
      <c r="U880" s="5" t="n">
        <v>0</v>
      </c>
      <c r="V880" s="5" t="n">
        <v>0</v>
      </c>
      <c r="W880" s="5" t="n">
        <v>3</v>
      </c>
      <c r="X880" s="5" t="n">
        <v>3</v>
      </c>
      <c r="Y880" s="5" t="n"/>
      <c r="Z880" s="5" t="inlineStr"/>
      <c r="AA880" s="5" t="n">
        <v>797.2</v>
      </c>
      <c r="AB880" s="5" t="n">
        <v>1841</v>
      </c>
      <c r="AC880" s="5" t="n">
        <v>834.8</v>
      </c>
      <c r="AD880" s="5" t="n">
        <v>1857.6</v>
      </c>
      <c r="AE880" s="5" t="inlineStr"/>
      <c r="AF880" s="5">
        <f>IF(AE880="","",IF(OR(AE880=F880,AND(AE880="crane_footing",F880="isolated_footing")),"yes","no"))</f>
        <v/>
      </c>
    </row>
    <row r="881">
      <c r="A881" s="5" t="n">
        <v>880</v>
      </c>
      <c r="B881" s="5" t="inlineStr">
        <is>
          <t>130</t>
        </is>
      </c>
      <c r="C881" s="5" t="inlineStr">
        <is>
          <t>own label</t>
        </is>
      </c>
      <c r="D881" s="5" t="inlineStr">
        <is>
          <t>solid</t>
        </is>
      </c>
      <c r="E881" s="5" t="n">
        <v>37</v>
      </c>
      <c r="F881" s="5" t="inlineStr">
        <is>
          <t>shear_wall</t>
        </is>
      </c>
      <c r="G881" s="5" t="inlineStr">
        <is>
          <t>Shear wall V1/130 1.25 × 0.25 m</t>
        </is>
      </c>
      <c r="H881" s="5" t="inlineStr">
        <is>
          <t>similar to cluster 33 (distance 1.78)</t>
        </is>
      </c>
      <c r="I881" s="5" t="inlineStr">
        <is>
          <t>V1/130</t>
        </is>
      </c>
      <c r="J881" s="5" t="inlineStr">
        <is>
          <t>printed label</t>
        </is>
      </c>
      <c r="K881" s="5" t="inlineStr">
        <is>
          <t>V1/130/130</t>
        </is>
      </c>
      <c r="L881" s="5" t="n">
        <v>125</v>
      </c>
      <c r="M881" s="5" t="n">
        <v>25</v>
      </c>
      <c r="N881" s="10">
        <f>IF(AND(ISNUMBER(L881),M881&gt;0),L881/M881,"")</f>
        <v/>
      </c>
      <c r="O881" s="5" t="n">
        <v>0.312</v>
      </c>
      <c r="P881" s="5" t="n">
        <v>2.8</v>
      </c>
      <c r="Q881" s="5" t="n">
        <v>2</v>
      </c>
      <c r="R881" s="5" t="n">
        <v>1</v>
      </c>
      <c r="S881" s="5" t="n">
        <v>0</v>
      </c>
      <c r="T881" s="5" t="n">
        <v>0</v>
      </c>
      <c r="U881" s="5" t="n">
        <v>0</v>
      </c>
      <c r="V881" s="5" t="n">
        <v>0</v>
      </c>
      <c r="W881" s="5" t="n">
        <v>1</v>
      </c>
      <c r="X881" s="5" t="n">
        <v>1</v>
      </c>
      <c r="Y881" s="5" t="n"/>
      <c r="Z881" s="5" t="inlineStr"/>
      <c r="AA881" s="5" t="n">
        <v>882.2</v>
      </c>
      <c r="AB881" s="5" t="n">
        <v>1227.8</v>
      </c>
      <c r="AC881" s="5" t="n">
        <v>919.5</v>
      </c>
      <c r="AD881" s="5" t="n">
        <v>1237</v>
      </c>
      <c r="AE881" s="5" t="inlineStr"/>
      <c r="AF881" s="5">
        <f>IF(AE881="","",IF(OR(AE881=F881,AND(AE881="crane_footing",F881="isolated_footing")),"yes","no"))</f>
        <v/>
      </c>
    </row>
    <row r="882">
      <c r="A882" s="5" t="n">
        <v>881</v>
      </c>
      <c r="B882" s="5" t="inlineStr">
        <is>
          <t>130</t>
        </is>
      </c>
      <c r="C882" s="5" t="inlineStr">
        <is>
          <t>own label</t>
        </is>
      </c>
      <c r="D882" s="5" t="inlineStr">
        <is>
          <t>solid</t>
        </is>
      </c>
      <c r="E882" s="5" t="n">
        <v>29</v>
      </c>
      <c r="F882" s="5" t="inlineStr">
        <is>
          <t>shear_wall</t>
        </is>
      </c>
      <c r="G882" s="5" t="inlineStr">
        <is>
          <t>Shear wall V1/130 1.25 × 0.25 m</t>
        </is>
      </c>
      <c r="H882" s="5" t="inlineStr">
        <is>
          <t>label vote</t>
        </is>
      </c>
      <c r="I882" s="5" t="inlineStr">
        <is>
          <t>V1/130</t>
        </is>
      </c>
      <c r="J882" s="5" t="inlineStr">
        <is>
          <t>printed label</t>
        </is>
      </c>
      <c r="K882" s="5" t="inlineStr">
        <is>
          <t>V1/130/130</t>
        </is>
      </c>
      <c r="L882" s="5" t="n">
        <v>125</v>
      </c>
      <c r="M882" s="5" t="n">
        <v>25</v>
      </c>
      <c r="N882" s="10">
        <f>IF(AND(ISNUMBER(L882),M882&gt;0),L882/M882,"")</f>
        <v/>
      </c>
      <c r="O882" s="5" t="n">
        <v>0.312</v>
      </c>
      <c r="P882" s="5" t="n">
        <v>2.8</v>
      </c>
      <c r="Q882" s="5" t="n">
        <v>1</v>
      </c>
      <c r="R882" s="5" t="n">
        <v>1</v>
      </c>
      <c r="S882" s="5" t="n">
        <v>0</v>
      </c>
      <c r="T882" s="5" t="n">
        <v>0</v>
      </c>
      <c r="U882" s="5" t="n">
        <v>1</v>
      </c>
      <c r="V882" s="5" t="n">
        <v>0</v>
      </c>
      <c r="W882" s="5" t="n">
        <v>0</v>
      </c>
      <c r="X882" s="5" t="n">
        <v>0</v>
      </c>
      <c r="Y882" s="5" t="n"/>
      <c r="Z882" s="5" t="inlineStr"/>
      <c r="AA882" s="5" t="n">
        <v>632.9</v>
      </c>
      <c r="AB882" s="5" t="n">
        <v>1215.3</v>
      </c>
      <c r="AC882" s="5" t="n">
        <v>670.1</v>
      </c>
      <c r="AD882" s="5" t="n">
        <v>1224.5</v>
      </c>
      <c r="AE882" s="5" t="inlineStr"/>
      <c r="AF882" s="5">
        <f>IF(AE882="","",IF(OR(AE882=F882,AND(AE882="crane_footing",F882="isolated_footing")),"yes","no"))</f>
        <v/>
      </c>
    </row>
    <row r="883">
      <c r="A883" s="5" t="n">
        <v>882</v>
      </c>
      <c r="B883" s="5" t="inlineStr">
        <is>
          <t>130</t>
        </is>
      </c>
      <c r="C883" s="5" t="inlineStr">
        <is>
          <t>own label</t>
        </is>
      </c>
      <c r="D883" s="5" t="inlineStr">
        <is>
          <t>solid</t>
        </is>
      </c>
      <c r="E883" s="5" t="n">
        <v>31</v>
      </c>
      <c r="F883" s="5" t="inlineStr">
        <is>
          <t>shear_wall</t>
        </is>
      </c>
      <c r="G883" s="5" t="inlineStr">
        <is>
          <t>Shear wall V1/130 1.25 × 0.25 m</t>
        </is>
      </c>
      <c r="H883" s="5" t="inlineStr">
        <is>
          <t>label vote</t>
        </is>
      </c>
      <c r="I883" s="5" t="inlineStr">
        <is>
          <t>V1/130</t>
        </is>
      </c>
      <c r="J883" s="5" t="inlineStr">
        <is>
          <t>printed label</t>
        </is>
      </c>
      <c r="K883" s="5" t="inlineStr">
        <is>
          <t>V1/130/130</t>
        </is>
      </c>
      <c r="L883" s="5" t="n">
        <v>125</v>
      </c>
      <c r="M883" s="5" t="n">
        <v>25</v>
      </c>
      <c r="N883" s="10">
        <f>IF(AND(ISNUMBER(L883),M883&gt;0),L883/M883,"")</f>
        <v/>
      </c>
      <c r="O883" s="5" t="n">
        <v>0.312</v>
      </c>
      <c r="P883" s="5" t="n">
        <v>165.3</v>
      </c>
      <c r="Q883" s="5" t="n">
        <v>0</v>
      </c>
      <c r="R883" s="5" t="n">
        <v>1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2</v>
      </c>
      <c r="X883" s="5" t="n">
        <v>4</v>
      </c>
      <c r="Y883" s="5" t="n"/>
      <c r="Z883" s="5" t="inlineStr"/>
      <c r="AA883" s="5" t="n">
        <v>1029</v>
      </c>
      <c r="AB883" s="5" t="n">
        <v>1780</v>
      </c>
      <c r="AC883" s="5" t="n">
        <v>1066.6</v>
      </c>
      <c r="AD883" s="5" t="n">
        <v>1796.5</v>
      </c>
      <c r="AE883" s="5" t="inlineStr">
        <is>
          <t>shear_wall</t>
        </is>
      </c>
      <c r="AF883" s="5">
        <f>IF(AE883="","",IF(OR(AE883=F883,AND(AE883="crane_footing",F883="isolated_footing")),"yes","no"))</f>
        <v/>
      </c>
    </row>
    <row r="884">
      <c r="A884" s="5" t="n">
        <v>883</v>
      </c>
      <c r="B884" s="5" t="inlineStr">
        <is>
          <t>130</t>
        </is>
      </c>
      <c r="C884" s="5" t="inlineStr">
        <is>
          <t>own label</t>
        </is>
      </c>
      <c r="D884" s="5" t="inlineStr">
        <is>
          <t>solid</t>
        </is>
      </c>
      <c r="E884" s="5" t="n">
        <v>38</v>
      </c>
      <c r="F884" s="5" t="inlineStr">
        <is>
          <t>shear_wall</t>
        </is>
      </c>
      <c r="G884" s="5" t="inlineStr">
        <is>
          <t>Shear wall V3/130 2.00 × 0.30 m</t>
        </is>
      </c>
      <c r="H884" s="5" t="inlineStr">
        <is>
          <t>label vote</t>
        </is>
      </c>
      <c r="I884" s="5" t="inlineStr">
        <is>
          <t>V3/130</t>
        </is>
      </c>
      <c r="J884" s="5" t="inlineStr">
        <is>
          <t>printed label</t>
        </is>
      </c>
      <c r="K884" s="5" t="inlineStr">
        <is>
          <t>V3/130/130</t>
        </is>
      </c>
      <c r="L884" s="5" t="n">
        <v>200</v>
      </c>
      <c r="M884" s="5" t="n">
        <v>30</v>
      </c>
      <c r="N884" s="10">
        <f>IF(AND(ISNUMBER(L884),M884&gt;0),L884/M884,"")</f>
        <v/>
      </c>
      <c r="O884" s="5" t="n">
        <v>0.603</v>
      </c>
      <c r="P884" s="5" t="n">
        <v>165.3</v>
      </c>
      <c r="Q884" s="5" t="n">
        <v>0</v>
      </c>
      <c r="R884" s="5" t="n">
        <v>1</v>
      </c>
      <c r="S884" s="5" t="n">
        <v>0</v>
      </c>
      <c r="T884" s="5" t="n">
        <v>1</v>
      </c>
      <c r="U884" s="5" t="n">
        <v>0</v>
      </c>
      <c r="V884" s="5" t="n">
        <v>0</v>
      </c>
      <c r="W884" s="5" t="n">
        <v>1</v>
      </c>
      <c r="X884" s="5" t="n">
        <v>1</v>
      </c>
      <c r="Y884" s="5" t="n"/>
      <c r="Z884" s="5" t="inlineStr"/>
      <c r="AA884" s="5" t="n">
        <v>910.4</v>
      </c>
      <c r="AB884" s="5" t="n">
        <v>1411</v>
      </c>
      <c r="AC884" s="5" t="n">
        <v>969.8</v>
      </c>
      <c r="AD884" s="5" t="n">
        <v>1434.6</v>
      </c>
      <c r="AE884" s="5" t="inlineStr">
        <is>
          <t>shear_wall</t>
        </is>
      </c>
      <c r="AF884" s="5">
        <f>IF(AE884="","",IF(OR(AE884=F884,AND(AE884="crane_footing",F884="isolated_footing")),"yes","no"))</f>
        <v/>
      </c>
    </row>
    <row r="885">
      <c r="A885" s="5" t="n">
        <v>884</v>
      </c>
      <c r="B885" s="5" t="inlineStr">
        <is>
          <t>130</t>
        </is>
      </c>
      <c r="C885" s="5" t="inlineStr">
        <is>
          <t>own label</t>
        </is>
      </c>
      <c r="D885" s="5" t="inlineStr">
        <is>
          <t>solid</t>
        </is>
      </c>
      <c r="E885" s="5" t="n">
        <v>38</v>
      </c>
      <c r="F885" s="5" t="inlineStr">
        <is>
          <t>shear_wall</t>
        </is>
      </c>
      <c r="G885" s="5" t="inlineStr">
        <is>
          <t>Shear wall V3/130 2.00 × 0.30 m</t>
        </is>
      </c>
      <c r="H885" s="5" t="inlineStr">
        <is>
          <t>label vote</t>
        </is>
      </c>
      <c r="I885" s="5" t="inlineStr">
        <is>
          <t>V3/130</t>
        </is>
      </c>
      <c r="J885" s="5" t="inlineStr">
        <is>
          <t>printed label</t>
        </is>
      </c>
      <c r="K885" s="5" t="inlineStr">
        <is>
          <t>V3/130/130</t>
        </is>
      </c>
      <c r="L885" s="5" t="n">
        <v>200</v>
      </c>
      <c r="M885" s="5" t="n">
        <v>30</v>
      </c>
      <c r="N885" s="10">
        <f>IF(AND(ISNUMBER(L885),M885&gt;0),L885/M885,"")</f>
        <v/>
      </c>
      <c r="O885" s="5" t="n">
        <v>0.601</v>
      </c>
      <c r="P885" s="5" t="n">
        <v>165.3</v>
      </c>
      <c r="Q885" s="5" t="n">
        <v>0</v>
      </c>
      <c r="R885" s="5" t="n">
        <v>1</v>
      </c>
      <c r="S885" s="5" t="n">
        <v>0</v>
      </c>
      <c r="T885" s="5" t="n">
        <v>0</v>
      </c>
      <c r="U885" s="5" t="n">
        <v>0</v>
      </c>
      <c r="V885" s="5" t="n">
        <v>0</v>
      </c>
      <c r="W885" s="5" t="n">
        <v>1</v>
      </c>
      <c r="X885" s="5" t="n">
        <v>2</v>
      </c>
      <c r="Y885" s="5" t="n"/>
      <c r="Z885" s="5" t="inlineStr"/>
      <c r="AA885" s="5" t="n">
        <v>951.4</v>
      </c>
      <c r="AB885" s="5" t="n">
        <v>1594.1</v>
      </c>
      <c r="AC885" s="5" t="n">
        <v>1010.8</v>
      </c>
      <c r="AD885" s="5" t="n">
        <v>1617.7</v>
      </c>
      <c r="AE885" s="5" t="inlineStr">
        <is>
          <t>shear_wall</t>
        </is>
      </c>
      <c r="AF885" s="5">
        <f>IF(AE885="","",IF(OR(AE885=F885,AND(AE885="crane_footing",F885="isolated_footing")),"yes","no"))</f>
        <v/>
      </c>
    </row>
    <row r="886">
      <c r="A886" s="5" t="n">
        <v>885</v>
      </c>
      <c r="B886" s="5" t="inlineStr">
        <is>
          <t>130</t>
        </is>
      </c>
      <c r="C886" s="5" t="inlineStr">
        <is>
          <t>own label</t>
        </is>
      </c>
      <c r="D886" s="5" t="inlineStr">
        <is>
          <t>solid</t>
        </is>
      </c>
      <c r="E886" s="5" t="n">
        <v>29</v>
      </c>
      <c r="F886" s="5" t="inlineStr">
        <is>
          <t>shear_wall</t>
        </is>
      </c>
      <c r="G886" s="5" t="inlineStr">
        <is>
          <t>Shear wall V4/130 2.50 × 0.25 m</t>
        </is>
      </c>
      <c r="H886" s="5" t="inlineStr">
        <is>
          <t>label vote</t>
        </is>
      </c>
      <c r="I886" s="5" t="inlineStr">
        <is>
          <t>V4/130</t>
        </is>
      </c>
      <c r="J886" s="5" t="inlineStr">
        <is>
          <t>printed label</t>
        </is>
      </c>
      <c r="K886" s="5" t="inlineStr">
        <is>
          <t>V4/130/130</t>
        </is>
      </c>
      <c r="L886" s="5" t="n">
        <v>250</v>
      </c>
      <c r="M886" s="5" t="n">
        <v>25</v>
      </c>
      <c r="N886" s="10">
        <f>IF(AND(ISNUMBER(L886),M886&gt;0),L886/M886,"")</f>
        <v/>
      </c>
      <c r="O886" s="5" t="n">
        <v>0.628</v>
      </c>
      <c r="P886" s="5" t="n">
        <v>75.3</v>
      </c>
      <c r="Q886" s="5" t="n">
        <v>1</v>
      </c>
      <c r="R886" s="5" t="n">
        <v>1</v>
      </c>
      <c r="S886" s="5" t="n">
        <v>0</v>
      </c>
      <c r="T886" s="5" t="n">
        <v>0</v>
      </c>
      <c r="U886" s="5" t="n">
        <v>1</v>
      </c>
      <c r="V886" s="5" t="n">
        <v>0</v>
      </c>
      <c r="W886" s="5" t="n">
        <v>1</v>
      </c>
      <c r="X886" s="5" t="n">
        <v>0</v>
      </c>
      <c r="Y886" s="5" t="n"/>
      <c r="Z886" s="5" t="inlineStr"/>
      <c r="AA886" s="5" t="n">
        <v>772.7</v>
      </c>
      <c r="AB886" s="5" t="n">
        <v>1669.5</v>
      </c>
      <c r="AC886" s="5" t="n">
        <v>798.6</v>
      </c>
      <c r="AD886" s="5" t="n">
        <v>1742.7</v>
      </c>
      <c r="AE886" s="5" t="inlineStr"/>
      <c r="AF886" s="5">
        <f>IF(AE886="","",IF(OR(AE886=F886,AND(AE886="crane_footing",F886="isolated_footing")),"yes","no"))</f>
        <v/>
      </c>
    </row>
    <row r="887">
      <c r="A887" s="5" t="n">
        <v>886</v>
      </c>
      <c r="B887" s="5" t="inlineStr">
        <is>
          <t>130</t>
        </is>
      </c>
      <c r="C887" s="5" t="inlineStr">
        <is>
          <t>own label</t>
        </is>
      </c>
      <c r="D887" s="5" t="inlineStr">
        <is>
          <t>solid</t>
        </is>
      </c>
      <c r="E887" s="5" t="n">
        <v>31</v>
      </c>
      <c r="F887" s="5" t="inlineStr">
        <is>
          <t>shear_wall</t>
        </is>
      </c>
      <c r="G887" s="5" t="inlineStr">
        <is>
          <t>Shear wall V6/130 1.25 × 0.25 m</t>
        </is>
      </c>
      <c r="H887" s="5" t="inlineStr">
        <is>
          <t>label vote</t>
        </is>
      </c>
      <c r="I887" s="5" t="inlineStr">
        <is>
          <t>V6/130</t>
        </is>
      </c>
      <c r="J887" s="5" t="inlineStr">
        <is>
          <t>printed label</t>
        </is>
      </c>
      <c r="K887" s="5" t="inlineStr">
        <is>
          <t>V6/130/130</t>
        </is>
      </c>
      <c r="L887" s="5" t="n">
        <v>125</v>
      </c>
      <c r="M887" s="5" t="n">
        <v>25</v>
      </c>
      <c r="N887" s="10">
        <f>IF(AND(ISNUMBER(L887),M887&gt;0),L887/M887,"")</f>
        <v/>
      </c>
      <c r="O887" s="5" t="n">
        <v>0.315</v>
      </c>
      <c r="P887" s="5" t="n">
        <v>165.3</v>
      </c>
      <c r="Q887" s="5" t="n">
        <v>0</v>
      </c>
      <c r="R887" s="5" t="n">
        <v>1</v>
      </c>
      <c r="S887" s="5" t="n">
        <v>0</v>
      </c>
      <c r="T887" s="5" t="n">
        <v>0</v>
      </c>
      <c r="U887" s="5" t="n">
        <v>0</v>
      </c>
      <c r="V887" s="5" t="n">
        <v>0</v>
      </c>
      <c r="W887" s="5" t="n">
        <v>0</v>
      </c>
      <c r="X887" s="5" t="n">
        <v>2</v>
      </c>
      <c r="Y887" s="5" t="n"/>
      <c r="Z887" s="5" t="inlineStr"/>
      <c r="AA887" s="5" t="n">
        <v>1199.6</v>
      </c>
      <c r="AB887" s="5" t="n">
        <v>1508.5</v>
      </c>
      <c r="AC887" s="5" t="n">
        <v>1237.2</v>
      </c>
      <c r="AD887" s="5" t="n">
        <v>1525.1</v>
      </c>
      <c r="AE887" s="5" t="inlineStr">
        <is>
          <t>shear_wall</t>
        </is>
      </c>
      <c r="AF887" s="5">
        <f>IF(AE887="","",IF(OR(AE887=F887,AND(AE887="crane_footing",F887="isolated_footing")),"yes","no"))</f>
        <v/>
      </c>
    </row>
    <row r="888">
      <c r="A888" s="5" t="n">
        <v>887</v>
      </c>
      <c r="B888" s="5" t="inlineStr">
        <is>
          <t>130</t>
        </is>
      </c>
      <c r="C888" s="5" t="inlineStr">
        <is>
          <t>own label</t>
        </is>
      </c>
      <c r="D888" s="5" t="inlineStr">
        <is>
          <t>solid</t>
        </is>
      </c>
      <c r="E888" s="5" t="n">
        <v>31</v>
      </c>
      <c r="F888" s="5" t="inlineStr">
        <is>
          <t>shear_wall</t>
        </is>
      </c>
      <c r="G888" s="5" t="inlineStr">
        <is>
          <t>Shear wall V6/130 1.25 × 0.25 m</t>
        </is>
      </c>
      <c r="H888" s="5" t="inlineStr">
        <is>
          <t>label vote</t>
        </is>
      </c>
      <c r="I888" s="5" t="inlineStr">
        <is>
          <t>V6/130</t>
        </is>
      </c>
      <c r="J888" s="5" t="inlineStr">
        <is>
          <t>printed label</t>
        </is>
      </c>
      <c r="K888" s="5" t="inlineStr">
        <is>
          <t>V6/130/130</t>
        </is>
      </c>
      <c r="L888" s="5" t="n">
        <v>125</v>
      </c>
      <c r="M888" s="5" t="n">
        <v>25</v>
      </c>
      <c r="N888" s="10">
        <f>IF(AND(ISNUMBER(L888),M888&gt;0),L888/M888,"")</f>
        <v/>
      </c>
      <c r="O888" s="5" t="n">
        <v>0.312</v>
      </c>
      <c r="P888" s="5" t="n">
        <v>165.3</v>
      </c>
      <c r="Q888" s="5" t="n">
        <v>0</v>
      </c>
      <c r="R888" s="5" t="n">
        <v>0</v>
      </c>
      <c r="S888" s="5" t="n">
        <v>0</v>
      </c>
      <c r="T888" s="5" t="n">
        <v>0</v>
      </c>
      <c r="U888" s="5" t="n">
        <v>0</v>
      </c>
      <c r="V888" s="5" t="n">
        <v>0</v>
      </c>
      <c r="W888" s="5" t="n">
        <v>2</v>
      </c>
      <c r="X888" s="5" t="n">
        <v>2</v>
      </c>
      <c r="Y888" s="5" t="n"/>
      <c r="Z888" s="5" t="inlineStr"/>
      <c r="AA888" s="5" t="n">
        <v>1142.2</v>
      </c>
      <c r="AB888" s="5" t="n">
        <v>1286.9</v>
      </c>
      <c r="AC888" s="5" t="n">
        <v>1179.7</v>
      </c>
      <c r="AD888" s="5" t="n">
        <v>1303.4</v>
      </c>
      <c r="AE888" s="5" t="inlineStr"/>
      <c r="AF888" s="5">
        <f>IF(AE888="","",IF(OR(AE888=F888,AND(AE888="crane_footing",F888="isolated_footing")),"yes","no"))</f>
        <v/>
      </c>
    </row>
    <row r="889">
      <c r="A889" s="5" t="n">
        <v>888</v>
      </c>
      <c r="B889" s="5" t="inlineStr">
        <is>
          <t>130</t>
        </is>
      </c>
      <c r="C889" s="5" t="inlineStr">
        <is>
          <t>own label</t>
        </is>
      </c>
      <c r="D889" s="5" t="inlineStr">
        <is>
          <t>solid</t>
        </is>
      </c>
      <c r="E889" s="5" t="n">
        <v>31</v>
      </c>
      <c r="F889" s="5" t="inlineStr">
        <is>
          <t>shear_wall</t>
        </is>
      </c>
      <c r="G889" s="5" t="inlineStr">
        <is>
          <t>Shear wall V6/130 1.25 × 0.25 m</t>
        </is>
      </c>
      <c r="H889" s="5" t="inlineStr">
        <is>
          <t>label vote</t>
        </is>
      </c>
      <c r="I889" s="5" t="inlineStr">
        <is>
          <t>V6/130</t>
        </is>
      </c>
      <c r="J889" s="5" t="inlineStr">
        <is>
          <t>printed label</t>
        </is>
      </c>
      <c r="K889" s="5" t="inlineStr">
        <is>
          <t>V6/130/130</t>
        </is>
      </c>
      <c r="L889" s="5" t="n">
        <v>125</v>
      </c>
      <c r="M889" s="5" t="n">
        <v>25</v>
      </c>
      <c r="N889" s="10">
        <f>IF(AND(ISNUMBER(L889),M889&gt;0),L889/M889,"")</f>
        <v/>
      </c>
      <c r="O889" s="5" t="n">
        <v>0.312</v>
      </c>
      <c r="P889" s="5" t="n">
        <v>165.3</v>
      </c>
      <c r="Q889" s="5" t="n">
        <v>0</v>
      </c>
      <c r="R889" s="5" t="n">
        <v>1</v>
      </c>
      <c r="S889" s="5" t="n">
        <v>0</v>
      </c>
      <c r="T889" s="5" t="n">
        <v>0</v>
      </c>
      <c r="U889" s="5" t="n">
        <v>0</v>
      </c>
      <c r="V889" s="5" t="n">
        <v>0</v>
      </c>
      <c r="W889" s="5" t="n">
        <v>1</v>
      </c>
      <c r="X889" s="5" t="n">
        <v>4</v>
      </c>
      <c r="Y889" s="5" t="n"/>
      <c r="Z889" s="5" t="inlineStr"/>
      <c r="AA889" s="5" t="n">
        <v>1255.7</v>
      </c>
      <c r="AB889" s="5" t="n">
        <v>1720.4</v>
      </c>
      <c r="AC889" s="5" t="n">
        <v>1293.3</v>
      </c>
      <c r="AD889" s="5" t="n">
        <v>1736.9</v>
      </c>
      <c r="AE889" s="5" t="inlineStr">
        <is>
          <t>shear_wall</t>
        </is>
      </c>
      <c r="AF889" s="5">
        <f>IF(AE889="","",IF(OR(AE889=F889,AND(AE889="crane_footing",F889="isolated_footing")),"yes","no"))</f>
        <v/>
      </c>
    </row>
    <row r="890">
      <c r="A890" s="5" t="n">
        <v>889</v>
      </c>
      <c r="B890" s="5" t="inlineStr">
        <is>
          <t>130</t>
        </is>
      </c>
      <c r="C890" s="5" t="inlineStr">
        <is>
          <t>region between joints</t>
        </is>
      </c>
      <c r="D890" s="5" t="inlineStr">
        <is>
          <t>solid</t>
        </is>
      </c>
      <c r="E890" s="5" t="n">
        <v>28</v>
      </c>
      <c r="F890" s="5" t="inlineStr">
        <is>
          <t>core_wall</t>
        </is>
      </c>
      <c r="G890" s="5" t="inlineStr">
        <is>
          <t>Core wall 3.37 × 0.25 m</t>
        </is>
      </c>
      <c r="H890" s="5" t="inlineStr">
        <is>
          <t>rule: unlabelled interior wall, no V type of its size</t>
        </is>
      </c>
      <c r="I890" s="5" t="inlineStr">
        <is>
          <t>(none)</t>
        </is>
      </c>
      <c r="J890" s="5" t="inlineStr">
        <is>
          <t>no shear_wall type in its building has this size</t>
        </is>
      </c>
      <c r="K890" s="5" t="inlineStr"/>
      <c r="L890" s="5" t="n">
        <v>337</v>
      </c>
      <c r="M890" s="5" t="n">
        <v>25</v>
      </c>
      <c r="N890" s="10">
        <f>IF(AND(ISNUMBER(L890),M890&gt;0),L890/M890,"")</f>
        <v/>
      </c>
      <c r="O890" s="5" t="n">
        <v>0.842</v>
      </c>
      <c r="P890" s="5" t="n">
        <v>165.2</v>
      </c>
      <c r="Q890" s="5" t="n">
        <v>2</v>
      </c>
      <c r="R890" s="5" t="n">
        <v>0</v>
      </c>
      <c r="S890" s="5" t="n">
        <v>0</v>
      </c>
      <c r="T890" s="5" t="n">
        <v>1</v>
      </c>
      <c r="U890" s="5" t="n">
        <v>0</v>
      </c>
      <c r="V890" s="5" t="n">
        <v>0</v>
      </c>
      <c r="W890" s="5" t="n">
        <v>3</v>
      </c>
      <c r="X890" s="5" t="n">
        <v>1</v>
      </c>
      <c r="Y890" s="5" t="n"/>
      <c r="Z890" s="5" t="inlineStr"/>
      <c r="AA890" s="5" t="n">
        <v>635.4</v>
      </c>
      <c r="AB890" s="5" t="n">
        <v>1347.8</v>
      </c>
      <c r="AC890" s="5" t="n">
        <v>733.7</v>
      </c>
      <c r="AD890" s="5" t="n">
        <v>1380.3</v>
      </c>
      <c r="AE890" s="5" t="inlineStr"/>
      <c r="AF890" s="5">
        <f>IF(AE890="","",IF(OR(AE890=F890,AND(AE890="crane_footing",F890="isolated_footing")),"yes","no"))</f>
        <v/>
      </c>
    </row>
    <row r="891">
      <c r="A891" s="5" t="n">
        <v>890</v>
      </c>
      <c r="B891" s="5" t="inlineStr">
        <is>
          <t>130</t>
        </is>
      </c>
      <c r="C891" s="5" t="inlineStr">
        <is>
          <t>region between joints</t>
        </is>
      </c>
      <c r="D891" s="5" t="inlineStr">
        <is>
          <t>solid</t>
        </is>
      </c>
      <c r="E891" s="5" t="n">
        <v>26</v>
      </c>
      <c r="F891" s="5" t="inlineStr">
        <is>
          <t>core_wall</t>
        </is>
      </c>
      <c r="G891" s="5" t="inlineStr">
        <is>
          <t>Core wall 1.75 × 0.25 m</t>
        </is>
      </c>
      <c r="H891" s="5" t="inlineStr">
        <is>
          <t>rule: unlabelled interior wall, no V type of its size</t>
        </is>
      </c>
      <c r="I891" s="5" t="inlineStr">
        <is>
          <t>(none)</t>
        </is>
      </c>
      <c r="J891" s="5" t="inlineStr"/>
      <c r="K891" s="5" t="inlineStr"/>
      <c r="L891" s="5" t="n">
        <v>175</v>
      </c>
      <c r="M891" s="5" t="n">
        <v>25</v>
      </c>
      <c r="N891" s="10">
        <f>IF(AND(ISNUMBER(L891),M891&gt;0),L891/M891,"")</f>
        <v/>
      </c>
      <c r="O891" s="5" t="n">
        <v>0.438</v>
      </c>
      <c r="P891" s="5" t="n">
        <v>75.2</v>
      </c>
      <c r="Q891" s="5" t="n">
        <v>1</v>
      </c>
      <c r="R891" s="5" t="n">
        <v>0</v>
      </c>
      <c r="S891" s="5" t="n">
        <v>0</v>
      </c>
      <c r="T891" s="5" t="n">
        <v>1</v>
      </c>
      <c r="U891" s="5" t="n">
        <v>0</v>
      </c>
      <c r="V891" s="5" t="n">
        <v>0</v>
      </c>
      <c r="W891" s="5" t="n">
        <v>1</v>
      </c>
      <c r="X891" s="5" t="n">
        <v>0</v>
      </c>
      <c r="Y891" s="5" t="n"/>
      <c r="Z891" s="5" t="inlineStr"/>
      <c r="AA891" s="5" t="n">
        <v>733.7</v>
      </c>
      <c r="AB891" s="5" t="n">
        <v>1353</v>
      </c>
      <c r="AC891" s="5" t="n">
        <v>754</v>
      </c>
      <c r="AD891" s="5" t="n">
        <v>1404.9</v>
      </c>
      <c r="AE891" s="5" t="inlineStr"/>
      <c r="AF891" s="5">
        <f>IF(AE891="","",IF(OR(AE891=F891,AND(AE891="crane_footing",F891="isolated_footing")),"yes","no"))</f>
        <v/>
      </c>
    </row>
    <row r="892">
      <c r="A892" s="5" t="n">
        <v>891</v>
      </c>
      <c r="B892" s="5" t="inlineStr">
        <is>
          <t>130</t>
        </is>
      </c>
      <c r="C892" s="5" t="inlineStr">
        <is>
          <t>region between joints</t>
        </is>
      </c>
      <c r="D892" s="5" t="inlineStr">
        <is>
          <t>solid</t>
        </is>
      </c>
      <c r="E892" s="5" t="n">
        <v>37</v>
      </c>
      <c r="F892" s="5" t="inlineStr">
        <is>
          <t>core_wall</t>
        </is>
      </c>
      <c r="G892" s="5" t="inlineStr">
        <is>
          <t>Core wall 1.75 × 0.25 m</t>
        </is>
      </c>
      <c r="H892" s="5" t="inlineStr">
        <is>
          <t>rule: unlabelled interior wall, no V type of its size</t>
        </is>
      </c>
      <c r="I892" s="5" t="inlineStr">
        <is>
          <t>(none)</t>
        </is>
      </c>
      <c r="J892" s="5" t="inlineStr">
        <is>
          <t>no shear_wall type in its building has this size</t>
        </is>
      </c>
      <c r="K892" s="5" t="inlineStr"/>
      <c r="L892" s="5" t="n">
        <v>175</v>
      </c>
      <c r="M892" s="5" t="n">
        <v>25</v>
      </c>
      <c r="N892" s="10">
        <f>IF(AND(ISNUMBER(L892),M892&gt;0),L892/M892,"")</f>
        <v/>
      </c>
      <c r="O892" s="5" t="n">
        <v>0.437</v>
      </c>
      <c r="P892" s="5" t="n">
        <v>75.2</v>
      </c>
      <c r="Q892" s="5" t="n">
        <v>3</v>
      </c>
      <c r="R892" s="5" t="n">
        <v>0</v>
      </c>
      <c r="S892" s="5" t="n">
        <v>0</v>
      </c>
      <c r="T892" s="5" t="n">
        <v>1</v>
      </c>
      <c r="U892" s="5" t="n">
        <v>0</v>
      </c>
      <c r="V892" s="5" t="n">
        <v>0</v>
      </c>
      <c r="W892" s="5" t="n">
        <v>2</v>
      </c>
      <c r="X892" s="5" t="n">
        <v>0</v>
      </c>
      <c r="Y892" s="5" t="n"/>
      <c r="Z892" s="5" t="inlineStr"/>
      <c r="AA892" s="5" t="n">
        <v>630.2</v>
      </c>
      <c r="AB892" s="5" t="n">
        <v>1380.3</v>
      </c>
      <c r="AC892" s="5" t="n">
        <v>650.5</v>
      </c>
      <c r="AD892" s="5" t="n">
        <v>1432.2</v>
      </c>
      <c r="AE892" s="5" t="inlineStr"/>
      <c r="AF892" s="5">
        <f>IF(AE892="","",IF(OR(AE892=F892,AND(AE892="crane_footing",F892="isolated_footing")),"yes","no"))</f>
        <v/>
      </c>
    </row>
    <row r="893">
      <c r="A893" s="5" t="n">
        <v>892</v>
      </c>
      <c r="B893" s="5" t="inlineStr">
        <is>
          <t>130</t>
        </is>
      </c>
      <c r="C893" s="5" t="inlineStr">
        <is>
          <t>region between joints</t>
        </is>
      </c>
      <c r="D893" s="5" t="inlineStr">
        <is>
          <t>solid</t>
        </is>
      </c>
      <c r="E893" s="5" t="n">
        <v>26</v>
      </c>
      <c r="F893" s="5" t="inlineStr">
        <is>
          <t>core_wall</t>
        </is>
      </c>
      <c r="G893" s="5" t="inlineStr">
        <is>
          <t>Core wall 1.23 × 0.25 m</t>
        </is>
      </c>
      <c r="H893" s="5" t="inlineStr">
        <is>
          <t>rule: unlabelled interior wall, no V type of its size</t>
        </is>
      </c>
      <c r="I893" s="5" t="inlineStr">
        <is>
          <t>(none)</t>
        </is>
      </c>
      <c r="J893" s="5" t="inlineStr"/>
      <c r="K893" s="5" t="inlineStr"/>
      <c r="L893" s="5" t="n">
        <v>123</v>
      </c>
      <c r="M893" s="5" t="n">
        <v>25</v>
      </c>
      <c r="N893" s="10">
        <f>IF(AND(ISNUMBER(L893),M893&gt;0),L893/M893,"")</f>
        <v/>
      </c>
      <c r="O893" s="5" t="n">
        <v>0.307</v>
      </c>
      <c r="P893" s="5" t="n">
        <v>75.2</v>
      </c>
      <c r="Q893" s="5" t="n">
        <v>0</v>
      </c>
      <c r="R893" s="5" t="n">
        <v>0</v>
      </c>
      <c r="S893" s="5" t="n">
        <v>0</v>
      </c>
      <c r="T893" s="5" t="n">
        <v>1</v>
      </c>
      <c r="U893" s="5" t="n">
        <v>0</v>
      </c>
      <c r="V893" s="5" t="n">
        <v>0</v>
      </c>
      <c r="W893" s="5" t="n">
        <v>2</v>
      </c>
      <c r="X893" s="5" t="n">
        <v>0</v>
      </c>
      <c r="Y893" s="5" t="n"/>
      <c r="Z893" s="5" t="inlineStr"/>
      <c r="AA893" s="5" t="n">
        <v>597.4</v>
      </c>
      <c r="AB893" s="5" t="n">
        <v>1424</v>
      </c>
      <c r="AC893" s="5" t="n">
        <v>613.8</v>
      </c>
      <c r="AD893" s="5" t="n">
        <v>1461</v>
      </c>
      <c r="AE893" s="5" t="inlineStr"/>
      <c r="AF893" s="5">
        <f>IF(AE893="","",IF(OR(AE893=F893,AND(AE893="crane_footing",F893="isolated_footing")),"yes","no"))</f>
        <v/>
      </c>
    </row>
    <row r="894">
      <c r="A894" s="5" t="n">
        <v>893</v>
      </c>
      <c r="B894" s="5" t="inlineStr">
        <is>
          <t>130</t>
        </is>
      </c>
      <c r="C894" s="5" t="inlineStr">
        <is>
          <t>region between joints</t>
        </is>
      </c>
      <c r="D894" s="5" t="inlineStr">
        <is>
          <t>solid</t>
        </is>
      </c>
      <c r="E894" s="5" t="n">
        <v>28</v>
      </c>
      <c r="F894" s="5" t="inlineStr">
        <is>
          <t>core_wall</t>
        </is>
      </c>
      <c r="G894" s="5" t="inlineStr">
        <is>
          <t>Core wall 1.49 × 0.20 m</t>
        </is>
      </c>
      <c r="H894" s="5" t="inlineStr">
        <is>
          <t>rule: unlabelled interior wall, no V type of its size</t>
        </is>
      </c>
      <c r="I894" s="5" t="inlineStr">
        <is>
          <t>(none)</t>
        </is>
      </c>
      <c r="J894" s="5" t="inlineStr">
        <is>
          <t>no shear_wall type in its building has this size</t>
        </is>
      </c>
      <c r="K894" s="5" t="inlineStr"/>
      <c r="L894" s="5" t="n">
        <v>149</v>
      </c>
      <c r="M894" s="5" t="n">
        <v>20</v>
      </c>
      <c r="N894" s="10">
        <f>IF(AND(ISNUMBER(L894),M894&gt;0),L894/M894,"")</f>
        <v/>
      </c>
      <c r="O894" s="5" t="n">
        <v>0.3</v>
      </c>
      <c r="P894" s="5" t="n">
        <v>95.5</v>
      </c>
      <c r="Q894" s="5" t="n">
        <v>2</v>
      </c>
      <c r="R894" s="5" t="n">
        <v>1</v>
      </c>
      <c r="S894" s="5" t="n">
        <v>0</v>
      </c>
      <c r="T894" s="5" t="n">
        <v>0</v>
      </c>
      <c r="U894" s="5" t="n">
        <v>0</v>
      </c>
      <c r="V894" s="5" t="n">
        <v>0</v>
      </c>
      <c r="W894" s="5" t="n">
        <v>0</v>
      </c>
      <c r="X894" s="5" t="n">
        <v>0</v>
      </c>
      <c r="Y894" s="5" t="n"/>
      <c r="Z894" s="5" t="inlineStr"/>
      <c r="AA894" s="5" t="n">
        <v>990</v>
      </c>
      <c r="AB894" s="5" t="n">
        <v>1077.6</v>
      </c>
      <c r="AC894" s="5" t="n">
        <v>1000.1</v>
      </c>
      <c r="AD894" s="5" t="n">
        <v>1122</v>
      </c>
      <c r="AE894" s="5" t="inlineStr"/>
      <c r="AF894" s="5">
        <f>IF(AE894="","",IF(OR(AE894=F894,AND(AE894="crane_footing",F894="isolated_footing")),"yes","no"))</f>
        <v/>
      </c>
    </row>
    <row r="895">
      <c r="A895" s="5" t="n">
        <v>894</v>
      </c>
      <c r="B895" s="5" t="inlineStr">
        <is>
          <t>130</t>
        </is>
      </c>
      <c r="C895" s="5" t="inlineStr">
        <is>
          <t>region between joints</t>
        </is>
      </c>
      <c r="D895" s="5" t="inlineStr">
        <is>
          <t>solid</t>
        </is>
      </c>
      <c r="E895" s="5" t="n">
        <v>26</v>
      </c>
      <c r="F895" s="5" t="inlineStr">
        <is>
          <t>core_wall</t>
        </is>
      </c>
      <c r="G895" s="5" t="inlineStr">
        <is>
          <t>Core wall 1.68 × 0.20 m</t>
        </is>
      </c>
      <c r="H895" s="5" t="inlineStr">
        <is>
          <t>rule: unlabelled interior wall, no V type of its size</t>
        </is>
      </c>
      <c r="I895" s="5" t="inlineStr">
        <is>
          <t>(none)</t>
        </is>
      </c>
      <c r="J895" s="5" t="inlineStr"/>
      <c r="K895" s="5" t="inlineStr"/>
      <c r="L895" s="5" t="n">
        <v>168</v>
      </c>
      <c r="M895" s="5" t="n">
        <v>20</v>
      </c>
      <c r="N895" s="10">
        <f>IF(AND(ISNUMBER(L895),M895&gt;0),L895/M895,"")</f>
        <v/>
      </c>
      <c r="O895" s="5" t="n">
        <v>0.335</v>
      </c>
      <c r="P895" s="5" t="n">
        <v>5.7</v>
      </c>
      <c r="Q895" s="5" t="n">
        <v>1</v>
      </c>
      <c r="R895" s="5" t="n">
        <v>1</v>
      </c>
      <c r="S895" s="5" t="n">
        <v>0</v>
      </c>
      <c r="T895" s="5" t="n">
        <v>0</v>
      </c>
      <c r="U895" s="5" t="n">
        <v>0</v>
      </c>
      <c r="V895" s="5" t="n">
        <v>0</v>
      </c>
      <c r="W895" s="5" t="n">
        <v>0</v>
      </c>
      <c r="X895" s="5" t="n">
        <v>0</v>
      </c>
      <c r="Y895" s="5" t="n"/>
      <c r="Z895" s="5" t="inlineStr"/>
      <c r="AA895" s="5" t="n">
        <v>930.5</v>
      </c>
      <c r="AB895" s="5" t="n">
        <v>1115.8</v>
      </c>
      <c r="AC895" s="5" t="n">
        <v>980.4</v>
      </c>
      <c r="AD895" s="5" t="n">
        <v>1126.6</v>
      </c>
      <c r="AE895" s="5" t="inlineStr"/>
      <c r="AF895" s="5">
        <f>IF(AE895="","",IF(OR(AE895=F895,AND(AE895="crane_footing",F895="isolated_footing")),"yes","no"))</f>
        <v/>
      </c>
    </row>
    <row r="896">
      <c r="A896" s="5" t="n">
        <v>895</v>
      </c>
      <c r="B896" s="5" t="inlineStr">
        <is>
          <t>130</t>
        </is>
      </c>
      <c r="C896" s="5" t="inlineStr">
        <is>
          <t>region between joints</t>
        </is>
      </c>
      <c r="D896" s="5" t="inlineStr">
        <is>
          <t>solid</t>
        </is>
      </c>
      <c r="E896" s="5" t="n">
        <v>28</v>
      </c>
      <c r="F896" s="5" t="inlineStr">
        <is>
          <t>core_wall</t>
        </is>
      </c>
      <c r="G896" s="5" t="inlineStr">
        <is>
          <t>Core wall 1.50 × 0.20 m</t>
        </is>
      </c>
      <c r="H896" s="5" t="inlineStr">
        <is>
          <t>rule: unlabelled interior wall, no V type of its size</t>
        </is>
      </c>
      <c r="I896" s="5" t="inlineStr">
        <is>
          <t>(none)</t>
        </is>
      </c>
      <c r="J896" s="5" t="inlineStr">
        <is>
          <t>no shear_wall type in its building has this size</t>
        </is>
      </c>
      <c r="K896" s="5" t="inlineStr"/>
      <c r="L896" s="5" t="n">
        <v>150</v>
      </c>
      <c r="M896" s="5" t="n">
        <v>20</v>
      </c>
      <c r="N896" s="10">
        <f>IF(AND(ISNUMBER(L896),M896&gt;0),L896/M896,"")</f>
        <v/>
      </c>
      <c r="O896" s="5" t="n">
        <v>0.3</v>
      </c>
      <c r="P896" s="5" t="n">
        <v>95.7</v>
      </c>
      <c r="Q896" s="5" t="n">
        <v>3</v>
      </c>
      <c r="R896" s="5" t="n">
        <v>1</v>
      </c>
      <c r="S896" s="5" t="n">
        <v>0</v>
      </c>
      <c r="T896" s="5" t="n">
        <v>0</v>
      </c>
      <c r="U896" s="5" t="n">
        <v>0</v>
      </c>
      <c r="V896" s="5" t="n">
        <v>0</v>
      </c>
      <c r="W896" s="5" t="n">
        <v>0</v>
      </c>
      <c r="X896" s="5" t="n">
        <v>0</v>
      </c>
      <c r="Y896" s="5" t="n"/>
      <c r="Z896" s="5" t="inlineStr"/>
      <c r="AA896" s="5" t="n">
        <v>925.2</v>
      </c>
      <c r="AB896" s="5" t="n">
        <v>1071.1</v>
      </c>
      <c r="AC896" s="5" t="n">
        <v>935.6</v>
      </c>
      <c r="AD896" s="5" t="n">
        <v>1115.8</v>
      </c>
      <c r="AE896" s="5" t="inlineStr"/>
      <c r="AF896" s="5">
        <f>IF(AE896="","",IF(OR(AE896=F896,AND(AE896="crane_footing",F896="isolated_footing")),"yes","no"))</f>
        <v/>
      </c>
    </row>
    <row r="897">
      <c r="A897" s="5" t="n">
        <v>896</v>
      </c>
      <c r="B897" s="5" t="inlineStr">
        <is>
          <t>130</t>
        </is>
      </c>
      <c r="C897" s="5" t="inlineStr">
        <is>
          <t>region between joints</t>
        </is>
      </c>
      <c r="D897" s="5" t="inlineStr">
        <is>
          <t>solid</t>
        </is>
      </c>
      <c r="E897" s="5" t="n">
        <v>28</v>
      </c>
      <c r="F897" s="5" t="inlineStr">
        <is>
          <t>core_wall</t>
        </is>
      </c>
      <c r="G897" s="5" t="inlineStr">
        <is>
          <t>Core wall 6.11 × 0.20 m</t>
        </is>
      </c>
      <c r="H897" s="5" t="inlineStr">
        <is>
          <t>rule: unlabelled interior wall, no V type of its size</t>
        </is>
      </c>
      <c r="I897" s="5" t="inlineStr">
        <is>
          <t>(none)</t>
        </is>
      </c>
      <c r="J897" s="5" t="inlineStr">
        <is>
          <t>no shear_wall type in its building has this size</t>
        </is>
      </c>
      <c r="K897" s="5" t="inlineStr"/>
      <c r="L897" s="5" t="n">
        <v>611</v>
      </c>
      <c r="M897" s="5" t="n">
        <v>20</v>
      </c>
      <c r="N897" s="10">
        <f>IF(AND(ISNUMBER(L897),M897&gt;0),L897/M897,"")</f>
        <v/>
      </c>
      <c r="O897" s="5" t="n">
        <v>1.238</v>
      </c>
      <c r="P897" s="5" t="n">
        <v>165.3</v>
      </c>
      <c r="Q897" s="5" t="n">
        <v>2</v>
      </c>
      <c r="R897" s="5" t="n">
        <v>0</v>
      </c>
      <c r="S897" s="5" t="n">
        <v>0</v>
      </c>
      <c r="T897" s="5" t="n">
        <v>1</v>
      </c>
      <c r="U897" s="5" t="n">
        <v>0</v>
      </c>
      <c r="V897" s="5" t="n">
        <v>0</v>
      </c>
      <c r="W897" s="5" t="n">
        <v>5</v>
      </c>
      <c r="X897" s="5" t="n">
        <v>0</v>
      </c>
      <c r="Y897" s="5" t="n"/>
      <c r="Z897" s="5" t="inlineStr"/>
      <c r="AA897" s="5" t="n">
        <v>586.3</v>
      </c>
      <c r="AB897" s="5" t="n">
        <v>1466.9</v>
      </c>
      <c r="AC897" s="5" t="n">
        <v>762.2</v>
      </c>
      <c r="AD897" s="5" t="n">
        <v>1518.5</v>
      </c>
      <c r="AE897" s="5" t="inlineStr"/>
      <c r="AF897" s="5">
        <f>IF(AE897="","",IF(OR(AE897=F897,AND(AE897="crane_footing",F897="isolated_footing")),"yes","no"))</f>
        <v/>
      </c>
    </row>
    <row r="898">
      <c r="A898" s="5" t="n">
        <v>897</v>
      </c>
      <c r="B898" s="5" t="inlineStr">
        <is>
          <t>130</t>
        </is>
      </c>
      <c r="C898" s="5" t="inlineStr">
        <is>
          <t>region between joints</t>
        </is>
      </c>
      <c r="D898" s="5" t="inlineStr">
        <is>
          <t>outline</t>
        </is>
      </c>
      <c r="E898" s="5" t="n">
        <v>18</v>
      </c>
      <c r="F898" s="5" t="inlineStr">
        <is>
          <t>core_wall</t>
        </is>
      </c>
      <c r="G898" s="5" t="inlineStr">
        <is>
          <t>Core wall 1.47 × 0.20 m</t>
        </is>
      </c>
      <c r="H898" s="5" t="inlineStr">
        <is>
          <t>rule: unlabelled interior wall, no V type of its size (drawn as an outline with a pattern inside)</t>
        </is>
      </c>
      <c r="I898" s="5" t="inlineStr">
        <is>
          <t>(none)</t>
        </is>
      </c>
      <c r="J898" s="5" t="inlineStr"/>
      <c r="K898" s="5" t="inlineStr"/>
      <c r="L898" s="5" t="n">
        <v>147</v>
      </c>
      <c r="M898" s="5" t="n">
        <v>20</v>
      </c>
      <c r="N898" s="10">
        <f>IF(AND(ISNUMBER(L898),M898&gt;0),L898/M898,"")</f>
        <v/>
      </c>
      <c r="O898" s="5" t="n">
        <v>0.295</v>
      </c>
      <c r="P898" s="5" t="n">
        <v>75.3</v>
      </c>
      <c r="Q898" s="5" t="n">
        <v>2</v>
      </c>
      <c r="R898" s="5" t="n">
        <v>0</v>
      </c>
      <c r="S898" s="5" t="n">
        <v>0</v>
      </c>
      <c r="T898" s="5" t="n">
        <v>1</v>
      </c>
      <c r="U898" s="5" t="n">
        <v>0</v>
      </c>
      <c r="V898" s="5" t="n">
        <v>0</v>
      </c>
      <c r="W898" s="5" t="n">
        <v>4</v>
      </c>
      <c r="X898" s="5" t="n">
        <v>0</v>
      </c>
      <c r="Y898" s="5" t="n"/>
      <c r="Z898" s="5" t="inlineStr"/>
      <c r="AA898" s="5" t="n">
        <v>608</v>
      </c>
      <c r="AB898" s="5" t="n">
        <v>1459</v>
      </c>
      <c r="AC898" s="5" t="n">
        <v>624.8</v>
      </c>
      <c r="AD898" s="5" t="n">
        <v>1502.6</v>
      </c>
      <c r="AE898" s="5" t="inlineStr"/>
      <c r="AF898" s="5">
        <f>IF(AE898="","",IF(OR(AE898=F898,AND(AE898="crane_footing",F898="isolated_footing")),"yes","no"))</f>
        <v/>
      </c>
    </row>
    <row r="899">
      <c r="A899" s="5" t="n">
        <v>898</v>
      </c>
      <c r="B899" s="5" t="inlineStr">
        <is>
          <t>130</t>
        </is>
      </c>
      <c r="C899" s="5" t="inlineStr">
        <is>
          <t>region between joints</t>
        </is>
      </c>
      <c r="D899" s="5" t="inlineStr">
        <is>
          <t>cross_hatch</t>
        </is>
      </c>
      <c r="E899" s="5" t="n">
        <v>10</v>
      </c>
      <c r="F899" s="5" t="inlineStr">
        <is>
          <t>core_wall</t>
        </is>
      </c>
      <c r="G899" s="5" t="inlineStr">
        <is>
          <t>Core wall 3.37 × 0.20 m</t>
        </is>
      </c>
      <c r="H899" s="5" t="inlineStr">
        <is>
          <t>rule: unlabelled interior wall, no V type of its size</t>
        </is>
      </c>
      <c r="I899" s="5" t="inlineStr">
        <is>
          <t>(none)</t>
        </is>
      </c>
      <c r="J899" s="5" t="inlineStr"/>
      <c r="K899" s="5" t="inlineStr"/>
      <c r="L899" s="5" t="n">
        <v>337</v>
      </c>
      <c r="M899" s="5" t="n">
        <v>20</v>
      </c>
      <c r="N899" s="10">
        <f>IF(AND(ISNUMBER(L899),M899&gt;0),L899/M899,"")</f>
        <v/>
      </c>
      <c r="O899" s="5" t="n">
        <v>0.675</v>
      </c>
      <c r="P899" s="5" t="n">
        <v>165</v>
      </c>
      <c r="Q899" s="5" t="n">
        <v>2</v>
      </c>
      <c r="R899" s="5" t="n">
        <v>0</v>
      </c>
      <c r="S899" s="5" t="n">
        <v>0</v>
      </c>
      <c r="T899" s="5" t="n">
        <v>1</v>
      </c>
      <c r="U899" s="5" t="n">
        <v>0</v>
      </c>
      <c r="V899" s="5" t="n">
        <v>0</v>
      </c>
      <c r="W899" s="5" t="n">
        <v>4</v>
      </c>
      <c r="X899" s="5" t="n">
        <v>0</v>
      </c>
      <c r="Y899" s="5" t="n"/>
      <c r="Z899" s="5" t="inlineStr"/>
      <c r="AA899" s="5" t="n">
        <v>648.9</v>
      </c>
      <c r="AB899" s="5" t="n">
        <v>1398.7</v>
      </c>
      <c r="AC899" s="5" t="n">
        <v>746.7</v>
      </c>
      <c r="AD899" s="5" t="n">
        <v>1430.2</v>
      </c>
      <c r="AE899" s="5" t="inlineStr"/>
      <c r="AF899" s="5">
        <f>IF(AE899="","",IF(OR(AE899=F899,AND(AE899="crane_footing",F899="isolated_footing")),"yes","no"))</f>
        <v/>
      </c>
    </row>
    <row r="900">
      <c r="A900" s="5" t="n">
        <v>899</v>
      </c>
      <c r="B900" s="5" t="inlineStr">
        <is>
          <t>130</t>
        </is>
      </c>
      <c r="C900" s="5" t="inlineStr">
        <is>
          <t>region between joints</t>
        </is>
      </c>
      <c r="D900" s="5" t="inlineStr">
        <is>
          <t>cross_hatch</t>
        </is>
      </c>
      <c r="E900" s="5" t="n">
        <v>10</v>
      </c>
      <c r="F900" s="5" t="inlineStr">
        <is>
          <t>core_wall</t>
        </is>
      </c>
      <c r="G900" s="5" t="inlineStr">
        <is>
          <t>Core wall 2.10 × 0.20 m</t>
        </is>
      </c>
      <c r="H900" s="5" t="inlineStr">
        <is>
          <t>rule: unlabelled interior wall, no V type of its size</t>
        </is>
      </c>
      <c r="I900" s="5" t="inlineStr">
        <is>
          <t>(none)</t>
        </is>
      </c>
      <c r="J900" s="5" t="inlineStr"/>
      <c r="K900" s="5" t="inlineStr"/>
      <c r="L900" s="5" t="n">
        <v>210</v>
      </c>
      <c r="M900" s="5" t="n">
        <v>20</v>
      </c>
      <c r="N900" s="10">
        <f>IF(AND(ISNUMBER(L900),M900&gt;0),L900/M900,"")</f>
        <v/>
      </c>
      <c r="O900" s="5" t="n">
        <v>0.42</v>
      </c>
      <c r="P900" s="5" t="n">
        <v>75.3</v>
      </c>
      <c r="Q900" s="5" t="n">
        <v>2</v>
      </c>
      <c r="R900" s="5" t="n">
        <v>0</v>
      </c>
      <c r="S900" s="5" t="n">
        <v>0</v>
      </c>
      <c r="T900" s="5" t="n">
        <v>1</v>
      </c>
      <c r="U900" s="5" t="n">
        <v>0</v>
      </c>
      <c r="V900" s="5" t="n">
        <v>0</v>
      </c>
      <c r="W900" s="5" t="n">
        <v>3</v>
      </c>
      <c r="X900" s="5" t="n">
        <v>0</v>
      </c>
      <c r="Y900" s="5" t="n"/>
      <c r="Z900" s="5" t="inlineStr"/>
      <c r="AA900" s="5" t="n">
        <v>748.2</v>
      </c>
      <c r="AB900" s="5" t="n">
        <v>1403.1</v>
      </c>
      <c r="AC900" s="5" t="n">
        <v>769.7</v>
      </c>
      <c r="AD900" s="5" t="n">
        <v>1464.5</v>
      </c>
      <c r="AE900" s="5" t="inlineStr"/>
      <c r="AF900" s="5">
        <f>IF(AE900="","",IF(OR(AE900=F900,AND(AE900="crane_footing",F900="isolated_footing")),"yes","no"))</f>
        <v/>
      </c>
    </row>
    <row r="901">
      <c r="A901" s="5" t="n">
        <v>900</v>
      </c>
      <c r="B901" s="5" t="inlineStr">
        <is>
          <t>130</t>
        </is>
      </c>
      <c r="C901" s="5" t="inlineStr">
        <is>
          <t>region between joints</t>
        </is>
      </c>
      <c r="D901" s="5" t="inlineStr">
        <is>
          <t>cross_hatch</t>
        </is>
      </c>
      <c r="E901" s="5" t="n">
        <v>10</v>
      </c>
      <c r="F901" s="5" t="inlineStr">
        <is>
          <t>core_wall</t>
        </is>
      </c>
      <c r="G901" s="5" t="inlineStr">
        <is>
          <t>Core wall 1.42 × 0.20 m</t>
        </is>
      </c>
      <c r="H901" s="5" t="inlineStr">
        <is>
          <t>rule: unlabelled interior wall, no V type of its size</t>
        </is>
      </c>
      <c r="I901" s="5" t="inlineStr">
        <is>
          <t>(none)</t>
        </is>
      </c>
      <c r="J901" s="5" t="inlineStr"/>
      <c r="K901" s="5" t="inlineStr"/>
      <c r="L901" s="5" t="n">
        <v>142</v>
      </c>
      <c r="M901" s="5" t="n">
        <v>20</v>
      </c>
      <c r="N901" s="10">
        <f>IF(AND(ISNUMBER(L901),M901&gt;0),L901/M901,"")</f>
        <v/>
      </c>
      <c r="O901" s="5" t="n">
        <v>0.285</v>
      </c>
      <c r="P901" s="5" t="n">
        <v>165.3</v>
      </c>
      <c r="Q901" s="5" t="n">
        <v>2</v>
      </c>
      <c r="R901" s="5" t="n">
        <v>0</v>
      </c>
      <c r="S901" s="5" t="n">
        <v>0</v>
      </c>
      <c r="T901" s="5" t="n">
        <v>1</v>
      </c>
      <c r="U901" s="5" t="n">
        <v>0</v>
      </c>
      <c r="V901" s="5" t="n">
        <v>0</v>
      </c>
      <c r="W901" s="5" t="n">
        <v>3</v>
      </c>
      <c r="X901" s="5" t="n">
        <v>0</v>
      </c>
      <c r="Y901" s="5" t="n"/>
      <c r="Z901" s="5" t="inlineStr"/>
      <c r="AA901" s="5" t="n">
        <v>752.4</v>
      </c>
      <c r="AB901" s="5" t="n">
        <v>1386.7</v>
      </c>
      <c r="AC901" s="5" t="n">
        <v>794.6</v>
      </c>
      <c r="AD901" s="5" t="n">
        <v>1403.1</v>
      </c>
      <c r="AE901" s="5" t="inlineStr"/>
      <c r="AF901" s="5">
        <f>IF(AE901="","",IF(OR(AE901=F901,AND(AE901="crane_footing",F901="isolated_footing")),"yes","no"))</f>
        <v/>
      </c>
    </row>
    <row r="902">
      <c r="A902" s="5" t="n">
        <v>901</v>
      </c>
      <c r="B902" s="5" t="inlineStr">
        <is>
          <t>130</t>
        </is>
      </c>
      <c r="C902" s="5" t="inlineStr">
        <is>
          <t>region between joints</t>
        </is>
      </c>
      <c r="D902" s="5" t="inlineStr">
        <is>
          <t>solid</t>
        </is>
      </c>
      <c r="E902" s="5" t="n">
        <v>27</v>
      </c>
      <c r="F902" s="5" t="inlineStr">
        <is>
          <t>retaining_wall</t>
        </is>
      </c>
      <c r="G902" s="5" t="inlineStr">
        <is>
          <t>Retaining wall VP20 8.75 × 0.20 m</t>
        </is>
      </c>
      <c r="H902" s="5" t="inlineStr">
        <is>
          <t>its own label (the cluster's class was only a guess)</t>
        </is>
      </c>
      <c r="I902" s="5" t="inlineStr">
        <is>
          <t>VP20</t>
        </is>
      </c>
      <c r="J902" s="5" t="inlineStr">
        <is>
          <t>printed label</t>
        </is>
      </c>
      <c r="K902" s="5" t="inlineStr">
        <is>
          <t>VP20-SF1 80x25</t>
        </is>
      </c>
      <c r="L902" s="5" t="n">
        <v>875</v>
      </c>
      <c r="M902" s="5" t="n">
        <v>20</v>
      </c>
      <c r="N902" s="10">
        <f>IF(AND(ISNUMBER(L902),M902&gt;0),L902/M902,"")</f>
        <v/>
      </c>
      <c r="O902" s="5" t="n">
        <v>1.723</v>
      </c>
      <c r="P902" s="5" t="n">
        <v>75.3</v>
      </c>
      <c r="Q902" s="5" t="n">
        <v>3</v>
      </c>
      <c r="R902" s="5" t="n">
        <v>1</v>
      </c>
      <c r="S902" s="5" t="n">
        <v>0</v>
      </c>
      <c r="T902" s="5" t="n">
        <v>0</v>
      </c>
      <c r="U902" s="5" t="n">
        <v>1</v>
      </c>
      <c r="V902" s="5" t="n">
        <v>1</v>
      </c>
      <c r="W902" s="5" t="n">
        <v>19</v>
      </c>
      <c r="X902" s="5" t="n">
        <v>4</v>
      </c>
      <c r="Y902" s="5" t="n"/>
      <c r="Z902" s="5" t="inlineStr"/>
      <c r="AA902" s="5" t="n">
        <v>754.6</v>
      </c>
      <c r="AB902" s="5" t="n">
        <v>1602.2</v>
      </c>
      <c r="AC902" s="5" t="n">
        <v>825.8</v>
      </c>
      <c r="AD902" s="5" t="n">
        <v>1852</v>
      </c>
      <c r="AE902" s="5" t="inlineStr"/>
      <c r="AF902" s="5">
        <f>IF(AE902="","",IF(OR(AE902=F902,AND(AE902="crane_footing",F902="isolated_footing")),"yes","no"))</f>
        <v/>
      </c>
    </row>
    <row r="903">
      <c r="A903" s="5" t="n">
        <v>902</v>
      </c>
      <c r="B903" s="5" t="inlineStr">
        <is>
          <t>130</t>
        </is>
      </c>
      <c r="C903" s="5" t="inlineStr">
        <is>
          <t>region between joints</t>
        </is>
      </c>
      <c r="D903" s="5" t="inlineStr">
        <is>
          <t>solid</t>
        </is>
      </c>
      <c r="E903" s="5" t="n">
        <v>30</v>
      </c>
      <c r="F903" s="5" t="inlineStr">
        <is>
          <t>retaining_wall</t>
        </is>
      </c>
      <c r="G903" s="5" t="inlineStr">
        <is>
          <t>Retaining wall ~VP20 6.40 × 0.20 m</t>
        </is>
      </c>
      <c r="H903" s="5" t="inlineStr">
        <is>
          <t>rule: unlabelled wall along the building edge or on a strip footing</t>
        </is>
      </c>
      <c r="I903" s="5" t="inlineStr">
        <is>
          <t>VP20</t>
        </is>
      </c>
      <c r="J903" s="5" t="inlineStr">
        <is>
          <t>inferred: the thickness of this retaining-wall type</t>
        </is>
      </c>
      <c r="K903" s="5" t="inlineStr"/>
      <c r="L903" s="5" t="n">
        <v>640</v>
      </c>
      <c r="M903" s="5" t="n">
        <v>20</v>
      </c>
      <c r="N903" s="10">
        <f>IF(AND(ISNUMBER(L903),M903&gt;0),L903/M903,"")</f>
        <v/>
      </c>
      <c r="O903" s="5" t="n">
        <v>1.239</v>
      </c>
      <c r="P903" s="5" t="n">
        <v>165.2</v>
      </c>
      <c r="Q903" s="5" t="n">
        <v>1</v>
      </c>
      <c r="R903" s="5" t="n">
        <v>0</v>
      </c>
      <c r="S903" s="5" t="n">
        <v>0</v>
      </c>
      <c r="T903" s="5" t="n">
        <v>1</v>
      </c>
      <c r="U903" s="5" t="n">
        <v>1</v>
      </c>
      <c r="V903" s="5" t="n">
        <v>0</v>
      </c>
      <c r="W903" s="5" t="n">
        <v>3</v>
      </c>
      <c r="X903" s="5" t="n">
        <v>0</v>
      </c>
      <c r="Y903" s="5" t="n"/>
      <c r="Z903" s="5" t="inlineStr"/>
      <c r="AA903" s="5" t="n">
        <v>460</v>
      </c>
      <c r="AB903" s="5" t="n">
        <v>1408</v>
      </c>
      <c r="AC903" s="5" t="n">
        <v>644.3</v>
      </c>
      <c r="AD903" s="5" t="n">
        <v>1458.7</v>
      </c>
      <c r="AE903" s="5" t="inlineStr"/>
      <c r="AF903" s="5">
        <f>IF(AE903="","",IF(OR(AE903=F903,AND(AE903="crane_footing",F903="isolated_footing")),"yes","no"))</f>
        <v/>
      </c>
    </row>
    <row r="904">
      <c r="A904" s="5" t="n">
        <v>903</v>
      </c>
      <c r="B904" s="5" t="inlineStr">
        <is>
          <t>130</t>
        </is>
      </c>
      <c r="C904" s="5" t="inlineStr">
        <is>
          <t>region between joints</t>
        </is>
      </c>
      <c r="D904" s="5" t="inlineStr">
        <is>
          <t>solid</t>
        </is>
      </c>
      <c r="E904" s="5" t="n">
        <v>27</v>
      </c>
      <c r="F904" s="5" t="inlineStr">
        <is>
          <t>retaining_wall</t>
        </is>
      </c>
      <c r="G904" s="5" t="inlineStr">
        <is>
          <t>Retaining wall ~VP20 2.00 × 0.20 m</t>
        </is>
      </c>
      <c r="H904" s="5" t="inlineStr">
        <is>
          <t>rule: unlabelled wall along the building edge or on a strip footing</t>
        </is>
      </c>
      <c r="I904" s="5" t="inlineStr">
        <is>
          <t>VP20</t>
        </is>
      </c>
      <c r="J904" s="5" t="inlineStr">
        <is>
          <t>inferred: the thickness of this retaining-wall type</t>
        </is>
      </c>
      <c r="K904" s="5" t="inlineStr"/>
      <c r="L904" s="5" t="n">
        <v>200</v>
      </c>
      <c r="M904" s="5" t="n">
        <v>20</v>
      </c>
      <c r="N904" s="10">
        <f>IF(AND(ISNUMBER(L904),M904&gt;0),L904/M904,"")</f>
        <v/>
      </c>
      <c r="O904" s="5" t="n">
        <v>0.4</v>
      </c>
      <c r="P904" s="5" t="n">
        <v>5.8</v>
      </c>
      <c r="Q904" s="5" t="n">
        <v>3</v>
      </c>
      <c r="R904" s="5" t="n">
        <v>1</v>
      </c>
      <c r="S904" s="5" t="n">
        <v>0</v>
      </c>
      <c r="T904" s="5" t="n">
        <v>0</v>
      </c>
      <c r="U904" s="5" t="n">
        <v>1</v>
      </c>
      <c r="V904" s="5" t="n">
        <v>0</v>
      </c>
      <c r="W904" s="5" t="n">
        <v>0</v>
      </c>
      <c r="X904" s="5" t="n">
        <v>0</v>
      </c>
      <c r="Y904" s="5" t="n"/>
      <c r="Z904" s="5" t="inlineStr"/>
      <c r="AA904" s="5" t="n">
        <v>935.6</v>
      </c>
      <c r="AB904" s="5" t="n">
        <v>1065.8</v>
      </c>
      <c r="AC904" s="5" t="n">
        <v>994.8</v>
      </c>
      <c r="AD904" s="5" t="n">
        <v>1077.6</v>
      </c>
      <c r="AE904" s="5" t="inlineStr"/>
      <c r="AF904" s="5">
        <f>IF(AE904="","",IF(OR(AE904=F904,AND(AE904="crane_footing",F904="isolated_footing")),"yes","no"))</f>
        <v/>
      </c>
    </row>
    <row r="905">
      <c r="A905" s="5" t="n">
        <v>904</v>
      </c>
      <c r="B905" s="5" t="inlineStr">
        <is>
          <t>130</t>
        </is>
      </c>
      <c r="C905" s="5" t="inlineStr">
        <is>
          <t>region between joints</t>
        </is>
      </c>
      <c r="D905" s="5" t="inlineStr">
        <is>
          <t>solid</t>
        </is>
      </c>
      <c r="E905" s="5" t="n">
        <v>32</v>
      </c>
      <c r="F905" s="5" t="inlineStr">
        <is>
          <t>retaining_wall</t>
        </is>
      </c>
      <c r="G905" s="5" t="inlineStr">
        <is>
          <t>Retaining wall VP20 20.85 × 0.20 m</t>
        </is>
      </c>
      <c r="H905" s="5" t="inlineStr">
        <is>
          <t>label vote</t>
        </is>
      </c>
      <c r="I905" s="5" t="inlineStr">
        <is>
          <t>VP20</t>
        </is>
      </c>
      <c r="J905" s="5" t="inlineStr">
        <is>
          <t>printed label</t>
        </is>
      </c>
      <c r="K905" s="5" t="inlineStr">
        <is>
          <t>VP20-SF1 80x25</t>
        </is>
      </c>
      <c r="L905" s="5" t="n">
        <v>2085</v>
      </c>
      <c r="M905" s="5" t="n">
        <v>20</v>
      </c>
      <c r="N905" s="10">
        <f>IF(AND(ISNUMBER(L905),M905&gt;0),L905/M905,"")</f>
        <v/>
      </c>
      <c r="O905" s="5" t="n">
        <v>4.204</v>
      </c>
      <c r="P905" s="5" t="n">
        <v>75.2</v>
      </c>
      <c r="Q905" s="5" t="n">
        <v>1</v>
      </c>
      <c r="R905" s="5" t="n">
        <v>0</v>
      </c>
      <c r="S905" s="5" t="n">
        <v>1</v>
      </c>
      <c r="T905" s="5" t="n">
        <v>0</v>
      </c>
      <c r="U905" s="5" t="n">
        <v>1</v>
      </c>
      <c r="V905" s="5" t="n">
        <v>0</v>
      </c>
      <c r="W905" s="5" t="n">
        <v>12</v>
      </c>
      <c r="X905" s="5" t="n">
        <v>5</v>
      </c>
      <c r="Y905" s="5" t="n"/>
      <c r="Z905" s="5" t="inlineStr"/>
      <c r="AA905" s="5" t="n">
        <v>1248.1</v>
      </c>
      <c r="AB905" s="5" t="n">
        <v>1101.4</v>
      </c>
      <c r="AC905" s="5" t="n">
        <v>1410.8</v>
      </c>
      <c r="AD905" s="5" t="n">
        <v>1698</v>
      </c>
      <c r="AE905" s="5" t="inlineStr"/>
      <c r="AF905" s="5">
        <f>IF(AE905="","",IF(OR(AE905=F905,AND(AE905="crane_footing",F905="isolated_footing")),"yes","no"))</f>
        <v/>
      </c>
    </row>
    <row r="906">
      <c r="A906" s="5" t="n">
        <v>905</v>
      </c>
      <c r="B906" s="5" t="inlineStr">
        <is>
          <t>130</t>
        </is>
      </c>
      <c r="C906" s="5" t="inlineStr">
        <is>
          <t>region between joints</t>
        </is>
      </c>
      <c r="D906" s="5" t="inlineStr">
        <is>
          <t>solid</t>
        </is>
      </c>
      <c r="E906" s="5" t="n">
        <v>30</v>
      </c>
      <c r="F906" s="5" t="inlineStr">
        <is>
          <t>retaining_wall</t>
        </is>
      </c>
      <c r="G906" s="5" t="inlineStr">
        <is>
          <t>Retaining wall VP20 12.68 × 0.20 m</t>
        </is>
      </c>
      <c r="H906" s="5" t="inlineStr">
        <is>
          <t>its own label (the cluster's class was only a guess)</t>
        </is>
      </c>
      <c r="I906" s="5" t="inlineStr">
        <is>
          <t>VP20</t>
        </is>
      </c>
      <c r="J906" s="5" t="inlineStr">
        <is>
          <t>printed label</t>
        </is>
      </c>
      <c r="K906" s="5" t="inlineStr">
        <is>
          <t>VP20-SF1 80x25</t>
        </is>
      </c>
      <c r="L906" s="5" t="n">
        <v>1268</v>
      </c>
      <c r="M906" s="5" t="n">
        <v>20</v>
      </c>
      <c r="N906" s="10">
        <f>IF(AND(ISNUMBER(L906),M906&gt;0),L906/M906,"")</f>
        <v/>
      </c>
      <c r="O906" s="5" t="n">
        <v>2.552</v>
      </c>
      <c r="P906" s="5" t="n">
        <v>5.7</v>
      </c>
      <c r="Q906" s="5" t="n">
        <v>5</v>
      </c>
      <c r="R906" s="5" t="n">
        <v>0</v>
      </c>
      <c r="S906" s="5" t="n">
        <v>1</v>
      </c>
      <c r="T906" s="5" t="n">
        <v>0</v>
      </c>
      <c r="U906" s="5" t="n">
        <v>1</v>
      </c>
      <c r="V906" s="5" t="n">
        <v>1</v>
      </c>
      <c r="W906" s="5" t="n">
        <v>0</v>
      </c>
      <c r="X906" s="5" t="n">
        <v>1</v>
      </c>
      <c r="Y906" s="5" t="n"/>
      <c r="Z906" s="5" t="inlineStr"/>
      <c r="AA906" s="5" t="n">
        <v>875.5</v>
      </c>
      <c r="AB906" s="5" t="n">
        <v>1059.9</v>
      </c>
      <c r="AC906" s="5" t="n">
        <v>1248.7</v>
      </c>
      <c r="AD906" s="5" t="n">
        <v>1102.9</v>
      </c>
      <c r="AE906" s="5" t="inlineStr"/>
      <c r="AF906" s="5">
        <f>IF(AE906="","",IF(OR(AE906=F906,AND(AE906="crane_footing",F906="isolated_footing")),"yes","no"))</f>
        <v/>
      </c>
    </row>
    <row r="907">
      <c r="A907" s="5" t="n">
        <v>906</v>
      </c>
      <c r="B907" s="5" t="inlineStr">
        <is>
          <t>130</t>
        </is>
      </c>
      <c r="C907" s="5" t="inlineStr">
        <is>
          <t>region between joints</t>
        </is>
      </c>
      <c r="D907" s="5" t="inlineStr">
        <is>
          <t>solid</t>
        </is>
      </c>
      <c r="E907" s="5" t="n">
        <v>30</v>
      </c>
      <c r="F907" s="5" t="inlineStr">
        <is>
          <t>retaining_wall</t>
        </is>
      </c>
      <c r="G907" s="5" t="inlineStr">
        <is>
          <t>Retaining wall ~VP20 10.95 × 0.20 m</t>
        </is>
      </c>
      <c r="H907" s="5" t="inlineStr">
        <is>
          <t>rule: unlabelled wall along the building edge or on a strip footing</t>
        </is>
      </c>
      <c r="I907" s="5" t="inlineStr">
        <is>
          <t>VP20</t>
        </is>
      </c>
      <c r="J907" s="5" t="inlineStr">
        <is>
          <t>inferred: the thickness of this retaining-wall type</t>
        </is>
      </c>
      <c r="K907" s="5" t="inlineStr"/>
      <c r="L907" s="5" t="n">
        <v>1095</v>
      </c>
      <c r="M907" s="5" t="n">
        <v>20</v>
      </c>
      <c r="N907" s="10">
        <f>IF(AND(ISNUMBER(L907),M907&gt;0),L907/M907,"")</f>
        <v/>
      </c>
      <c r="O907" s="5" t="n">
        <v>2.228</v>
      </c>
      <c r="P907" s="5" t="n">
        <v>2.8</v>
      </c>
      <c r="Q907" s="5" t="n">
        <v>4</v>
      </c>
      <c r="R907" s="5" t="n">
        <v>0</v>
      </c>
      <c r="S907" s="5" t="n">
        <v>0</v>
      </c>
      <c r="T907" s="5" t="n">
        <v>0</v>
      </c>
      <c r="U907" s="5" t="n">
        <v>1</v>
      </c>
      <c r="V907" s="5" t="n">
        <v>2</v>
      </c>
      <c r="W907" s="5" t="n">
        <v>6</v>
      </c>
      <c r="X907" s="5" t="n">
        <v>2</v>
      </c>
      <c r="Y907" s="5" t="n"/>
      <c r="Z907" s="5" t="inlineStr"/>
      <c r="AA907" s="5" t="n">
        <v>588.2</v>
      </c>
      <c r="AB907" s="5" t="n">
        <v>1213.2</v>
      </c>
      <c r="AC907" s="5" t="n">
        <v>911.4</v>
      </c>
      <c r="AD907" s="5" t="n">
        <v>1235</v>
      </c>
      <c r="AE907" s="5" t="inlineStr"/>
      <c r="AF907" s="5">
        <f>IF(AE907="","",IF(OR(AE907=F907,AND(AE907="crane_footing",F907="isolated_footing")),"yes","no"))</f>
        <v/>
      </c>
    </row>
    <row r="908">
      <c r="A908" s="5" t="n">
        <v>907</v>
      </c>
      <c r="B908" s="5" t="inlineStr">
        <is>
          <t>130</t>
        </is>
      </c>
      <c r="C908" s="5" t="inlineStr">
        <is>
          <t>region between joints</t>
        </is>
      </c>
      <c r="D908" s="5" t="inlineStr">
        <is>
          <t>solid</t>
        </is>
      </c>
      <c r="E908" s="5" t="n">
        <v>30</v>
      </c>
      <c r="F908" s="5" t="inlineStr">
        <is>
          <t>retaining_wall</t>
        </is>
      </c>
      <c r="G908" s="5" t="inlineStr">
        <is>
          <t>Retaining wall ~VP20 6.59 × 0.20 m</t>
        </is>
      </c>
      <c r="H908" s="5" t="inlineStr">
        <is>
          <t>rule: unlabelled wall along the building edge or on a strip footing</t>
        </is>
      </c>
      <c r="I908" s="5" t="inlineStr">
        <is>
          <t>VP20</t>
        </is>
      </c>
      <c r="J908" s="5" t="inlineStr">
        <is>
          <t>inferred: the thickness of this retaining-wall type</t>
        </is>
      </c>
      <c r="K908" s="5" t="inlineStr"/>
      <c r="L908" s="5" t="n">
        <v>659</v>
      </c>
      <c r="M908" s="5" t="n">
        <v>20</v>
      </c>
      <c r="N908" s="10">
        <f>IF(AND(ISNUMBER(L908),M908&gt;0),L908/M908,"")</f>
        <v/>
      </c>
      <c r="O908" s="5" t="n">
        <v>1.332</v>
      </c>
      <c r="P908" s="5" t="n">
        <v>73.7</v>
      </c>
      <c r="Q908" s="5" t="n">
        <v>3</v>
      </c>
      <c r="R908" s="5" t="n">
        <v>0</v>
      </c>
      <c r="S908" s="5" t="n">
        <v>0</v>
      </c>
      <c r="T908" s="5" t="n">
        <v>0</v>
      </c>
      <c r="U908" s="5" t="n">
        <v>1</v>
      </c>
      <c r="V908" s="5" t="n">
        <v>0</v>
      </c>
      <c r="W908" s="5" t="n">
        <v>2</v>
      </c>
      <c r="X908" s="5" t="n">
        <v>1</v>
      </c>
      <c r="Y908" s="5" t="n"/>
      <c r="Z908" s="5" t="inlineStr"/>
      <c r="AA908" s="5" t="n">
        <v>582.4</v>
      </c>
      <c r="AB908" s="5" t="n">
        <v>1219.3</v>
      </c>
      <c r="AC908" s="5" t="n">
        <v>642.6</v>
      </c>
      <c r="AD908" s="5" t="n">
        <v>1407.6</v>
      </c>
      <c r="AE908" s="5" t="inlineStr"/>
      <c r="AF908" s="5">
        <f>IF(AE908="","",IF(OR(AE908=F908,AND(AE908="crane_footing",F908="isolated_footing")),"yes","no"))</f>
        <v/>
      </c>
    </row>
    <row r="909">
      <c r="A909" s="5" t="n">
        <v>908</v>
      </c>
      <c r="B909" s="5" t="inlineStr">
        <is>
          <t>130</t>
        </is>
      </c>
      <c r="C909" s="5" t="inlineStr">
        <is>
          <t>region between joints</t>
        </is>
      </c>
      <c r="D909" s="5" t="inlineStr">
        <is>
          <t>solid</t>
        </is>
      </c>
      <c r="E909" s="5" t="n">
        <v>34</v>
      </c>
      <c r="F909" s="5" t="inlineStr">
        <is>
          <t>retaining_wall</t>
        </is>
      </c>
      <c r="G909" s="5" t="inlineStr">
        <is>
          <t>Retaining wall ~VP20 5.66 × 0.21 m</t>
        </is>
      </c>
      <c r="H909" s="5" t="inlineStr">
        <is>
          <t>rule: unlabelled wall along the building edge or on a strip footing</t>
        </is>
      </c>
      <c r="I909" s="5" t="inlineStr">
        <is>
          <t>VP20</t>
        </is>
      </c>
      <c r="J909" s="5" t="inlineStr">
        <is>
          <t>inferred: the thickness of this retaining-wall type</t>
        </is>
      </c>
      <c r="K909" s="5" t="inlineStr"/>
      <c r="L909" s="5" t="n">
        <v>566</v>
      </c>
      <c r="M909" s="5" t="n">
        <v>21</v>
      </c>
      <c r="N909" s="10">
        <f>IF(AND(ISNUMBER(L909),M909&gt;0),L909/M909,"")</f>
        <v/>
      </c>
      <c r="O909" s="5" t="n">
        <v>1.181</v>
      </c>
      <c r="P909" s="5" t="n">
        <v>75.5</v>
      </c>
      <c r="Q909" s="5" t="n">
        <v>3</v>
      </c>
      <c r="R909" s="5" t="n">
        <v>0</v>
      </c>
      <c r="S909" s="5" t="n">
        <v>1</v>
      </c>
      <c r="T909" s="5" t="n">
        <v>0</v>
      </c>
      <c r="U909" s="5" t="n">
        <v>0</v>
      </c>
      <c r="V909" s="5" t="n">
        <v>0</v>
      </c>
      <c r="W909" s="5" t="n">
        <v>0</v>
      </c>
      <c r="X909" s="5" t="n">
        <v>0</v>
      </c>
      <c r="Y909" s="5" t="n"/>
      <c r="Z909" s="5" t="inlineStr"/>
      <c r="AA909" s="5" t="n">
        <v>869.5</v>
      </c>
      <c r="AB909" s="5" t="n">
        <v>1065.8</v>
      </c>
      <c r="AC909" s="5" t="n">
        <v>917.4</v>
      </c>
      <c r="AD909" s="5" t="n">
        <v>1229</v>
      </c>
      <c r="AE909" s="5" t="inlineStr"/>
      <c r="AF909" s="5">
        <f>IF(AE909="","",IF(OR(AE909=F909,AND(AE909="crane_footing",F909="isolated_footing")),"yes","no"))</f>
        <v/>
      </c>
    </row>
    <row r="910">
      <c r="A910" s="5" t="n">
        <v>909</v>
      </c>
      <c r="B910" s="5" t="inlineStr">
        <is>
          <t>130</t>
        </is>
      </c>
      <c r="C910" s="5" t="inlineStr">
        <is>
          <t>region between joints</t>
        </is>
      </c>
      <c r="D910" s="5" t="inlineStr">
        <is>
          <t>solid</t>
        </is>
      </c>
      <c r="E910" s="5" t="n">
        <v>28</v>
      </c>
      <c r="F910" s="5" t="inlineStr">
        <is>
          <t>retaining_wall</t>
        </is>
      </c>
      <c r="G910" s="5" t="inlineStr">
        <is>
          <t>Retaining wall VP20 4.18 × 0.20 m</t>
        </is>
      </c>
      <c r="H910" s="5" t="inlineStr">
        <is>
          <t>its own label (the cluster's class was only a guess)</t>
        </is>
      </c>
      <c r="I910" s="5" t="inlineStr">
        <is>
          <t>VP20</t>
        </is>
      </c>
      <c r="J910" s="5" t="inlineStr">
        <is>
          <t>printed label</t>
        </is>
      </c>
      <c r="K910" s="5" t="inlineStr">
        <is>
          <t>VP20-SF1 80x25</t>
        </is>
      </c>
      <c r="L910" s="5" t="n">
        <v>418</v>
      </c>
      <c r="M910" s="5" t="n">
        <v>20</v>
      </c>
      <c r="N910" s="10">
        <f>IF(AND(ISNUMBER(L910),M910&gt;0),L910/M910,"")</f>
        <v/>
      </c>
      <c r="O910" s="5" t="n">
        <v>0.842</v>
      </c>
      <c r="P910" s="5" t="n">
        <v>75.3</v>
      </c>
      <c r="Q910" s="5" t="n">
        <v>2</v>
      </c>
      <c r="R910" s="5" t="n">
        <v>0</v>
      </c>
      <c r="S910" s="5" t="n">
        <v>1</v>
      </c>
      <c r="T910" s="5" t="n">
        <v>0</v>
      </c>
      <c r="U910" s="5" t="n">
        <v>0</v>
      </c>
      <c r="V910" s="5" t="n">
        <v>0</v>
      </c>
      <c r="W910" s="5" t="n">
        <v>3</v>
      </c>
      <c r="X910" s="5" t="n">
        <v>0</v>
      </c>
      <c r="Y910" s="5" t="n"/>
      <c r="Z910" s="5" t="inlineStr"/>
      <c r="AA910" s="5" t="n">
        <v>723.2</v>
      </c>
      <c r="AB910" s="5" t="n">
        <v>1481.4</v>
      </c>
      <c r="AC910" s="5" t="n">
        <v>760.4</v>
      </c>
      <c r="AD910" s="5" t="n">
        <v>1602.2</v>
      </c>
      <c r="AE910" s="5" t="inlineStr"/>
      <c r="AF910" s="5">
        <f>IF(AE910="","",IF(OR(AE910=F910,AND(AE910="crane_footing",F910="isolated_footing")),"yes","no"))</f>
        <v/>
      </c>
    </row>
    <row r="911">
      <c r="A911" s="5" t="n">
        <v>910</v>
      </c>
      <c r="B911" s="5" t="inlineStr">
        <is>
          <t>130</t>
        </is>
      </c>
      <c r="C911" s="5" t="inlineStr">
        <is>
          <t>region between joints</t>
        </is>
      </c>
      <c r="D911" s="5" t="inlineStr">
        <is>
          <t>solid</t>
        </is>
      </c>
      <c r="E911" s="5" t="n">
        <v>29</v>
      </c>
      <c r="F911" s="5" t="inlineStr">
        <is>
          <t>retaining_wall</t>
        </is>
      </c>
      <c r="G911" s="5" t="inlineStr">
        <is>
          <t>Retaining wall ~VP25 5.00 × 0.25 m</t>
        </is>
      </c>
      <c r="H911" s="5" t="inlineStr">
        <is>
          <t>rule: unlabelled wall along the building edge or on a strip footing</t>
        </is>
      </c>
      <c r="I911" s="5" t="inlineStr">
        <is>
          <t>VP25</t>
        </is>
      </c>
      <c r="J911" s="5" t="inlineStr">
        <is>
          <t>inferred: the thickness of this retaining-wall type</t>
        </is>
      </c>
      <c r="K911" s="5" t="inlineStr"/>
      <c r="L911" s="5" t="n">
        <v>500</v>
      </c>
      <c r="M911" s="5" t="n">
        <v>25</v>
      </c>
      <c r="N911" s="10">
        <f>IF(AND(ISNUMBER(L911),M911&gt;0),L911/M911,"")</f>
        <v/>
      </c>
      <c r="O911" s="5" t="n">
        <v>1.249</v>
      </c>
      <c r="P911" s="5" t="n">
        <v>165.3</v>
      </c>
      <c r="Q911" s="5" t="n">
        <v>2</v>
      </c>
      <c r="R911" s="5" t="n">
        <v>0</v>
      </c>
      <c r="S911" s="5" t="n">
        <v>0</v>
      </c>
      <c r="T911" s="5" t="n">
        <v>1</v>
      </c>
      <c r="U911" s="5" t="n">
        <v>1</v>
      </c>
      <c r="V911" s="5" t="n">
        <v>0</v>
      </c>
      <c r="W911" s="5" t="n">
        <v>3</v>
      </c>
      <c r="X911" s="5" t="n">
        <v>0</v>
      </c>
      <c r="Y911" s="5" t="n"/>
      <c r="Z911" s="5" t="inlineStr"/>
      <c r="AA911" s="5" t="n">
        <v>482.1</v>
      </c>
      <c r="AB911" s="5" t="n">
        <v>1501.2</v>
      </c>
      <c r="AC911" s="5" t="n">
        <v>626.7</v>
      </c>
      <c r="AD911" s="5" t="n">
        <v>1545.9</v>
      </c>
      <c r="AE911" s="5" t="inlineStr"/>
      <c r="AF911" s="5">
        <f>IF(AE911="","",IF(OR(AE911=F911,AND(AE911="crane_footing",F911="isolated_footing")),"yes","no"))</f>
        <v/>
      </c>
    </row>
    <row r="912">
      <c r="A912" s="5" t="n">
        <v>911</v>
      </c>
      <c r="B912" s="5" t="inlineStr">
        <is>
          <t>130</t>
        </is>
      </c>
      <c r="C912" s="5" t="inlineStr">
        <is>
          <t>region between joints</t>
        </is>
      </c>
      <c r="D912" s="5" t="inlineStr">
        <is>
          <t>solid</t>
        </is>
      </c>
      <c r="E912" s="5" t="n">
        <v>29</v>
      </c>
      <c r="F912" s="5" t="inlineStr">
        <is>
          <t>retaining_wall</t>
        </is>
      </c>
      <c r="G912" s="5" t="inlineStr">
        <is>
          <t>Retaining wall ~VP25 2.70 × 0.25 m</t>
        </is>
      </c>
      <c r="H912" s="5" t="inlineStr">
        <is>
          <t>rule: unlabelled wall along the building edge or on a strip footing</t>
        </is>
      </c>
      <c r="I912" s="5" t="inlineStr">
        <is>
          <t>VP25</t>
        </is>
      </c>
      <c r="J912" s="5" t="inlineStr">
        <is>
          <t>inferred: the thickness of this retaining-wall type</t>
        </is>
      </c>
      <c r="K912" s="5" t="inlineStr"/>
      <c r="L912" s="5" t="n">
        <v>270</v>
      </c>
      <c r="M912" s="5" t="n">
        <v>25</v>
      </c>
      <c r="N912" s="10">
        <f>IF(AND(ISNUMBER(L912),M912&gt;0),L912/M912,"")</f>
        <v/>
      </c>
      <c r="O912" s="5" t="n">
        <v>0.673</v>
      </c>
      <c r="P912" s="5" t="n">
        <v>75.2</v>
      </c>
      <c r="Q912" s="5" t="n">
        <v>1</v>
      </c>
      <c r="R912" s="5" t="n">
        <v>0</v>
      </c>
      <c r="S912" s="5" t="n">
        <v>0</v>
      </c>
      <c r="T912" s="5" t="n">
        <v>1</v>
      </c>
      <c r="U912" s="5" t="n">
        <v>1</v>
      </c>
      <c r="V912" s="5" t="n">
        <v>0</v>
      </c>
      <c r="W912" s="5" t="n">
        <v>0</v>
      </c>
      <c r="X912" s="5" t="n">
        <v>0</v>
      </c>
      <c r="Y912" s="5" t="n"/>
      <c r="Z912" s="5" t="inlineStr"/>
      <c r="AA912" s="5" t="n">
        <v>461.8</v>
      </c>
      <c r="AB912" s="5" t="n">
        <v>1459.8</v>
      </c>
      <c r="AC912" s="5" t="n">
        <v>489.2</v>
      </c>
      <c r="AD912" s="5" t="n">
        <v>1538.7</v>
      </c>
      <c r="AE912" s="5" t="inlineStr"/>
      <c r="AF912" s="5">
        <f>IF(AE912="","",IF(OR(AE912=F912,AND(AE912="crane_footing",F912="isolated_footing")),"yes","no"))</f>
        <v/>
      </c>
    </row>
    <row r="913">
      <c r="A913" s="5" t="n">
        <v>912</v>
      </c>
      <c r="B913" s="5" t="inlineStr">
        <is>
          <t>130</t>
        </is>
      </c>
      <c r="C913" s="5" t="inlineStr">
        <is>
          <t>region between joints</t>
        </is>
      </c>
      <c r="D913" s="5" t="inlineStr">
        <is>
          <t>outline</t>
        </is>
      </c>
      <c r="E913" s="5" t="n">
        <v>13</v>
      </c>
      <c r="F913" s="5" t="inlineStr">
        <is>
          <t>isolated_footing</t>
        </is>
      </c>
      <c r="G913" s="5" t="inlineStr">
        <is>
          <t>Isolated footing 5.20 × 3.64 m</t>
        </is>
      </c>
      <c r="H913" s="5" t="inlineStr">
        <is>
          <t>label vote</t>
        </is>
      </c>
      <c r="I913" s="5" t="inlineStr">
        <is>
          <t>(none)</t>
        </is>
      </c>
      <c r="J913" s="5" t="inlineStr">
        <is>
          <t>no isolated_footing type has this size</t>
        </is>
      </c>
      <c r="K913" s="5" t="inlineStr"/>
      <c r="L913" s="5" t="n">
        <v>520</v>
      </c>
      <c r="M913" s="5" t="n">
        <v>364</v>
      </c>
      <c r="N913" s="10">
        <f>IF(AND(ISNUMBER(L913),M913&gt;0),L913/M913,"")</f>
        <v/>
      </c>
      <c r="O913" s="5" t="n">
        <v>18.934</v>
      </c>
      <c r="P913" s="5" t="n">
        <v>165.2</v>
      </c>
      <c r="Q913" s="5" t="n">
        <v>1</v>
      </c>
      <c r="R913" s="5" t="n">
        <v>0</v>
      </c>
      <c r="S913" s="5" t="n">
        <v>0</v>
      </c>
      <c r="T913" s="5" t="n">
        <v>1</v>
      </c>
      <c r="U913" s="5" t="n">
        <v>0</v>
      </c>
      <c r="V913" s="5" t="n">
        <v>1</v>
      </c>
      <c r="W913" s="5" t="n">
        <v>36</v>
      </c>
      <c r="X913" s="5" t="n">
        <v>4</v>
      </c>
      <c r="Y913" s="5" t="n"/>
      <c r="Z913" s="5" t="inlineStr"/>
      <c r="AA913" s="5" t="n">
        <v>849.8</v>
      </c>
      <c r="AB913" s="5" t="n">
        <v>1354</v>
      </c>
      <c r="AC913" s="5" t="n">
        <v>1025.7</v>
      </c>
      <c r="AD913" s="5" t="n">
        <v>1497</v>
      </c>
      <c r="AE913" s="5" t="inlineStr"/>
      <c r="AF913" s="5">
        <f>IF(AE913="","",IF(OR(AE913=F913,AND(AE913="crane_footing",F913="isolated_footing")),"yes","no"))</f>
        <v/>
      </c>
    </row>
    <row r="914">
      <c r="A914" s="5" t="n">
        <v>913</v>
      </c>
      <c r="B914" s="5" t="inlineStr">
        <is>
          <t>130</t>
        </is>
      </c>
      <c r="C914" s="5" t="inlineStr">
        <is>
          <t>own label</t>
        </is>
      </c>
      <c r="D914" s="5" t="inlineStr">
        <is>
          <t>outline</t>
        </is>
      </c>
      <c r="E914" s="5" t="n">
        <v>13</v>
      </c>
      <c r="F914" s="5" t="inlineStr">
        <is>
          <t>isolated_footing</t>
        </is>
      </c>
      <c r="G914" s="5" t="inlineStr">
        <is>
          <t>Isolated footing S18 5.00 × 3.50 m</t>
        </is>
      </c>
      <c r="H914" s="5" t="inlineStr">
        <is>
          <t>label vote</t>
        </is>
      </c>
      <c r="I914" s="5" t="inlineStr">
        <is>
          <t>S18</t>
        </is>
      </c>
      <c r="J914" s="5" t="inlineStr">
        <is>
          <t>printed label</t>
        </is>
      </c>
      <c r="K914" s="5" t="inlineStr">
        <is>
          <t>S18-130130</t>
        </is>
      </c>
      <c r="L914" s="5" t="n">
        <v>500</v>
      </c>
      <c r="M914" s="5" t="n">
        <v>350</v>
      </c>
      <c r="N914" s="10">
        <f>IF(AND(ISNUMBER(L914),M914&gt;0),L914/M914,"")</f>
        <v/>
      </c>
      <c r="O914" s="5" t="n">
        <v>17.505</v>
      </c>
      <c r="P914" s="5" t="n">
        <v>165.3</v>
      </c>
      <c r="Q914" s="5" t="n">
        <v>1</v>
      </c>
      <c r="R914" s="5" t="n">
        <v>0</v>
      </c>
      <c r="S914" s="5" t="n">
        <v>0</v>
      </c>
      <c r="T914" s="5" t="n">
        <v>0</v>
      </c>
      <c r="U914" s="5" t="n">
        <v>0</v>
      </c>
      <c r="V914" s="5" t="n">
        <v>1</v>
      </c>
      <c r="W914" s="5" t="n">
        <v>42</v>
      </c>
      <c r="X914" s="5" t="n">
        <v>3</v>
      </c>
      <c r="Y914" s="5" t="n"/>
      <c r="Z914" s="5" t="inlineStr"/>
      <c r="AA914" s="5" t="n">
        <v>896.5</v>
      </c>
      <c r="AB914" s="5" t="n">
        <v>1537.1</v>
      </c>
      <c r="AC914" s="5" t="n">
        <v>1065.6</v>
      </c>
      <c r="AD914" s="5" t="n">
        <v>1674.6</v>
      </c>
      <c r="AE914" s="5" t="inlineStr">
        <is>
          <t>isolated_footing</t>
        </is>
      </c>
      <c r="AF914" s="5">
        <f>IF(AE914="","",IF(OR(AE914=F914,AND(AE914="crane_footing",F914="isolated_footing")),"yes","no"))</f>
        <v/>
      </c>
    </row>
    <row r="915">
      <c r="A915" s="5" t="n">
        <v>914</v>
      </c>
      <c r="B915" s="5" t="inlineStr">
        <is>
          <t>130</t>
        </is>
      </c>
      <c r="C915" s="5" t="inlineStr">
        <is>
          <t>own label</t>
        </is>
      </c>
      <c r="D915" s="5" t="inlineStr">
        <is>
          <t>outline</t>
        </is>
      </c>
      <c r="E915" s="5" t="n">
        <v>12</v>
      </c>
      <c r="F915" s="5" t="inlineStr">
        <is>
          <t>isolated_footing</t>
        </is>
      </c>
      <c r="G915" s="5" t="inlineStr">
        <is>
          <t>Isolated footing S2 3.50 × 2.00 m</t>
        </is>
      </c>
      <c r="H915" s="5" t="inlineStr">
        <is>
          <t>label vote</t>
        </is>
      </c>
      <c r="I915" s="5" t="inlineStr">
        <is>
          <t>S2</t>
        </is>
      </c>
      <c r="J915" s="5" t="inlineStr">
        <is>
          <t>printed label</t>
        </is>
      </c>
      <c r="K915" s="5" t="inlineStr">
        <is>
          <t>S2-130130</t>
        </is>
      </c>
      <c r="L915" s="5" t="n">
        <v>350</v>
      </c>
      <c r="M915" s="5" t="n">
        <v>200</v>
      </c>
      <c r="N915" s="10">
        <f>IF(AND(ISNUMBER(L915),M915&gt;0),L915/M915,"")</f>
        <v/>
      </c>
      <c r="O915" s="5" t="n">
        <v>7.004</v>
      </c>
      <c r="P915" s="5" t="n">
        <v>2.8</v>
      </c>
      <c r="Q915" s="5" t="n">
        <v>2</v>
      </c>
      <c r="R915" s="5" t="n">
        <v>0</v>
      </c>
      <c r="S915" s="5" t="n">
        <v>0</v>
      </c>
      <c r="T915" s="5" t="n">
        <v>0</v>
      </c>
      <c r="U915" s="5" t="n">
        <v>1</v>
      </c>
      <c r="V915" s="5" t="n">
        <v>1</v>
      </c>
      <c r="W915" s="5" t="n">
        <v>5</v>
      </c>
      <c r="X915" s="5" t="n">
        <v>1</v>
      </c>
      <c r="Y915" s="5" t="n"/>
      <c r="Z915" s="5" t="inlineStr"/>
      <c r="AA915" s="5" t="n">
        <v>598.4</v>
      </c>
      <c r="AB915" s="5" t="n">
        <v>1187.9</v>
      </c>
      <c r="AC915" s="5" t="n">
        <v>704.6</v>
      </c>
      <c r="AD915" s="5" t="n">
        <v>1251.9</v>
      </c>
      <c r="AE915" s="5" t="inlineStr">
        <is>
          <t>isolated_footing</t>
        </is>
      </c>
      <c r="AF915" s="5">
        <f>IF(AE915="","",IF(OR(AE915=F915,AND(AE915="crane_footing",F915="isolated_footing")),"yes","no"))</f>
        <v/>
      </c>
    </row>
    <row r="916">
      <c r="A916" s="5" t="n">
        <v>915</v>
      </c>
      <c r="B916" s="5" t="inlineStr">
        <is>
          <t>130</t>
        </is>
      </c>
      <c r="C916" s="5" t="inlineStr">
        <is>
          <t>own label</t>
        </is>
      </c>
      <c r="D916" s="5" t="inlineStr">
        <is>
          <t>outline</t>
        </is>
      </c>
      <c r="E916" s="5" t="n">
        <v>12</v>
      </c>
      <c r="F916" s="5" t="inlineStr">
        <is>
          <t>isolated_footing</t>
        </is>
      </c>
      <c r="G916" s="5" t="inlineStr">
        <is>
          <t>Isolated footing S2 3.50 × 2.00 m</t>
        </is>
      </c>
      <c r="H916" s="5" t="inlineStr">
        <is>
          <t>label vote</t>
        </is>
      </c>
      <c r="I916" s="5" t="inlineStr">
        <is>
          <t>S2</t>
        </is>
      </c>
      <c r="J916" s="5" t="inlineStr">
        <is>
          <t>printed label</t>
        </is>
      </c>
      <c r="K916" s="5" t="inlineStr">
        <is>
          <t>S2-130130</t>
        </is>
      </c>
      <c r="L916" s="5" t="n">
        <v>350</v>
      </c>
      <c r="M916" s="5" t="n">
        <v>200</v>
      </c>
      <c r="N916" s="10">
        <f>IF(AND(ISNUMBER(L916),M916&gt;0),L916/M916,"")</f>
        <v/>
      </c>
      <c r="O916" s="5" t="n">
        <v>6.997</v>
      </c>
      <c r="P916" s="5" t="n">
        <v>165.3</v>
      </c>
      <c r="Q916" s="5" t="n">
        <v>1</v>
      </c>
      <c r="R916" s="5" t="n">
        <v>0</v>
      </c>
      <c r="S916" s="5" t="n">
        <v>0</v>
      </c>
      <c r="T916" s="5" t="n">
        <v>0</v>
      </c>
      <c r="U916" s="5" t="n">
        <v>0</v>
      </c>
      <c r="V916" s="5" t="n">
        <v>1</v>
      </c>
      <c r="W916" s="5" t="n">
        <v>37</v>
      </c>
      <c r="X916" s="5" t="n">
        <v>2</v>
      </c>
      <c r="Y916" s="5" t="n"/>
      <c r="Z916" s="5" t="inlineStr"/>
      <c r="AA916" s="5" t="n">
        <v>1160.9</v>
      </c>
      <c r="AB916" s="5" t="n">
        <v>1475.1</v>
      </c>
      <c r="AC916" s="5" t="n">
        <v>1275.9</v>
      </c>
      <c r="AD916" s="5" t="n">
        <v>1558.5</v>
      </c>
      <c r="AE916" s="5" t="inlineStr">
        <is>
          <t>isolated_footing</t>
        </is>
      </c>
      <c r="AF916" s="5">
        <f>IF(AE916="","",IF(OR(AE916=F916,AND(AE916="crane_footing",F916="isolated_footing")),"yes","no"))</f>
        <v/>
      </c>
    </row>
    <row r="917">
      <c r="A917" s="5" t="n">
        <v>916</v>
      </c>
      <c r="B917" s="5" t="inlineStr">
        <is>
          <t>130</t>
        </is>
      </c>
      <c r="C917" s="5" t="inlineStr">
        <is>
          <t>own label</t>
        </is>
      </c>
      <c r="D917" s="5" t="inlineStr">
        <is>
          <t>outline</t>
        </is>
      </c>
      <c r="E917" s="5" t="n">
        <v>16</v>
      </c>
      <c r="F917" s="5" t="inlineStr">
        <is>
          <t>isolated_footing</t>
        </is>
      </c>
      <c r="G917" s="5" t="inlineStr">
        <is>
          <t>Isolated footing S20 1.50 × 1.50 m</t>
        </is>
      </c>
      <c r="H917" s="5" t="inlineStr">
        <is>
          <t>similar to cluster 12 (distance 1.23)</t>
        </is>
      </c>
      <c r="I917" s="5" t="inlineStr">
        <is>
          <t>S20</t>
        </is>
      </c>
      <c r="J917" s="5" t="inlineStr">
        <is>
          <t>printed label</t>
        </is>
      </c>
      <c r="K917" s="5" t="inlineStr">
        <is>
          <t>S20-130</t>
        </is>
      </c>
      <c r="L917" s="5" t="n">
        <v>150</v>
      </c>
      <c r="M917" s="5" t="n">
        <v>150</v>
      </c>
      <c r="N917" s="10">
        <f>IF(AND(ISNUMBER(L917),M917&gt;0),L917/M917,"")</f>
        <v/>
      </c>
      <c r="O917" s="5" t="n">
        <v>2.252</v>
      </c>
      <c r="P917" s="5" t="n">
        <v>75.2</v>
      </c>
      <c r="Q917" s="5" t="n">
        <v>2</v>
      </c>
      <c r="R917" s="5" t="n">
        <v>0</v>
      </c>
      <c r="S917" s="5" t="n">
        <v>0</v>
      </c>
      <c r="T917" s="5" t="n">
        <v>0</v>
      </c>
      <c r="U917" s="5" t="n">
        <v>1</v>
      </c>
      <c r="V917" s="5" t="n">
        <v>1</v>
      </c>
      <c r="W917" s="5" t="n">
        <v>16</v>
      </c>
      <c r="X917" s="5" t="n">
        <v>1</v>
      </c>
      <c r="Y917" s="5" t="n"/>
      <c r="Z917" s="5" t="inlineStr"/>
      <c r="AA917" s="5" t="n">
        <v>590.6</v>
      </c>
      <c r="AB917" s="5" t="n">
        <v>1282.5</v>
      </c>
      <c r="AC917" s="5" t="n">
        <v>644.7</v>
      </c>
      <c r="AD917" s="5" t="n">
        <v>1336.6</v>
      </c>
      <c r="AE917" s="5" t="inlineStr">
        <is>
          <t>isolated_footing</t>
        </is>
      </c>
      <c r="AF917" s="5">
        <f>IF(AE917="","",IF(OR(AE917=F917,AND(AE917="crane_footing",F917="isolated_footing")),"yes","no"))</f>
        <v/>
      </c>
    </row>
    <row r="918">
      <c r="A918" s="5" t="n">
        <v>917</v>
      </c>
      <c r="B918" s="5" t="inlineStr">
        <is>
          <t>130</t>
        </is>
      </c>
      <c r="C918" s="5" t="inlineStr">
        <is>
          <t>own label</t>
        </is>
      </c>
      <c r="D918" s="5" t="inlineStr">
        <is>
          <t>outline</t>
        </is>
      </c>
      <c r="E918" s="5" t="n">
        <v>16</v>
      </c>
      <c r="F918" s="5" t="inlineStr">
        <is>
          <t>isolated_footing</t>
        </is>
      </c>
      <c r="G918" s="5" t="inlineStr">
        <is>
          <t>Isolated footing S20 1.50 × 1.50 m</t>
        </is>
      </c>
      <c r="H918" s="5" t="inlineStr">
        <is>
          <t>similar to cluster 12 (distance 1.23)</t>
        </is>
      </c>
      <c r="I918" s="5" t="inlineStr">
        <is>
          <t>S20</t>
        </is>
      </c>
      <c r="J918" s="5" t="inlineStr">
        <is>
          <t>printed label</t>
        </is>
      </c>
      <c r="K918" s="5" t="inlineStr">
        <is>
          <t>S20-130</t>
        </is>
      </c>
      <c r="L918" s="5" t="n">
        <v>150</v>
      </c>
      <c r="M918" s="5" t="n">
        <v>150</v>
      </c>
      <c r="N918" s="10">
        <f>IF(AND(ISNUMBER(L918),M918&gt;0),L918/M918,"")</f>
        <v/>
      </c>
      <c r="O918" s="5" t="n">
        <v>2.25</v>
      </c>
      <c r="P918" s="5" t="n">
        <v>165.3</v>
      </c>
      <c r="Q918" s="5" t="n">
        <v>1</v>
      </c>
      <c r="R918" s="5" t="n">
        <v>0</v>
      </c>
      <c r="S918" s="5" t="n">
        <v>0</v>
      </c>
      <c r="T918" s="5" t="n">
        <v>0</v>
      </c>
      <c r="U918" s="5" t="n">
        <v>0</v>
      </c>
      <c r="V918" s="5" t="n">
        <v>1</v>
      </c>
      <c r="W918" s="5" t="n">
        <v>16</v>
      </c>
      <c r="X918" s="5" t="n">
        <v>2</v>
      </c>
      <c r="Y918" s="5" t="n"/>
      <c r="Z918" s="5" t="inlineStr"/>
      <c r="AA918" s="5" t="n">
        <v>688.9</v>
      </c>
      <c r="AB918" s="5" t="n">
        <v>1256.6</v>
      </c>
      <c r="AC918" s="5" t="n">
        <v>743.1</v>
      </c>
      <c r="AD918" s="5" t="n">
        <v>1310.7</v>
      </c>
      <c r="AE918" s="5" t="inlineStr">
        <is>
          <t>isolated_footing</t>
        </is>
      </c>
      <c r="AF918" s="5">
        <f>IF(AE918="","",IF(OR(AE918=F918,AND(AE918="crane_footing",F918="isolated_footing")),"yes","no"))</f>
        <v/>
      </c>
    </row>
    <row r="919">
      <c r="A919" s="5" t="n">
        <v>918</v>
      </c>
      <c r="B919" s="5" t="inlineStr">
        <is>
          <t>130</t>
        </is>
      </c>
      <c r="C919" s="5" t="inlineStr">
        <is>
          <t>own label</t>
        </is>
      </c>
      <c r="D919" s="5" t="inlineStr">
        <is>
          <t>outline</t>
        </is>
      </c>
      <c r="E919" s="5" t="n">
        <v>13</v>
      </c>
      <c r="F919" s="5" t="inlineStr">
        <is>
          <t>isolated_footing</t>
        </is>
      </c>
      <c r="G919" s="5" t="inlineStr">
        <is>
          <t>Isolated footing S4 4.00 × 3.00 m</t>
        </is>
      </c>
      <c r="H919" s="5" t="inlineStr">
        <is>
          <t>label vote</t>
        </is>
      </c>
      <c r="I919" s="5" t="inlineStr">
        <is>
          <t>S4</t>
        </is>
      </c>
      <c r="J919" s="5" t="inlineStr">
        <is>
          <t>printed label</t>
        </is>
      </c>
      <c r="K919" s="5" t="inlineStr">
        <is>
          <t>S4-130130</t>
        </is>
      </c>
      <c r="L919" s="5" t="n">
        <v>400</v>
      </c>
      <c r="M919" s="5" t="n">
        <v>300</v>
      </c>
      <c r="N919" s="10">
        <f>IF(AND(ISNUMBER(L919),M919&gt;0),L919/M919,"")</f>
        <v/>
      </c>
      <c r="O919" s="5" t="n">
        <v>11.998</v>
      </c>
      <c r="P919" s="5" t="n">
        <v>3</v>
      </c>
      <c r="Q919" s="5" t="n">
        <v>3</v>
      </c>
      <c r="R919" s="5" t="n">
        <v>0</v>
      </c>
      <c r="S919" s="5" t="n">
        <v>0</v>
      </c>
      <c r="T919" s="5" t="n">
        <v>0</v>
      </c>
      <c r="U919" s="5" t="n">
        <v>0</v>
      </c>
      <c r="V919" s="5" t="n">
        <v>1</v>
      </c>
      <c r="W919" s="5" t="n">
        <v>8</v>
      </c>
      <c r="X919" s="5" t="n">
        <v>2</v>
      </c>
      <c r="Y919" s="5" t="n"/>
      <c r="Z919" s="5" t="inlineStr"/>
      <c r="AA919" s="5" t="n">
        <v>839.6</v>
      </c>
      <c r="AB919" s="5" t="n">
        <v>1185</v>
      </c>
      <c r="AC919" s="5" t="n">
        <v>962.2</v>
      </c>
      <c r="AD919" s="5" t="n">
        <v>1279.7</v>
      </c>
      <c r="AE919" s="5" t="inlineStr">
        <is>
          <t>isolated_footing</t>
        </is>
      </c>
      <c r="AF919" s="5">
        <f>IF(AE919="","",IF(OR(AE919=F919,AND(AE919="crane_footing",F919="isolated_footing")),"yes","no"))</f>
        <v/>
      </c>
    </row>
    <row r="920">
      <c r="A920" s="5" t="n">
        <v>919</v>
      </c>
      <c r="B920" s="5" t="inlineStr">
        <is>
          <t>130</t>
        </is>
      </c>
      <c r="C920" s="5" t="inlineStr">
        <is>
          <t>region between joints</t>
        </is>
      </c>
      <c r="D920" s="5" t="inlineStr">
        <is>
          <t>outline</t>
        </is>
      </c>
      <c r="E920" s="5" t="n">
        <v>14</v>
      </c>
      <c r="F920" s="5" t="inlineStr">
        <is>
          <t>combined_footing</t>
        </is>
      </c>
      <c r="G920" s="5" t="inlineStr">
        <is>
          <t>Combined footing ~SC1 5.00 × 3.50 m</t>
        </is>
      </c>
      <c r="H920" s="5" t="inlineStr">
        <is>
          <t>label vote</t>
        </is>
      </c>
      <c r="I920" s="5" t="inlineStr">
        <is>
          <t>SC1</t>
        </is>
      </c>
      <c r="J920" s="5" t="inlineStr">
        <is>
          <t>inferred: the only combined_footing type with this size</t>
        </is>
      </c>
      <c r="K920" s="5" t="inlineStr"/>
      <c r="L920" s="5" t="n">
        <v>500</v>
      </c>
      <c r="M920" s="5" t="n">
        <v>350</v>
      </c>
      <c r="N920" s="10">
        <f>IF(AND(ISNUMBER(L920),M920&gt;0),L920/M920,"")</f>
        <v/>
      </c>
      <c r="O920" s="5" t="n">
        <v>17.505</v>
      </c>
      <c r="P920" s="5" t="n">
        <v>75.3</v>
      </c>
      <c r="Q920" s="5" t="n">
        <v>2</v>
      </c>
      <c r="R920" s="5" t="n">
        <v>0</v>
      </c>
      <c r="S920" s="5" t="n">
        <v>0</v>
      </c>
      <c r="T920" s="5" t="n">
        <v>0</v>
      </c>
      <c r="U920" s="5" t="n">
        <v>1</v>
      </c>
      <c r="V920" s="5" t="n">
        <v>2</v>
      </c>
      <c r="W920" s="5" t="n">
        <v>45</v>
      </c>
      <c r="X920" s="5" t="n">
        <v>4</v>
      </c>
      <c r="Y920" s="5" t="n"/>
      <c r="Z920" s="5" t="inlineStr"/>
      <c r="AA920" s="5" t="n">
        <v>716.9</v>
      </c>
      <c r="AB920" s="5" t="n">
        <v>1621.5</v>
      </c>
      <c r="AC920" s="5" t="n">
        <v>854.4</v>
      </c>
      <c r="AD920" s="5" t="n">
        <v>1790.7</v>
      </c>
      <c r="AE920" s="5" t="inlineStr">
        <is>
          <t>isolated_footing</t>
        </is>
      </c>
      <c r="AF920" s="5">
        <f>IF(AE920="","",IF(OR(AE920=F920,AND(AE920="crane_footing",F920="isolated_footing")),"yes","no"))</f>
        <v/>
      </c>
    </row>
    <row r="921">
      <c r="A921" s="5" t="n">
        <v>920</v>
      </c>
      <c r="B921" s="5" t="inlineStr">
        <is>
          <t>130</t>
        </is>
      </c>
      <c r="C921" s="5" t="inlineStr">
        <is>
          <t>nearest labels</t>
        </is>
      </c>
      <c r="D921" s="5" t="inlineStr">
        <is>
          <t>outline</t>
        </is>
      </c>
      <c r="E921" s="5" t="n">
        <v>14</v>
      </c>
      <c r="F921" s="5" t="inlineStr">
        <is>
          <t>combined_footing</t>
        </is>
      </c>
      <c r="G921" s="5" t="inlineStr">
        <is>
          <t>Combined footing SC1 5.00 × 3.50 m</t>
        </is>
      </c>
      <c r="H921" s="5" t="inlineStr">
        <is>
          <t>label vote</t>
        </is>
      </c>
      <c r="I921" s="5" t="inlineStr">
        <is>
          <t>SC1</t>
        </is>
      </c>
      <c r="J921" s="5" t="inlineStr">
        <is>
          <t>printed label</t>
        </is>
      </c>
      <c r="K921" s="5" t="inlineStr">
        <is>
          <t>SC1-</t>
        </is>
      </c>
      <c r="L921" s="5" t="n">
        <v>500</v>
      </c>
      <c r="M921" s="5" t="n">
        <v>350</v>
      </c>
      <c r="N921" s="10">
        <f>IF(AND(ISNUMBER(L921),M921&gt;0),L921/M921,"")</f>
        <v/>
      </c>
      <c r="O921" s="5" t="n">
        <v>17.498</v>
      </c>
      <c r="P921" s="5" t="n">
        <v>165.3</v>
      </c>
      <c r="Q921" s="5" t="n">
        <v>2</v>
      </c>
      <c r="R921" s="5" t="n">
        <v>0</v>
      </c>
      <c r="S921" s="5" t="n">
        <v>0</v>
      </c>
      <c r="T921" s="5" t="n">
        <v>0</v>
      </c>
      <c r="U921" s="5" t="n">
        <v>0</v>
      </c>
      <c r="V921" s="5" t="n">
        <v>2</v>
      </c>
      <c r="W921" s="5" t="n">
        <v>70</v>
      </c>
      <c r="X921" s="5" t="n">
        <v>6</v>
      </c>
      <c r="Y921" s="5" t="n"/>
      <c r="Z921" s="5" t="inlineStr"/>
      <c r="AA921" s="5" t="n">
        <v>964.2</v>
      </c>
      <c r="AB921" s="5" t="n">
        <v>1723.1</v>
      </c>
      <c r="AC921" s="5" t="n">
        <v>1133.2</v>
      </c>
      <c r="AD921" s="5" t="n">
        <v>1860.6</v>
      </c>
      <c r="AE921" s="5" t="inlineStr">
        <is>
          <t>combined_footing</t>
        </is>
      </c>
      <c r="AF921" s="5">
        <f>IF(AE921="","",IF(OR(AE921=F921,AND(AE921="crane_footing",F921="isolated_footing")),"yes","no"))</f>
        <v/>
      </c>
    </row>
    <row r="922">
      <c r="A922" s="5" t="n">
        <v>921</v>
      </c>
      <c r="B922" s="5" t="inlineStr">
        <is>
          <t>130</t>
        </is>
      </c>
      <c r="C922" s="5" t="inlineStr">
        <is>
          <t>nearest labels</t>
        </is>
      </c>
      <c r="D922" s="5" t="inlineStr">
        <is>
          <t>outline</t>
        </is>
      </c>
      <c r="E922" s="5" t="n">
        <v>15</v>
      </c>
      <c r="F922" s="5" t="inlineStr">
        <is>
          <t>combined_footing</t>
        </is>
      </c>
      <c r="G922" s="5" t="inlineStr">
        <is>
          <t>Combined footing SC2 3.50 × 2.00 m</t>
        </is>
      </c>
      <c r="H922" s="5" t="inlineStr">
        <is>
          <t>label vote</t>
        </is>
      </c>
      <c r="I922" s="5" t="inlineStr">
        <is>
          <t>SC2</t>
        </is>
      </c>
      <c r="J922" s="5" t="inlineStr">
        <is>
          <t>printed label</t>
        </is>
      </c>
      <c r="K922" s="5" t="inlineStr">
        <is>
          <t>SC2-</t>
        </is>
      </c>
      <c r="L922" s="5" t="n">
        <v>350</v>
      </c>
      <c r="M922" s="5" t="n">
        <v>200</v>
      </c>
      <c r="N922" s="10">
        <f>IF(AND(ISNUMBER(L922),M922&gt;0),L922/M922,"")</f>
        <v/>
      </c>
      <c r="O922" s="5" t="n">
        <v>6.997</v>
      </c>
      <c r="P922" s="5" t="n">
        <v>165.3</v>
      </c>
      <c r="Q922" s="5" t="n">
        <v>2</v>
      </c>
      <c r="R922" s="5" t="n">
        <v>0</v>
      </c>
      <c r="S922" s="5" t="n">
        <v>0</v>
      </c>
      <c r="T922" s="5" t="n">
        <v>0</v>
      </c>
      <c r="U922" s="5" t="n">
        <v>0</v>
      </c>
      <c r="V922" s="5" t="n">
        <v>2</v>
      </c>
      <c r="W922" s="5" t="n">
        <v>70</v>
      </c>
      <c r="X922" s="5" t="n">
        <v>5</v>
      </c>
      <c r="Y922" s="5" t="n"/>
      <c r="Z922" s="5" t="inlineStr"/>
      <c r="AA922" s="5" t="n">
        <v>1217.9</v>
      </c>
      <c r="AB922" s="5" t="n">
        <v>1690.5</v>
      </c>
      <c r="AC922" s="5" t="n">
        <v>1332.9</v>
      </c>
      <c r="AD922" s="5" t="n">
        <v>1773.9</v>
      </c>
      <c r="AE922" s="5" t="inlineStr">
        <is>
          <t>combined_footing</t>
        </is>
      </c>
      <c r="AF922" s="5">
        <f>IF(AE922="","",IF(OR(AE922=F922,AND(AE922="crane_footing",F922="isolated_footing")),"yes","no"))</f>
        <v/>
      </c>
    </row>
    <row r="923">
      <c r="A923" s="5" t="n">
        <v>922</v>
      </c>
      <c r="B923" s="5" t="inlineStr">
        <is>
          <t>130</t>
        </is>
      </c>
      <c r="C923" s="5" t="inlineStr">
        <is>
          <t>own label</t>
        </is>
      </c>
      <c r="D923" s="5" t="inlineStr">
        <is>
          <t>outline</t>
        </is>
      </c>
      <c r="E923" s="5" t="n">
        <v>14</v>
      </c>
      <c r="F923" s="5" t="inlineStr">
        <is>
          <t>combined_footing</t>
        </is>
      </c>
      <c r="G923" s="5" t="inlineStr">
        <is>
          <t>Combined footing SC9 4.50 × 3.00 m</t>
        </is>
      </c>
      <c r="H923" s="5" t="inlineStr">
        <is>
          <t>label vote</t>
        </is>
      </c>
      <c r="I923" s="5" t="inlineStr">
        <is>
          <t>SC9</t>
        </is>
      </c>
      <c r="J923" s="5" t="inlineStr">
        <is>
          <t>printed label</t>
        </is>
      </c>
      <c r="K923" s="5" t="inlineStr">
        <is>
          <t>SC9-130130</t>
        </is>
      </c>
      <c r="L923" s="5" t="n">
        <v>450</v>
      </c>
      <c r="M923" s="5" t="n">
        <v>300</v>
      </c>
      <c r="N923" s="10">
        <f>IF(AND(ISNUMBER(L923),M923&gt;0),L923/M923,"")</f>
        <v/>
      </c>
      <c r="O923" s="5" t="n">
        <v>13.503</v>
      </c>
      <c r="P923" s="5" t="n">
        <v>165.3</v>
      </c>
      <c r="Q923" s="5" t="n">
        <v>4</v>
      </c>
      <c r="R923" s="5" t="n">
        <v>0</v>
      </c>
      <c r="S923" s="5" t="n">
        <v>0</v>
      </c>
      <c r="T923" s="5" t="n">
        <v>0</v>
      </c>
      <c r="U923" s="5" t="n">
        <v>0</v>
      </c>
      <c r="V923" s="5" t="n">
        <v>2</v>
      </c>
      <c r="W923" s="5" t="n">
        <v>72</v>
      </c>
      <c r="X923" s="5" t="n">
        <v>3</v>
      </c>
      <c r="Y923" s="5" t="n"/>
      <c r="Z923" s="5" t="inlineStr"/>
      <c r="AA923" s="5" t="n">
        <v>741.4</v>
      </c>
      <c r="AB923" s="5" t="n">
        <v>1793.2</v>
      </c>
      <c r="AC923" s="5" t="n">
        <v>892.4</v>
      </c>
      <c r="AD923" s="5" t="n">
        <v>1912.6</v>
      </c>
      <c r="AE923" s="5" t="inlineStr">
        <is>
          <t>combined_footing</t>
        </is>
      </c>
      <c r="AF923" s="5">
        <f>IF(AE923="","",IF(OR(AE923=F923,AND(AE923="crane_footing",F923="isolated_footing")),"yes","no"))</f>
        <v/>
      </c>
    </row>
    <row r="924">
      <c r="A924" s="5" t="n">
        <v>923</v>
      </c>
      <c r="B924" s="5" t="inlineStr">
        <is>
          <t>130</t>
        </is>
      </c>
      <c r="C924" s="5" t="inlineStr">
        <is>
          <t>region between joints</t>
        </is>
      </c>
      <c r="D924" s="5" t="inlineStr">
        <is>
          <t>band</t>
        </is>
      </c>
      <c r="E924" s="5" t="n">
        <v>5</v>
      </c>
      <c r="F924" s="5" t="inlineStr">
        <is>
          <t>strip_footing</t>
        </is>
      </c>
      <c r="G924" s="5" t="inlineStr">
        <is>
          <t>Strip footing 1.39 × 0.80 m</t>
        </is>
      </c>
      <c r="H924" s="5" t="inlineStr">
        <is>
          <t>label vote</t>
        </is>
      </c>
      <c r="I924" s="5" t="inlineStr">
        <is>
          <t>(none)</t>
        </is>
      </c>
      <c r="J924" s="5" t="inlineStr"/>
      <c r="K924" s="5" t="inlineStr"/>
      <c r="L924" s="5" t="n">
        <v>139</v>
      </c>
      <c r="M924" s="5" t="n">
        <v>80</v>
      </c>
      <c r="N924" s="10">
        <f>IF(AND(ISNUMBER(L924),M924&gt;0),L924/M924,"")</f>
        <v/>
      </c>
      <c r="O924" s="5" t="n">
        <v>1.109</v>
      </c>
      <c r="P924" s="5" t="n">
        <v>73.3</v>
      </c>
      <c r="Q924" s="5" t="n">
        <v>1</v>
      </c>
      <c r="R924" s="5" t="n">
        <v>0</v>
      </c>
      <c r="S924" s="5" t="n">
        <v>0</v>
      </c>
      <c r="T924" s="5" t="n">
        <v>0</v>
      </c>
      <c r="U924" s="5" t="n">
        <v>0</v>
      </c>
      <c r="V924" s="5" t="n">
        <v>0</v>
      </c>
      <c r="W924" s="5" t="n">
        <v>1</v>
      </c>
      <c r="X924" s="5" t="n">
        <v>1</v>
      </c>
      <c r="Y924" s="5" t="n">
        <v>1.39</v>
      </c>
      <c r="Z924" s="5" t="inlineStr"/>
      <c r="AA924" s="5" t="n">
        <v>583.4</v>
      </c>
      <c r="AB924" s="5" t="n">
        <v>1246.5</v>
      </c>
      <c r="AC924" s="5" t="n">
        <v>617.8</v>
      </c>
      <c r="AD924" s="5" t="n">
        <v>1292.5</v>
      </c>
      <c r="AE924" s="5" t="inlineStr"/>
      <c r="AF924" s="5">
        <f>IF(AE924="","",IF(OR(AE924=F924,AND(AE924="crane_footing",F924="isolated_footing")),"yes","no"))</f>
        <v/>
      </c>
    </row>
    <row r="925">
      <c r="A925" s="5" t="n">
        <v>924</v>
      </c>
      <c r="B925" s="5" t="inlineStr">
        <is>
          <t>130</t>
        </is>
      </c>
      <c r="C925" s="5" t="inlineStr">
        <is>
          <t>region between joints</t>
        </is>
      </c>
      <c r="D925" s="5" t="inlineStr">
        <is>
          <t>band</t>
        </is>
      </c>
      <c r="E925" s="5" t="n">
        <v>5</v>
      </c>
      <c r="F925" s="5" t="inlineStr">
        <is>
          <t>strip_footing</t>
        </is>
      </c>
      <c r="G925" s="5" t="inlineStr">
        <is>
          <t>Strip footing 1.17 × 0.80 m</t>
        </is>
      </c>
      <c r="H925" s="5" t="inlineStr">
        <is>
          <t>label vote</t>
        </is>
      </c>
      <c r="I925" s="5" t="inlineStr">
        <is>
          <t>(none)</t>
        </is>
      </c>
      <c r="J925" s="5" t="inlineStr"/>
      <c r="K925" s="5" t="inlineStr"/>
      <c r="L925" s="5" t="n">
        <v>117</v>
      </c>
      <c r="M925" s="5" t="n">
        <v>80</v>
      </c>
      <c r="N925" s="10">
        <f>IF(AND(ISNUMBER(L925),M925&gt;0),L925/M925,"")</f>
        <v/>
      </c>
      <c r="O925" s="5" t="n">
        <v>0.9379999999999999</v>
      </c>
      <c r="P925" s="5" t="n">
        <v>5.6</v>
      </c>
      <c r="Q925" s="5" t="n">
        <v>1</v>
      </c>
      <c r="R925" s="5" t="n">
        <v>0</v>
      </c>
      <c r="S925" s="5" t="n">
        <v>0</v>
      </c>
      <c r="T925" s="5" t="n">
        <v>0</v>
      </c>
      <c r="U925" s="5" t="n">
        <v>0</v>
      </c>
      <c r="V925" s="5" t="n">
        <v>0</v>
      </c>
      <c r="W925" s="5" t="n">
        <v>0</v>
      </c>
      <c r="X925" s="5" t="n">
        <v>0</v>
      </c>
      <c r="Y925" s="5" t="n">
        <v>1.17</v>
      </c>
      <c r="Z925" s="5" t="inlineStr"/>
      <c r="AA925" s="5" t="n">
        <v>887</v>
      </c>
      <c r="AB925" s="5" t="n">
        <v>1052.5</v>
      </c>
      <c r="AC925" s="5" t="n">
        <v>923.7</v>
      </c>
      <c r="AD925" s="5" t="n">
        <v>1079.3</v>
      </c>
      <c r="AE925" s="5" t="inlineStr"/>
      <c r="AF925" s="5">
        <f>IF(AE925="","",IF(OR(AE925=F925,AND(AE925="crane_footing",F925="isolated_footing")),"yes","no"))</f>
        <v/>
      </c>
    </row>
    <row r="926">
      <c r="A926" s="5" t="n">
        <v>925</v>
      </c>
      <c r="B926" s="5" t="inlineStr">
        <is>
          <t>130</t>
        </is>
      </c>
      <c r="C926" s="5" t="inlineStr">
        <is>
          <t>region between joints</t>
        </is>
      </c>
      <c r="D926" s="5" t="inlineStr">
        <is>
          <t>band</t>
        </is>
      </c>
      <c r="E926" s="5" t="n">
        <v>5</v>
      </c>
      <c r="F926" s="5" t="inlineStr">
        <is>
          <t>strip_footing</t>
        </is>
      </c>
      <c r="G926" s="5" t="inlineStr">
        <is>
          <t>Strip footing SF1 37.08 × 0.80 m</t>
        </is>
      </c>
      <c r="H926" s="5" t="inlineStr">
        <is>
          <t>label vote</t>
        </is>
      </c>
      <c r="I926" s="5" t="inlineStr">
        <is>
          <t>SF1</t>
        </is>
      </c>
      <c r="J926" s="5" t="inlineStr">
        <is>
          <t>printed label</t>
        </is>
      </c>
      <c r="K926" s="5" t="inlineStr">
        <is>
          <t>VP20-SF1 80x25</t>
        </is>
      </c>
      <c r="L926" s="5" t="n">
        <v>3708</v>
      </c>
      <c r="M926" s="5" t="n">
        <v>80</v>
      </c>
      <c r="N926" s="10">
        <f>IF(AND(ISNUMBER(L926),M926&gt;0),L926/M926,"")</f>
        <v/>
      </c>
      <c r="O926" s="5" t="n">
        <v>29.667</v>
      </c>
      <c r="P926" s="5" t="n">
        <v>75.2</v>
      </c>
      <c r="Q926" s="5" t="n">
        <v>2</v>
      </c>
      <c r="R926" s="5" t="n">
        <v>0</v>
      </c>
      <c r="S926" s="5" t="n">
        <v>0</v>
      </c>
      <c r="T926" s="5" t="n">
        <v>0</v>
      </c>
      <c r="U926" s="5" t="n">
        <v>0</v>
      </c>
      <c r="V926" s="5" t="n">
        <v>2</v>
      </c>
      <c r="W926" s="5" t="n">
        <v>21</v>
      </c>
      <c r="X926" s="5" t="n">
        <v>11</v>
      </c>
      <c r="Y926" s="5" t="n">
        <v>37.08</v>
      </c>
      <c r="Z926" s="5" t="inlineStr"/>
      <c r="AA926" s="5" t="n">
        <v>1241.2</v>
      </c>
      <c r="AB926" s="5" t="n">
        <v>1105</v>
      </c>
      <c r="AC926" s="5" t="n">
        <v>1543.1</v>
      </c>
      <c r="AD926" s="5" t="n">
        <v>2169.8</v>
      </c>
      <c r="AE926" s="5" t="inlineStr"/>
      <c r="AF926" s="5">
        <f>IF(AE926="","",IF(OR(AE926=F926,AND(AE926="crane_footing",F926="isolated_footing")),"yes","no"))</f>
        <v/>
      </c>
    </row>
    <row r="927">
      <c r="A927" s="5" t="n">
        <v>926</v>
      </c>
      <c r="B927" s="5" t="inlineStr">
        <is>
          <t>130</t>
        </is>
      </c>
      <c r="C927" s="5" t="inlineStr">
        <is>
          <t>region between joints</t>
        </is>
      </c>
      <c r="D927" s="5" t="inlineStr">
        <is>
          <t>band</t>
        </is>
      </c>
      <c r="E927" s="5" t="n">
        <v>5</v>
      </c>
      <c r="F927" s="5" t="inlineStr">
        <is>
          <t>strip_footing</t>
        </is>
      </c>
      <c r="G927" s="5" t="inlineStr">
        <is>
          <t>Strip footing SF1 7.98 × 0.80 m</t>
        </is>
      </c>
      <c r="H927" s="5" t="inlineStr">
        <is>
          <t>label vote</t>
        </is>
      </c>
      <c r="I927" s="5" t="inlineStr">
        <is>
          <t>SF1</t>
        </is>
      </c>
      <c r="J927" s="5" t="inlineStr">
        <is>
          <t>printed label</t>
        </is>
      </c>
      <c r="K927" s="5" t="inlineStr">
        <is>
          <t>VP20-SF1 80x25</t>
        </is>
      </c>
      <c r="L927" s="5" t="n">
        <v>798</v>
      </c>
      <c r="M927" s="5" t="n">
        <v>80</v>
      </c>
      <c r="N927" s="10">
        <f>IF(AND(ISNUMBER(L927),M927&gt;0),L927/M927,"")</f>
        <v/>
      </c>
      <c r="O927" s="5" t="n">
        <v>6.387</v>
      </c>
      <c r="P927" s="5" t="n">
        <v>5.7</v>
      </c>
      <c r="Q927" s="5" t="n">
        <v>1</v>
      </c>
      <c r="R927" s="5" t="n">
        <v>0</v>
      </c>
      <c r="S927" s="5" t="n">
        <v>0</v>
      </c>
      <c r="T927" s="5" t="n">
        <v>0</v>
      </c>
      <c r="U927" s="5" t="n">
        <v>0</v>
      </c>
      <c r="V927" s="5" t="n">
        <v>1</v>
      </c>
      <c r="W927" s="5" t="n">
        <v>1</v>
      </c>
      <c r="X927" s="5" t="n">
        <v>1</v>
      </c>
      <c r="Y927" s="5" t="n">
        <v>7.98</v>
      </c>
      <c r="Z927" s="5" t="inlineStr"/>
      <c r="AA927" s="5" t="n">
        <v>1006.6</v>
      </c>
      <c r="AB927" s="5" t="n">
        <v>1064.2</v>
      </c>
      <c r="AC927" s="5" t="n">
        <v>1243.5</v>
      </c>
      <c r="AD927" s="5" t="n">
        <v>1111</v>
      </c>
      <c r="AE927" s="5" t="inlineStr"/>
      <c r="AF927" s="5">
        <f>IF(AE927="","",IF(OR(AE927=F927,AND(AE927="crane_footing",F927="isolated_footing")),"yes","no"))</f>
        <v/>
      </c>
    </row>
    <row r="928">
      <c r="A928" s="5" t="n">
        <v>927</v>
      </c>
      <c r="B928" s="5" t="inlineStr">
        <is>
          <t>130</t>
        </is>
      </c>
      <c r="C928" s="5" t="inlineStr">
        <is>
          <t>region between joints</t>
        </is>
      </c>
      <c r="D928" s="5" t="inlineStr">
        <is>
          <t>band</t>
        </is>
      </c>
      <c r="E928" s="5" t="n">
        <v>5</v>
      </c>
      <c r="F928" s="5" t="inlineStr">
        <is>
          <t>strip_footing</t>
        </is>
      </c>
      <c r="G928" s="5" t="inlineStr">
        <is>
          <t>Strip footing SF1 4.71 × 0.80 m</t>
        </is>
      </c>
      <c r="H928" s="5" t="inlineStr">
        <is>
          <t>label vote</t>
        </is>
      </c>
      <c r="I928" s="5" t="inlineStr">
        <is>
          <t>SF1</t>
        </is>
      </c>
      <c r="J928" s="5" t="inlineStr">
        <is>
          <t>printed label</t>
        </is>
      </c>
      <c r="K928" s="5" t="inlineStr">
        <is>
          <t>VP20-SF1 80x25</t>
        </is>
      </c>
      <c r="L928" s="5" t="n">
        <v>471</v>
      </c>
      <c r="M928" s="5" t="n">
        <v>80</v>
      </c>
      <c r="N928" s="10">
        <f>IF(AND(ISNUMBER(L928),M928&gt;0),L928/M928,"")</f>
        <v/>
      </c>
      <c r="O928" s="5" t="n">
        <v>3.765</v>
      </c>
      <c r="P928" s="5" t="n">
        <v>2.8</v>
      </c>
      <c r="Q928" s="5" t="n">
        <v>1</v>
      </c>
      <c r="R928" s="5" t="n">
        <v>0</v>
      </c>
      <c r="S928" s="5" t="n">
        <v>0</v>
      </c>
      <c r="T928" s="5" t="n">
        <v>0</v>
      </c>
      <c r="U928" s="5" t="n">
        <v>0</v>
      </c>
      <c r="V928" s="5" t="n">
        <v>0</v>
      </c>
      <c r="W928" s="5" t="n">
        <v>3</v>
      </c>
      <c r="X928" s="5" t="n">
        <v>1</v>
      </c>
      <c r="Y928" s="5" t="n">
        <v>4.71</v>
      </c>
      <c r="Z928" s="5" t="inlineStr"/>
      <c r="AA928" s="5" t="n">
        <v>702.6</v>
      </c>
      <c r="AB928" s="5" t="n">
        <v>1209.2</v>
      </c>
      <c r="AC928" s="5" t="n">
        <v>842.5</v>
      </c>
      <c r="AD928" s="5" t="n">
        <v>1239.6</v>
      </c>
      <c r="AE928" s="5" t="inlineStr"/>
      <c r="AF928" s="5">
        <f>IF(AE928="","",IF(OR(AE928=F928,AND(AE928="crane_footing",F928="isolated_footing")),"yes","no"))</f>
        <v/>
      </c>
    </row>
    <row r="929">
      <c r="A929" s="5" t="n">
        <v>928</v>
      </c>
      <c r="B929" s="5" t="inlineStr">
        <is>
          <t>130</t>
        </is>
      </c>
      <c r="C929" s="5" t="inlineStr">
        <is>
          <t>region between joints</t>
        </is>
      </c>
      <c r="D929" s="5" t="inlineStr">
        <is>
          <t>band</t>
        </is>
      </c>
      <c r="E929" s="5" t="n">
        <v>5</v>
      </c>
      <c r="F929" s="5" t="inlineStr">
        <is>
          <t>strip_footing</t>
        </is>
      </c>
      <c r="G929" s="5" t="inlineStr">
        <is>
          <t>Strip footing SF1 3.70 × 0.80 m</t>
        </is>
      </c>
      <c r="H929" s="5" t="inlineStr">
        <is>
          <t>label vote</t>
        </is>
      </c>
      <c r="I929" s="5" t="inlineStr">
        <is>
          <t>SF1</t>
        </is>
      </c>
      <c r="J929" s="5" t="inlineStr">
        <is>
          <t>printed label</t>
        </is>
      </c>
      <c r="K929" s="5" t="inlineStr">
        <is>
          <t>SF1-80x25</t>
        </is>
      </c>
      <c r="L929" s="5" t="n">
        <v>370</v>
      </c>
      <c r="M929" s="5" t="n">
        <v>80</v>
      </c>
      <c r="N929" s="10">
        <f>IF(AND(ISNUMBER(L929),M929&gt;0),L929/M929,"")</f>
        <v/>
      </c>
      <c r="O929" s="5" t="n">
        <v>2.961</v>
      </c>
      <c r="P929" s="5" t="n">
        <v>75.3</v>
      </c>
      <c r="Q929" s="5" t="n">
        <v>1</v>
      </c>
      <c r="R929" s="5" t="n">
        <v>0</v>
      </c>
      <c r="S929" s="5" t="n">
        <v>0</v>
      </c>
      <c r="T929" s="5" t="n">
        <v>0</v>
      </c>
      <c r="U929" s="5" t="n">
        <v>0</v>
      </c>
      <c r="V929" s="5" t="n">
        <v>1</v>
      </c>
      <c r="W929" s="5" t="n">
        <v>0</v>
      </c>
      <c r="X929" s="5" t="n">
        <v>0</v>
      </c>
      <c r="Y929" s="5" t="n">
        <v>3.7</v>
      </c>
      <c r="Z929" s="5" t="inlineStr"/>
      <c r="AA929" s="5" t="n">
        <v>864.2</v>
      </c>
      <c r="AB929" s="5" t="n">
        <v>1075.9</v>
      </c>
      <c r="AC929" s="5" t="n">
        <v>914.7</v>
      </c>
      <c r="AD929" s="5" t="n">
        <v>1187.5</v>
      </c>
      <c r="AE929" s="5" t="inlineStr"/>
      <c r="AF929" s="5">
        <f>IF(AE929="","",IF(OR(AE929=F929,AND(AE929="crane_footing",F929="isolated_footing")),"yes","no"))</f>
        <v/>
      </c>
    </row>
    <row r="930">
      <c r="A930" s="5" t="n">
        <v>929</v>
      </c>
      <c r="B930" s="5" t="inlineStr">
        <is>
          <t>130</t>
        </is>
      </c>
      <c r="C930" s="5" t="inlineStr">
        <is>
          <t>region between joints</t>
        </is>
      </c>
      <c r="D930" s="5" t="inlineStr">
        <is>
          <t>band</t>
        </is>
      </c>
      <c r="E930" s="5" t="n">
        <v>5</v>
      </c>
      <c r="F930" s="5" t="inlineStr">
        <is>
          <t>strip_footing</t>
        </is>
      </c>
      <c r="G930" s="5" t="inlineStr">
        <is>
          <t>Strip footing SF1 3.56 × 0.80 m</t>
        </is>
      </c>
      <c r="H930" s="5" t="inlineStr">
        <is>
          <t>label vote</t>
        </is>
      </c>
      <c r="I930" s="5" t="inlineStr">
        <is>
          <t>SF1</t>
        </is>
      </c>
      <c r="J930" s="5" t="inlineStr">
        <is>
          <t>printed label</t>
        </is>
      </c>
      <c r="K930" s="5" t="inlineStr">
        <is>
          <t>VP20-SF1 80x25</t>
        </is>
      </c>
      <c r="L930" s="5" t="n">
        <v>356</v>
      </c>
      <c r="M930" s="5" t="n">
        <v>80</v>
      </c>
      <c r="N930" s="10">
        <f>IF(AND(ISNUMBER(L930),M930&gt;0),L930/M930,"")</f>
        <v/>
      </c>
      <c r="O930" s="5" t="n">
        <v>2.845</v>
      </c>
      <c r="P930" s="5" t="n">
        <v>75.2</v>
      </c>
      <c r="Q930" s="5" t="n">
        <v>2</v>
      </c>
      <c r="R930" s="5" t="n">
        <v>0</v>
      </c>
      <c r="S930" s="5" t="n">
        <v>0</v>
      </c>
      <c r="T930" s="5" t="n">
        <v>0</v>
      </c>
      <c r="U930" s="5" t="n">
        <v>0</v>
      </c>
      <c r="V930" s="5" t="n">
        <v>1</v>
      </c>
      <c r="W930" s="5" t="n">
        <v>5</v>
      </c>
      <c r="X930" s="5" t="n">
        <v>1</v>
      </c>
      <c r="Y930" s="5" t="n">
        <v>3.56</v>
      </c>
      <c r="Z930" s="5" t="inlineStr"/>
      <c r="AA930" s="5" t="n">
        <v>728.6</v>
      </c>
      <c r="AB930" s="5" t="n">
        <v>1530.2</v>
      </c>
      <c r="AC930" s="5" t="n">
        <v>778.2</v>
      </c>
      <c r="AD930" s="5" t="n">
        <v>1637.7</v>
      </c>
      <c r="AE930" s="5" t="inlineStr"/>
      <c r="AF930" s="5">
        <f>IF(AE930="","",IF(OR(AE930=F930,AND(AE930="crane_footing",F930="isolated_footing")),"yes","no"))</f>
        <v/>
      </c>
    </row>
    <row r="931">
      <c r="A931" s="5" t="n">
        <v>930</v>
      </c>
      <c r="B931" s="5" t="inlineStr">
        <is>
          <t>130</t>
        </is>
      </c>
      <c r="C931" s="5" t="inlineStr">
        <is>
          <t>region between joints</t>
        </is>
      </c>
      <c r="D931" s="5" t="inlineStr">
        <is>
          <t>band</t>
        </is>
      </c>
      <c r="E931" s="5" t="n">
        <v>3</v>
      </c>
      <c r="F931" s="5" t="inlineStr">
        <is>
          <t>grade_beam</t>
        </is>
      </c>
      <c r="G931" s="5" t="inlineStr">
        <is>
          <t>Grade beam LG40x15 22.24 × 0.40 m</t>
        </is>
      </c>
      <c r="H931" s="5" t="inlineStr">
        <is>
          <t>label vote</t>
        </is>
      </c>
      <c r="I931" s="5" t="inlineStr">
        <is>
          <t>LG40x15</t>
        </is>
      </c>
      <c r="J931" s="5" t="inlineStr">
        <is>
          <t>printed label</t>
        </is>
      </c>
      <c r="K931" s="5" t="inlineStr">
        <is>
          <t>LG-40x15</t>
        </is>
      </c>
      <c r="L931" s="5" t="n">
        <v>2224</v>
      </c>
      <c r="M931" s="5" t="n">
        <v>40</v>
      </c>
      <c r="N931" s="10">
        <f>IF(AND(ISNUMBER(L931),M931&gt;0),L931/M931,"")</f>
        <v/>
      </c>
      <c r="O931" s="5" t="n">
        <v>8.894</v>
      </c>
      <c r="P931" s="5" t="n">
        <v>75.59999999999999</v>
      </c>
      <c r="Q931" s="5" t="n">
        <v>4</v>
      </c>
      <c r="R931" s="5" t="n">
        <v>0</v>
      </c>
      <c r="S931" s="5" t="n">
        <v>0</v>
      </c>
      <c r="T931" s="5" t="n">
        <v>0</v>
      </c>
      <c r="U931" s="5" t="n">
        <v>0</v>
      </c>
      <c r="V931" s="5" t="n">
        <v>0</v>
      </c>
      <c r="W931" s="5" t="n">
        <v>101</v>
      </c>
      <c r="X931" s="5" t="n">
        <v>5</v>
      </c>
      <c r="Y931" s="5" t="n">
        <v>19.44</v>
      </c>
      <c r="Z931" s="5" t="inlineStr"/>
      <c r="AA931" s="5" t="n">
        <v>1102.9</v>
      </c>
      <c r="AB931" s="5" t="n">
        <v>1089.6</v>
      </c>
      <c r="AC931" s="5" t="n">
        <v>1277.5</v>
      </c>
      <c r="AD931" s="5" t="n">
        <v>1728.4</v>
      </c>
      <c r="AE931" s="5" t="inlineStr"/>
      <c r="AF931" s="5">
        <f>IF(AE931="","",IF(OR(AE931=F931,AND(AE931="crane_footing",F931="isolated_footing")),"yes","no"))</f>
        <v/>
      </c>
    </row>
    <row r="932">
      <c r="A932" s="5" t="n">
        <v>931</v>
      </c>
      <c r="B932" s="5" t="inlineStr">
        <is>
          <t>130</t>
        </is>
      </c>
      <c r="C932" s="5" t="inlineStr">
        <is>
          <t>region between joints</t>
        </is>
      </c>
      <c r="D932" s="5" t="inlineStr">
        <is>
          <t>band</t>
        </is>
      </c>
      <c r="E932" s="5" t="n">
        <v>3</v>
      </c>
      <c r="F932" s="5" t="inlineStr">
        <is>
          <t>grade_beam</t>
        </is>
      </c>
      <c r="G932" s="5" t="inlineStr">
        <is>
          <t>Grade beam LG40x15 20.27 × 0.40 m</t>
        </is>
      </c>
      <c r="H932" s="5" t="inlineStr">
        <is>
          <t>label vote</t>
        </is>
      </c>
      <c r="I932" s="5" t="inlineStr">
        <is>
          <t>LG40x15</t>
        </is>
      </c>
      <c r="J932" s="5" t="inlineStr">
        <is>
          <t>printed label</t>
        </is>
      </c>
      <c r="K932" s="5" t="inlineStr">
        <is>
          <t>LG-40x15</t>
        </is>
      </c>
      <c r="L932" s="5" t="n">
        <v>2027</v>
      </c>
      <c r="M932" s="5" t="n">
        <v>40</v>
      </c>
      <c r="N932" s="10">
        <f>IF(AND(ISNUMBER(L932),M932&gt;0),L932/M932,"")</f>
        <v/>
      </c>
      <c r="O932" s="5" t="n">
        <v>8.109</v>
      </c>
      <c r="P932" s="5" t="n">
        <v>165.3</v>
      </c>
      <c r="Q932" s="5" t="n">
        <v>5</v>
      </c>
      <c r="R932" s="5" t="n">
        <v>0</v>
      </c>
      <c r="S932" s="5" t="n">
        <v>0</v>
      </c>
      <c r="T932" s="5" t="n">
        <v>0</v>
      </c>
      <c r="U932" s="5" t="n">
        <v>0</v>
      </c>
      <c r="V932" s="5" t="n">
        <v>2</v>
      </c>
      <c r="W932" s="5" t="n">
        <v>59</v>
      </c>
      <c r="X932" s="5" t="n">
        <v>7</v>
      </c>
      <c r="Y932" s="5" t="n">
        <v>9.85</v>
      </c>
      <c r="Z932" s="5" t="inlineStr"/>
      <c r="AA932" s="5" t="n">
        <v>823.2</v>
      </c>
      <c r="AB932" s="5" t="n">
        <v>1686.6</v>
      </c>
      <c r="AC932" s="5" t="n">
        <v>1405.1</v>
      </c>
      <c r="AD932" s="5" t="n">
        <v>1850.4</v>
      </c>
      <c r="AE932" s="5" t="inlineStr"/>
      <c r="AF932" s="5">
        <f>IF(AE932="","",IF(OR(AE932=F932,AND(AE932="crane_footing",F932="isolated_footing")),"yes","no"))</f>
        <v/>
      </c>
    </row>
    <row r="933">
      <c r="A933" s="5" t="n">
        <v>932</v>
      </c>
      <c r="B933" s="5" t="inlineStr">
        <is>
          <t>130</t>
        </is>
      </c>
      <c r="C933" s="5" t="inlineStr">
        <is>
          <t>region between joints</t>
        </is>
      </c>
      <c r="D933" s="5" t="inlineStr">
        <is>
          <t>band</t>
        </is>
      </c>
      <c r="E933" s="5" t="n">
        <v>3</v>
      </c>
      <c r="F933" s="5" t="inlineStr">
        <is>
          <t>grade_beam</t>
        </is>
      </c>
      <c r="G933" s="5" t="inlineStr">
        <is>
          <t>Grade beam LG40x15 19.23 × 0.40 m</t>
        </is>
      </c>
      <c r="H933" s="5" t="inlineStr">
        <is>
          <t>label vote</t>
        </is>
      </c>
      <c r="I933" s="5" t="inlineStr">
        <is>
          <t>LG40x15</t>
        </is>
      </c>
      <c r="J933" s="5" t="inlineStr">
        <is>
          <t>printed label</t>
        </is>
      </c>
      <c r="K933" s="5" t="inlineStr">
        <is>
          <t>LG-40x15</t>
        </is>
      </c>
      <c r="L933" s="5" t="n">
        <v>1923</v>
      </c>
      <c r="M933" s="5" t="n">
        <v>40</v>
      </c>
      <c r="N933" s="10">
        <f>IF(AND(ISNUMBER(L933),M933&gt;0),L933/M933,"")</f>
        <v/>
      </c>
      <c r="O933" s="5" t="n">
        <v>7.692</v>
      </c>
      <c r="P933" s="5" t="n">
        <v>75.09999999999999</v>
      </c>
      <c r="Q933" s="5" t="n">
        <v>5</v>
      </c>
      <c r="R933" s="5" t="n">
        <v>0</v>
      </c>
      <c r="S933" s="5" t="n">
        <v>0</v>
      </c>
      <c r="T933" s="5" t="n">
        <v>0</v>
      </c>
      <c r="U933" s="5" t="n">
        <v>0</v>
      </c>
      <c r="V933" s="5" t="n">
        <v>0</v>
      </c>
      <c r="W933" s="5" t="n">
        <v>33</v>
      </c>
      <c r="X933" s="5" t="n">
        <v>7</v>
      </c>
      <c r="Y933" s="5" t="n">
        <v>9.140000000000001</v>
      </c>
      <c r="Z933" s="5" t="inlineStr"/>
      <c r="AA933" s="5" t="n">
        <v>895.4</v>
      </c>
      <c r="AB933" s="5" t="n">
        <v>1234.4</v>
      </c>
      <c r="AC933" s="5" t="n">
        <v>1052.5</v>
      </c>
      <c r="AD933" s="5" t="n">
        <v>1786.2</v>
      </c>
      <c r="AE933" s="5" t="inlineStr"/>
      <c r="AF933" s="5">
        <f>IF(AE933="","",IF(OR(AE933=F933,AND(AE933="crane_footing",F933="isolated_footing")),"yes","no"))</f>
        <v/>
      </c>
    </row>
    <row r="934">
      <c r="A934" s="5" t="n">
        <v>933</v>
      </c>
      <c r="B934" s="5" t="inlineStr">
        <is>
          <t>130</t>
        </is>
      </c>
      <c r="C934" s="5" t="inlineStr">
        <is>
          <t>region between joints</t>
        </is>
      </c>
      <c r="D934" s="5" t="inlineStr">
        <is>
          <t>band</t>
        </is>
      </c>
      <c r="E934" s="5" t="n">
        <v>3</v>
      </c>
      <c r="F934" s="5" t="inlineStr">
        <is>
          <t>grade_beam</t>
        </is>
      </c>
      <c r="G934" s="5" t="inlineStr">
        <is>
          <t>Grade beam LG40x15 12.31 × 0.40 m</t>
        </is>
      </c>
      <c r="H934" s="5" t="inlineStr">
        <is>
          <t>label vote</t>
        </is>
      </c>
      <c r="I934" s="5" t="inlineStr">
        <is>
          <t>LG40x15</t>
        </is>
      </c>
      <c r="J934" s="5" t="inlineStr">
        <is>
          <t>printed label</t>
        </is>
      </c>
      <c r="K934" s="5" t="inlineStr">
        <is>
          <t>LG-40x15</t>
        </is>
      </c>
      <c r="L934" s="5" t="n">
        <v>1231</v>
      </c>
      <c r="M934" s="5" t="n">
        <v>40</v>
      </c>
      <c r="N934" s="10">
        <f>IF(AND(ISNUMBER(L934),M934&gt;0),L934/M934,"")</f>
        <v/>
      </c>
      <c r="O934" s="5" t="n">
        <v>4.923</v>
      </c>
      <c r="P934" s="5" t="n">
        <v>165.2</v>
      </c>
      <c r="Q934" s="5" t="n">
        <v>2</v>
      </c>
      <c r="R934" s="5" t="n">
        <v>0</v>
      </c>
      <c r="S934" s="5" t="n">
        <v>0</v>
      </c>
      <c r="T934" s="5" t="n">
        <v>0</v>
      </c>
      <c r="U934" s="5" t="n">
        <v>0</v>
      </c>
      <c r="V934" s="5" t="n">
        <v>1</v>
      </c>
      <c r="W934" s="5" t="n">
        <v>24</v>
      </c>
      <c r="X934" s="5" t="n">
        <v>3</v>
      </c>
      <c r="Y934" s="5" t="n">
        <v>12.31</v>
      </c>
      <c r="Z934" s="5" t="inlineStr"/>
      <c r="AA934" s="5" t="n">
        <v>937</v>
      </c>
      <c r="AB934" s="5" t="n">
        <v>1255.4</v>
      </c>
      <c r="AC934" s="5" t="n">
        <v>1291.4</v>
      </c>
      <c r="AD934" s="5" t="n">
        <v>1359.5</v>
      </c>
      <c r="AE934" s="5" t="inlineStr"/>
      <c r="AF934" s="5">
        <f>IF(AE934="","",IF(OR(AE934=F934,AND(AE934="crane_footing",F934="isolated_footing")),"yes","no"))</f>
        <v/>
      </c>
    </row>
    <row r="935">
      <c r="A935" s="5" t="n">
        <v>934</v>
      </c>
      <c r="B935" s="5" t="inlineStr">
        <is>
          <t>130</t>
        </is>
      </c>
      <c r="C935" s="5" t="inlineStr">
        <is>
          <t>region between joints</t>
        </is>
      </c>
      <c r="D935" s="5" t="inlineStr">
        <is>
          <t>band</t>
        </is>
      </c>
      <c r="E935" s="5" t="n">
        <v>3</v>
      </c>
      <c r="F935" s="5" t="inlineStr">
        <is>
          <t>grade_beam</t>
        </is>
      </c>
      <c r="G935" s="5" t="inlineStr">
        <is>
          <t>Grade beam LG40x15 12.29 × 0.40 m</t>
        </is>
      </c>
      <c r="H935" s="5" t="inlineStr">
        <is>
          <t>label vote</t>
        </is>
      </c>
      <c r="I935" s="5" t="inlineStr">
        <is>
          <t>LG40x15</t>
        </is>
      </c>
      <c r="J935" s="5" t="inlineStr">
        <is>
          <t>printed label</t>
        </is>
      </c>
      <c r="K935" s="5" t="inlineStr">
        <is>
          <t>LG-40x15</t>
        </is>
      </c>
      <c r="L935" s="5" t="n">
        <v>1229</v>
      </c>
      <c r="M935" s="5" t="n">
        <v>40</v>
      </c>
      <c r="N935" s="10">
        <f>IF(AND(ISNUMBER(L935),M935&gt;0),L935/M935,"")</f>
        <v/>
      </c>
      <c r="O935" s="5" t="n">
        <v>4.917</v>
      </c>
      <c r="P935" s="5" t="n">
        <v>165.2</v>
      </c>
      <c r="Q935" s="5" t="n">
        <v>2</v>
      </c>
      <c r="R935" s="5" t="n">
        <v>0</v>
      </c>
      <c r="S935" s="5" t="n">
        <v>0</v>
      </c>
      <c r="T935" s="5" t="n">
        <v>0</v>
      </c>
      <c r="U935" s="5" t="n">
        <v>0</v>
      </c>
      <c r="V935" s="5" t="n">
        <v>1</v>
      </c>
      <c r="W935" s="5" t="n">
        <v>22</v>
      </c>
      <c r="X935" s="5" t="n">
        <v>2</v>
      </c>
      <c r="Y935" s="5" t="n">
        <v>7.09</v>
      </c>
      <c r="Z935" s="5" t="inlineStr"/>
      <c r="AA935" s="5" t="n">
        <v>995.8</v>
      </c>
      <c r="AB935" s="5" t="n">
        <v>1476.9</v>
      </c>
      <c r="AC935" s="5" t="n">
        <v>1349.8</v>
      </c>
      <c r="AD935" s="5" t="n">
        <v>1580.8</v>
      </c>
      <c r="AE935" s="5" t="inlineStr"/>
      <c r="AF935" s="5">
        <f>IF(AE935="","",IF(OR(AE935=F935,AND(AE935="crane_footing",F935="isolated_footing")),"yes","no"))</f>
        <v/>
      </c>
    </row>
    <row r="936">
      <c r="A936" s="5" t="n">
        <v>935</v>
      </c>
      <c r="B936" s="5" t="inlineStr">
        <is>
          <t>130</t>
        </is>
      </c>
      <c r="C936" s="5" t="inlineStr">
        <is>
          <t>region between joints</t>
        </is>
      </c>
      <c r="D936" s="5" t="inlineStr">
        <is>
          <t>band</t>
        </is>
      </c>
      <c r="E936" s="5" t="n">
        <v>3</v>
      </c>
      <c r="F936" s="5" t="inlineStr">
        <is>
          <t>grade_beam</t>
        </is>
      </c>
      <c r="G936" s="5" t="inlineStr">
        <is>
          <t>Grade beam LG40x15 7.58 × 0.40 m</t>
        </is>
      </c>
      <c r="H936" s="5" t="inlineStr">
        <is>
          <t>label vote</t>
        </is>
      </c>
      <c r="I936" s="5" t="inlineStr">
        <is>
          <t>LG40x15</t>
        </is>
      </c>
      <c r="J936" s="5" t="inlineStr">
        <is>
          <t>printed label</t>
        </is>
      </c>
      <c r="K936" s="5" t="inlineStr">
        <is>
          <t>LG-40x15</t>
        </is>
      </c>
      <c r="L936" s="5" t="n">
        <v>758</v>
      </c>
      <c r="M936" s="5" t="n">
        <v>40</v>
      </c>
      <c r="N936" s="10">
        <f>IF(AND(ISNUMBER(L936),M936&gt;0),L936/M936,"")</f>
        <v/>
      </c>
      <c r="O936" s="5" t="n">
        <v>3.031</v>
      </c>
      <c r="P936" s="5" t="n">
        <v>165.3</v>
      </c>
      <c r="Q936" s="5" t="n">
        <v>2</v>
      </c>
      <c r="R936" s="5" t="n">
        <v>0</v>
      </c>
      <c r="S936" s="5" t="n">
        <v>0</v>
      </c>
      <c r="T936" s="5" t="n">
        <v>0</v>
      </c>
      <c r="U936" s="5" t="n">
        <v>0</v>
      </c>
      <c r="V936" s="5" t="n">
        <v>1</v>
      </c>
      <c r="W936" s="5" t="n">
        <v>5</v>
      </c>
      <c r="X936" s="5" t="n">
        <v>1</v>
      </c>
      <c r="Y936" s="5" t="n">
        <v>3.01</v>
      </c>
      <c r="Z936" s="5" t="inlineStr"/>
      <c r="AA936" s="5" t="n">
        <v>774.3</v>
      </c>
      <c r="AB936" s="5" t="n">
        <v>1596.4</v>
      </c>
      <c r="AC936" s="5" t="n">
        <v>993.7</v>
      </c>
      <c r="AD936" s="5" t="n">
        <v>1664.6</v>
      </c>
      <c r="AE936" s="5" t="inlineStr"/>
      <c r="AF936" s="5">
        <f>IF(AE936="","",IF(OR(AE936=F936,AND(AE936="crane_footing",F936="isolated_footing")),"yes","no"))</f>
        <v/>
      </c>
    </row>
    <row r="937">
      <c r="A937" s="5" t="n">
        <v>936</v>
      </c>
      <c r="B937" s="5" t="inlineStr">
        <is>
          <t>130</t>
        </is>
      </c>
      <c r="C937" s="5" t="inlineStr">
        <is>
          <t>region between joints</t>
        </is>
      </c>
      <c r="D937" s="5" t="inlineStr">
        <is>
          <t>band</t>
        </is>
      </c>
      <c r="E937" s="5" t="n">
        <v>3</v>
      </c>
      <c r="F937" s="5" t="inlineStr">
        <is>
          <t>grade_beam</t>
        </is>
      </c>
      <c r="G937" s="5" t="inlineStr">
        <is>
          <t>Grade beam LG40x15 4.24 × 0.40 m</t>
        </is>
      </c>
      <c r="H937" s="5" t="inlineStr">
        <is>
          <t>label vote</t>
        </is>
      </c>
      <c r="I937" s="5" t="inlineStr">
        <is>
          <t>LG40x15</t>
        </is>
      </c>
      <c r="J937" s="5" t="inlineStr">
        <is>
          <t>printed label</t>
        </is>
      </c>
      <c r="K937" s="5" t="inlineStr">
        <is>
          <t>LG-40x15</t>
        </is>
      </c>
      <c r="L937" s="5" t="n">
        <v>424</v>
      </c>
      <c r="M937" s="5" t="n">
        <v>40</v>
      </c>
      <c r="N937" s="10">
        <f>IF(AND(ISNUMBER(L937),M937&gt;0),L937/M937,"")</f>
        <v/>
      </c>
      <c r="O937" s="5" t="n">
        <v>1.697</v>
      </c>
      <c r="P937" s="5" t="n">
        <v>75.3</v>
      </c>
      <c r="Q937" s="5" t="n">
        <v>3</v>
      </c>
      <c r="R937" s="5" t="n">
        <v>0</v>
      </c>
      <c r="S937" s="5" t="n">
        <v>0</v>
      </c>
      <c r="T937" s="5" t="n">
        <v>0</v>
      </c>
      <c r="U937" s="5" t="n">
        <v>0</v>
      </c>
      <c r="V937" s="5" t="n">
        <v>1</v>
      </c>
      <c r="W937" s="5" t="n">
        <v>13</v>
      </c>
      <c r="X937" s="5" t="n">
        <v>1</v>
      </c>
      <c r="Y937" s="5" t="n">
        <v>2.52</v>
      </c>
      <c r="Z937" s="5" t="inlineStr"/>
      <c r="AA937" s="5" t="n">
        <v>695.3</v>
      </c>
      <c r="AB937" s="5" t="n">
        <v>1224.9</v>
      </c>
      <c r="AC937" s="5" t="n">
        <v>738.6</v>
      </c>
      <c r="AD937" s="5" t="n">
        <v>1349</v>
      </c>
      <c r="AE937" s="5" t="inlineStr"/>
      <c r="AF937" s="5">
        <f>IF(AE937="","",IF(OR(AE937=F937,AND(AE937="crane_footing",F937="isolated_footing")),"yes","no"))</f>
        <v/>
      </c>
    </row>
    <row r="938">
      <c r="A938" s="5" t="n">
        <v>937</v>
      </c>
      <c r="B938" s="5" t="inlineStr">
        <is>
          <t>130</t>
        </is>
      </c>
      <c r="C938" s="5" t="inlineStr">
        <is>
          <t>region between joints</t>
        </is>
      </c>
      <c r="D938" s="5" t="inlineStr">
        <is>
          <t>band</t>
        </is>
      </c>
      <c r="E938" s="5" t="n">
        <v>3</v>
      </c>
      <c r="F938" s="5" t="inlineStr">
        <is>
          <t>grade_beam</t>
        </is>
      </c>
      <c r="G938" s="5" t="inlineStr">
        <is>
          <t>Grade beam LG40x15 3.34 × 0.40 m</t>
        </is>
      </c>
      <c r="H938" s="5" t="inlineStr">
        <is>
          <t>label vote</t>
        </is>
      </c>
      <c r="I938" s="5" t="inlineStr">
        <is>
          <t>LG40x15</t>
        </is>
      </c>
      <c r="J938" s="5" t="inlineStr">
        <is>
          <t>printed label</t>
        </is>
      </c>
      <c r="K938" s="5" t="inlineStr">
        <is>
          <t>LG-40x15</t>
        </is>
      </c>
      <c r="L938" s="5" t="n">
        <v>334</v>
      </c>
      <c r="M938" s="5" t="n">
        <v>40</v>
      </c>
      <c r="N938" s="10">
        <f>IF(AND(ISNUMBER(L938),M938&gt;0),L938/M938,"")</f>
        <v/>
      </c>
      <c r="O938" s="5" t="n">
        <v>1.338</v>
      </c>
      <c r="P938" s="5" t="n">
        <v>165.2</v>
      </c>
      <c r="Q938" s="5" t="n">
        <v>3</v>
      </c>
      <c r="R938" s="5" t="n">
        <v>0</v>
      </c>
      <c r="S938" s="5" t="n">
        <v>0</v>
      </c>
      <c r="T938" s="5" t="n">
        <v>0</v>
      </c>
      <c r="U938" s="5" t="n">
        <v>0</v>
      </c>
      <c r="V938" s="5" t="n">
        <v>1</v>
      </c>
      <c r="W938" s="5" t="n">
        <v>3</v>
      </c>
      <c r="X938" s="5" t="n">
        <v>1</v>
      </c>
      <c r="Y938" s="5" t="n">
        <v>1.94</v>
      </c>
      <c r="Z938" s="5" t="inlineStr"/>
      <c r="AA938" s="5" t="n">
        <v>613.3</v>
      </c>
      <c r="AB938" s="5" t="n">
        <v>1279.4</v>
      </c>
      <c r="AC938" s="5" t="n">
        <v>711.8</v>
      </c>
      <c r="AD938" s="5" t="n">
        <v>1316</v>
      </c>
      <c r="AE938" s="5" t="inlineStr"/>
      <c r="AF938" s="5">
        <f>IF(AE938="","",IF(OR(AE938=F938,AND(AE938="crane_footing",F938="isolated_footing")),"yes","no"))</f>
        <v/>
      </c>
    </row>
    <row r="939">
      <c r="A939" s="5" t="n">
        <v>938</v>
      </c>
      <c r="B939" s="5" t="inlineStr">
        <is>
          <t>130</t>
        </is>
      </c>
      <c r="C939" s="5" t="inlineStr">
        <is>
          <t>region between joints</t>
        </is>
      </c>
      <c r="D939" s="5" t="inlineStr">
        <is>
          <t>stamped_region</t>
        </is>
      </c>
      <c r="E939" s="5" t="n">
        <v>39</v>
      </c>
      <c r="F939" s="5" t="inlineStr">
        <is>
          <t>raft</t>
        </is>
      </c>
      <c r="G939" s="5" t="inlineStr">
        <is>
          <t>Raft Radier 100 19.52 × 7.08 m, 118.0 m²</t>
        </is>
      </c>
      <c r="H939" s="5" t="inlineStr">
        <is>
          <t>label vote</t>
        </is>
      </c>
      <c r="I939" s="5" t="inlineStr">
        <is>
          <t>Radier 100</t>
        </is>
      </c>
      <c r="J939" s="5" t="inlineStr">
        <is>
          <t>printed label</t>
        </is>
      </c>
      <c r="K939" s="5" t="inlineStr">
        <is>
          <t>Radier</t>
        </is>
      </c>
      <c r="L939" s="5" t="n">
        <v>1952</v>
      </c>
      <c r="M939" s="5" t="n">
        <v>708</v>
      </c>
      <c r="N939" s="10">
        <f>IF(AND(ISNUMBER(L939),M939&gt;0),L939/M939,"")</f>
        <v/>
      </c>
      <c r="O939" s="5" t="n">
        <v>118.04</v>
      </c>
      <c r="P939" s="5" t="n">
        <v>165.3</v>
      </c>
      <c r="Q939" s="5" t="n">
        <v>13</v>
      </c>
      <c r="R939" s="5" t="n">
        <v>0</v>
      </c>
      <c r="S939" s="5" t="n">
        <v>0</v>
      </c>
      <c r="T939" s="5" t="n">
        <v>0</v>
      </c>
      <c r="U939" s="5" t="n">
        <v>0</v>
      </c>
      <c r="V939" s="5" t="n">
        <v>11</v>
      </c>
      <c r="W939" s="5" t="n">
        <v>188</v>
      </c>
      <c r="X939" s="5" t="n">
        <v>6</v>
      </c>
      <c r="Y939" s="5" t="n"/>
      <c r="Z939" s="5" t="inlineStr">
        <is>
          <t>traced outline</t>
        </is>
      </c>
      <c r="AA939" s="5" t="n">
        <v>415.6</v>
      </c>
      <c r="AB939" s="5" t="n">
        <v>1294.7</v>
      </c>
      <c r="AC939" s="5" t="n">
        <v>1026</v>
      </c>
      <c r="AD939" s="5" t="n">
        <v>1587</v>
      </c>
      <c r="AE939" s="5" t="inlineStr"/>
      <c r="AF939" s="5">
        <f>IF(AE939="","",IF(OR(AE939=F939,AND(AE939="crane_footing",F939="isolated_footing")),"yes","no"))</f>
        <v/>
      </c>
    </row>
    <row r="940">
      <c r="A940" s="5" t="n">
        <v>939</v>
      </c>
      <c r="B940" s="5" t="inlineStr">
        <is>
          <t>130</t>
        </is>
      </c>
      <c r="C940" s="5" t="inlineStr">
        <is>
          <t>region between joints</t>
        </is>
      </c>
      <c r="D940" s="5" t="inlineStr">
        <is>
          <t>outline</t>
        </is>
      </c>
      <c r="E940" s="5" t="n">
        <v>22</v>
      </c>
      <c r="F940" s="5" t="inlineStr">
        <is>
          <t>sump_pit</t>
        </is>
      </c>
      <c r="G940" s="5" t="inlineStr">
        <is>
          <t>Sump pit Fosse 2.90 × 2.40 m</t>
        </is>
      </c>
      <c r="H940" s="5" t="inlineStr">
        <is>
          <t>label vote</t>
        </is>
      </c>
      <c r="I940" s="5" t="inlineStr">
        <is>
          <t>Fosse</t>
        </is>
      </c>
      <c r="J940" s="5" t="inlineStr">
        <is>
          <t>printed label</t>
        </is>
      </c>
      <c r="K940" s="5" t="inlineStr">
        <is>
          <t>FOSSE DE RELEVAGE2.00x1.50x1.50</t>
        </is>
      </c>
      <c r="L940" s="5" t="n">
        <v>290</v>
      </c>
      <c r="M940" s="5" t="n">
        <v>240</v>
      </c>
      <c r="N940" s="10">
        <f>IF(AND(ISNUMBER(L940),M940&gt;0),L940/M940,"")</f>
        <v/>
      </c>
      <c r="O940" s="5" t="n">
        <v>6.96</v>
      </c>
      <c r="P940" s="5" t="n">
        <v>5.7</v>
      </c>
      <c r="Q940" s="5" t="n">
        <v>5</v>
      </c>
      <c r="R940" s="5" t="n">
        <v>0</v>
      </c>
      <c r="S940" s="5" t="n">
        <v>0</v>
      </c>
      <c r="T940" s="5" t="n">
        <v>0</v>
      </c>
      <c r="U940" s="5" t="n">
        <v>0</v>
      </c>
      <c r="V940" s="5" t="n">
        <v>4</v>
      </c>
      <c r="W940" s="5" t="n">
        <v>5</v>
      </c>
      <c r="X940" s="5" t="n">
        <v>0</v>
      </c>
      <c r="Y940" s="5" t="n"/>
      <c r="Z940" s="5" t="inlineStr"/>
      <c r="AA940" s="5" t="n">
        <v>916.6</v>
      </c>
      <c r="AB940" s="5" t="n">
        <v>1057.2</v>
      </c>
      <c r="AC940" s="5" t="n">
        <v>1008.8</v>
      </c>
      <c r="AD940" s="5" t="n">
        <v>1136.2</v>
      </c>
      <c r="AE940" s="5" t="inlineStr"/>
      <c r="AF940" s="5">
        <f>IF(AE940="","",IF(OR(AE940=F940,AND(AE940="crane_footing",F940="isolated_footing")),"yes","no"))</f>
        <v/>
      </c>
    </row>
    <row r="941">
      <c r="A941" s="5" t="n">
        <v>940</v>
      </c>
      <c r="B941" s="5" t="inlineStr">
        <is>
          <t>130</t>
        </is>
      </c>
      <c r="C941" s="5" t="inlineStr">
        <is>
          <t>region between joints</t>
        </is>
      </c>
      <c r="D941" s="5" t="inlineStr">
        <is>
          <t>single_hatch</t>
        </is>
      </c>
      <c r="E941" s="5" t="n">
        <v>24</v>
      </c>
      <c r="F941" s="5" t="inlineStr">
        <is>
          <t>unidentified</t>
        </is>
      </c>
      <c r="G941" s="5" t="inlineStr">
        <is>
          <t>C24</t>
        </is>
      </c>
      <c r="H941" s="5" t="inlineStr">
        <is>
          <t>no label votes</t>
        </is>
      </c>
      <c r="I941" s="5" t="inlineStr">
        <is>
          <t>(none)</t>
        </is>
      </c>
      <c r="J941" s="5" t="inlineStr"/>
      <c r="K941" s="5" t="inlineStr"/>
      <c r="L941" s="5" t="n">
        <v>53</v>
      </c>
      <c r="M941" s="5" t="n">
        <v>14</v>
      </c>
      <c r="N941" s="10">
        <f>IF(AND(ISNUMBER(L941),M941&gt;0),L941/M941,"")</f>
        <v/>
      </c>
      <c r="O941" s="5" t="n">
        <v>0.051</v>
      </c>
      <c r="P941" s="5" t="n">
        <v>26.6</v>
      </c>
      <c r="Q941" s="5" t="n">
        <v>1</v>
      </c>
      <c r="R941" s="5" t="n">
        <v>0</v>
      </c>
      <c r="S941" s="5" t="n">
        <v>0</v>
      </c>
      <c r="T941" s="5" t="n">
        <v>1</v>
      </c>
      <c r="U941" s="5" t="n">
        <v>0</v>
      </c>
      <c r="V941" s="5" t="n">
        <v>0</v>
      </c>
      <c r="W941" s="5" t="n">
        <v>0</v>
      </c>
      <c r="X941" s="5" t="n">
        <v>0</v>
      </c>
      <c r="Y941" s="5" t="n"/>
      <c r="Z941" s="5" t="inlineStr"/>
      <c r="AA941" s="5" t="n">
        <v>672.4</v>
      </c>
      <c r="AB941" s="5" t="n">
        <v>1361.9</v>
      </c>
      <c r="AC941" s="5" t="n">
        <v>688.3</v>
      </c>
      <c r="AD941" s="5" t="n">
        <v>1368.4</v>
      </c>
      <c r="AE941" s="5" t="inlineStr"/>
      <c r="AF941" s="5">
        <f>IF(AE941="","",IF(OR(AE941=F941,AND(AE941="crane_footing",F941="isolated_footing")),"yes","no"))</f>
        <v/>
      </c>
    </row>
    <row r="942">
      <c r="A942" s="5" t="n">
        <v>941</v>
      </c>
      <c r="B942" s="5" t="inlineStr">
        <is>
          <t>130</t>
        </is>
      </c>
      <c r="C942" s="5" t="inlineStr">
        <is>
          <t>region between joints</t>
        </is>
      </c>
      <c r="D942" s="5" t="inlineStr">
        <is>
          <t>outline</t>
        </is>
      </c>
      <c r="E942" s="5" t="n">
        <v>21</v>
      </c>
      <c r="F942" s="5" t="inlineStr">
        <is>
          <t>unidentified</t>
        </is>
      </c>
      <c r="G942" s="5" t="inlineStr">
        <is>
          <t>C21</t>
        </is>
      </c>
      <c r="H942" s="5" t="inlineStr">
        <is>
          <t>no label votes</t>
        </is>
      </c>
      <c r="I942" s="5" t="inlineStr">
        <is>
          <t>(none)</t>
        </is>
      </c>
      <c r="J942" s="5" t="inlineStr"/>
      <c r="K942" s="5" t="inlineStr"/>
      <c r="L942" s="5" t="n">
        <v>75</v>
      </c>
      <c r="M942" s="5" t="n">
        <v>75</v>
      </c>
      <c r="N942" s="10">
        <f>IF(AND(ISNUMBER(L942),M942&gt;0),L942/M942,"")</f>
        <v/>
      </c>
      <c r="O942" s="5" t="n">
        <v>0.5639999999999999</v>
      </c>
      <c r="P942" s="5" t="n">
        <v>95.7</v>
      </c>
      <c r="Q942" s="5" t="n">
        <v>0</v>
      </c>
      <c r="R942" s="5" t="n">
        <v>0</v>
      </c>
      <c r="S942" s="5" t="n">
        <v>0</v>
      </c>
      <c r="T942" s="5" t="n">
        <v>0</v>
      </c>
      <c r="U942" s="5" t="n">
        <v>1</v>
      </c>
      <c r="V942" s="5" t="n">
        <v>0</v>
      </c>
      <c r="W942" s="5" t="n">
        <v>0</v>
      </c>
      <c r="X942" s="5" t="n">
        <v>1</v>
      </c>
      <c r="Y942" s="5" t="n"/>
      <c r="Z942" s="5" t="inlineStr"/>
      <c r="AA942" s="5" t="n">
        <v>1081.2</v>
      </c>
      <c r="AB942" s="5" t="n">
        <v>1211.4</v>
      </c>
      <c r="AC942" s="5" t="n">
        <v>1105.5</v>
      </c>
      <c r="AD942" s="5" t="n">
        <v>1235.7</v>
      </c>
      <c r="AE942" s="5" t="inlineStr"/>
      <c r="AF942" s="5">
        <f>IF(AE942="","",IF(OR(AE942=F942,AND(AE942="crane_footing",F942="isolated_footing")),"yes","no"))</f>
        <v/>
      </c>
    </row>
    <row r="943">
      <c r="A943" s="5" t="n">
        <v>942</v>
      </c>
      <c r="B943" s="5" t="inlineStr">
        <is>
          <t>130</t>
        </is>
      </c>
      <c r="C943" s="5" t="inlineStr">
        <is>
          <t>region between joints</t>
        </is>
      </c>
      <c r="D943" s="5" t="inlineStr">
        <is>
          <t>outline</t>
        </is>
      </c>
      <c r="E943" s="5" t="n">
        <v>21</v>
      </c>
      <c r="F943" s="5" t="inlineStr">
        <is>
          <t>unidentified</t>
        </is>
      </c>
      <c r="G943" s="5" t="inlineStr">
        <is>
          <t>C21</t>
        </is>
      </c>
      <c r="H943" s="5" t="inlineStr">
        <is>
          <t>no label votes</t>
        </is>
      </c>
      <c r="I943" s="5" t="inlineStr">
        <is>
          <t>(none)</t>
        </is>
      </c>
      <c r="J943" s="5" t="inlineStr"/>
      <c r="K943" s="5" t="inlineStr"/>
      <c r="L943" s="5" t="n">
        <v>75</v>
      </c>
      <c r="M943" s="5" t="n">
        <v>75</v>
      </c>
      <c r="N943" s="10">
        <f>IF(AND(ISNUMBER(L943),M943&gt;0),L943/M943,"")</f>
        <v/>
      </c>
      <c r="O943" s="5" t="n">
        <v>0.5620000000000001</v>
      </c>
      <c r="P943" s="5" t="n">
        <v>95.7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1</v>
      </c>
      <c r="V943" s="5" t="n">
        <v>0</v>
      </c>
      <c r="W943" s="5" t="n">
        <v>1</v>
      </c>
      <c r="X943" s="5" t="n">
        <v>1</v>
      </c>
      <c r="Y943" s="5" t="n"/>
      <c r="Z943" s="5" t="inlineStr"/>
      <c r="AA943" s="5" t="n">
        <v>1148.6</v>
      </c>
      <c r="AB943" s="5" t="n">
        <v>1218.1</v>
      </c>
      <c r="AC943" s="5" t="n">
        <v>1172.7</v>
      </c>
      <c r="AD943" s="5" t="n">
        <v>1242.4</v>
      </c>
      <c r="AE943" s="5" t="inlineStr"/>
      <c r="AF943" s="5">
        <f>IF(AE943="","",IF(OR(AE943=F943,AND(AE943="crane_footing",F943="isolated_footing")),"yes","no"))</f>
        <v/>
      </c>
    </row>
    <row r="944">
      <c r="A944" s="5" t="n">
        <v>943</v>
      </c>
      <c r="B944" s="5" t="inlineStr">
        <is>
          <t>130</t>
        </is>
      </c>
      <c r="C944" s="5" t="inlineStr">
        <is>
          <t>region between joints</t>
        </is>
      </c>
      <c r="D944" s="5" t="inlineStr">
        <is>
          <t>outline</t>
        </is>
      </c>
      <c r="E944" s="5" t="n">
        <v>21</v>
      </c>
      <c r="F944" s="5" t="inlineStr">
        <is>
          <t>unidentified</t>
        </is>
      </c>
      <c r="G944" s="5" t="inlineStr">
        <is>
          <t>C21</t>
        </is>
      </c>
      <c r="H944" s="5" t="inlineStr">
        <is>
          <t>no label votes</t>
        </is>
      </c>
      <c r="I944" s="5" t="inlineStr">
        <is>
          <t>(none)</t>
        </is>
      </c>
      <c r="J944" s="5" t="inlineStr"/>
      <c r="K944" s="5" t="inlineStr"/>
      <c r="L944" s="5" t="n">
        <v>75</v>
      </c>
      <c r="M944" s="5" t="n">
        <v>75</v>
      </c>
      <c r="N944" s="10">
        <f>IF(AND(ISNUMBER(L944),M944&gt;0),L944/M944,"")</f>
        <v/>
      </c>
      <c r="O944" s="5" t="n">
        <v>0.5620000000000001</v>
      </c>
      <c r="P944" s="5" t="n">
        <v>5.7</v>
      </c>
      <c r="Q944" s="5" t="n">
        <v>0</v>
      </c>
      <c r="R944" s="5" t="n">
        <v>0</v>
      </c>
      <c r="S944" s="5" t="n">
        <v>0</v>
      </c>
      <c r="T944" s="5" t="n">
        <v>0</v>
      </c>
      <c r="U944" s="5" t="n">
        <v>0</v>
      </c>
      <c r="V944" s="5" t="n">
        <v>0</v>
      </c>
      <c r="W944" s="5" t="n">
        <v>0</v>
      </c>
      <c r="X944" s="5" t="n">
        <v>1</v>
      </c>
      <c r="Y944" s="5" t="n"/>
      <c r="Z944" s="5" t="inlineStr"/>
      <c r="AA944" s="5" t="n">
        <v>1087.9</v>
      </c>
      <c r="AB944" s="5" t="n">
        <v>1144.2</v>
      </c>
      <c r="AC944" s="5" t="n">
        <v>1112.2</v>
      </c>
      <c r="AD944" s="5" t="n">
        <v>1168.4</v>
      </c>
      <c r="AE944" s="5" t="inlineStr"/>
      <c r="AF944" s="5">
        <f>IF(AE944="","",IF(OR(AE944=F944,AND(AE944="crane_footing",F944="isolated_footing")),"yes","no"))</f>
        <v/>
      </c>
    </row>
    <row r="945">
      <c r="A945" s="5" t="n">
        <v>944</v>
      </c>
      <c r="B945" s="5" t="inlineStr">
        <is>
          <t>130</t>
        </is>
      </c>
      <c r="C945" s="5" t="inlineStr">
        <is>
          <t>region between joints</t>
        </is>
      </c>
      <c r="D945" s="5" t="inlineStr">
        <is>
          <t>outline</t>
        </is>
      </c>
      <c r="E945" s="5" t="n">
        <v>21</v>
      </c>
      <c r="F945" s="5" t="inlineStr">
        <is>
          <t>unidentified</t>
        </is>
      </c>
      <c r="G945" s="5" t="inlineStr">
        <is>
          <t>C21</t>
        </is>
      </c>
      <c r="H945" s="5" t="inlineStr">
        <is>
          <t>no label votes</t>
        </is>
      </c>
      <c r="I945" s="5" t="inlineStr">
        <is>
          <t>(none)</t>
        </is>
      </c>
      <c r="J945" s="5" t="inlineStr"/>
      <c r="K945" s="5" t="inlineStr"/>
      <c r="L945" s="5" t="n">
        <v>75</v>
      </c>
      <c r="M945" s="5" t="n">
        <v>75</v>
      </c>
      <c r="N945" s="10">
        <f>IF(AND(ISNUMBER(L945),M945&gt;0),L945/M945,"")</f>
        <v/>
      </c>
      <c r="O945" s="5" t="n">
        <v>0.5610000000000001</v>
      </c>
      <c r="P945" s="5" t="n">
        <v>95.7</v>
      </c>
      <c r="Q945" s="5" t="n">
        <v>0</v>
      </c>
      <c r="R945" s="5" t="n">
        <v>0</v>
      </c>
      <c r="S945" s="5" t="n">
        <v>0</v>
      </c>
      <c r="T945" s="5" t="n">
        <v>0</v>
      </c>
      <c r="U945" s="5" t="n">
        <v>0</v>
      </c>
      <c r="V945" s="5" t="n">
        <v>0</v>
      </c>
      <c r="W945" s="5" t="n">
        <v>2</v>
      </c>
      <c r="X945" s="5" t="n">
        <v>1</v>
      </c>
      <c r="Y945" s="5" t="n"/>
      <c r="Z945" s="5" t="inlineStr"/>
      <c r="AA945" s="5" t="n">
        <v>1155.2</v>
      </c>
      <c r="AB945" s="5" t="n">
        <v>1150.9</v>
      </c>
      <c r="AC945" s="5" t="n">
        <v>1179.4</v>
      </c>
      <c r="AD945" s="5" t="n">
        <v>1175</v>
      </c>
      <c r="AE945" s="5" t="inlineStr"/>
      <c r="AF945" s="5">
        <f>IF(AE945="","",IF(OR(AE945=F945,AND(AE945="crane_footing",F945="isolated_footing")),"yes","no"))</f>
        <v/>
      </c>
    </row>
    <row r="946">
      <c r="A946" s="5" t="n">
        <v>945</v>
      </c>
      <c r="B946" s="5" t="inlineStr">
        <is>
          <t>130</t>
        </is>
      </c>
      <c r="C946" s="5" t="inlineStr">
        <is>
          <t>nearest labels</t>
        </is>
      </c>
      <c r="D946" s="5" t="inlineStr">
        <is>
          <t>band</t>
        </is>
      </c>
      <c r="E946" s="5" t="n">
        <v>0</v>
      </c>
      <c r="F946" s="5" t="inlineStr">
        <is>
          <t>unidentified</t>
        </is>
      </c>
      <c r="G946" s="5" t="inlineStr">
        <is>
          <t>C0</t>
        </is>
      </c>
      <c r="H946" s="5" t="inlineStr">
        <is>
          <t>no label votes</t>
        </is>
      </c>
      <c r="I946" s="5" t="inlineStr">
        <is>
          <t>(none)</t>
        </is>
      </c>
      <c r="J946" s="5" t="inlineStr"/>
      <c r="K946" s="5" t="inlineStr"/>
      <c r="L946" s="5" t="n">
        <v>2047</v>
      </c>
      <c r="M946" s="5" t="n">
        <v>10</v>
      </c>
      <c r="N946" s="10">
        <f>IF(AND(ISNUMBER(L946),M946&gt;0),L946/M946,"")</f>
        <v/>
      </c>
      <c r="O946" s="5" t="n">
        <v>2.068</v>
      </c>
      <c r="P946" s="5" t="n">
        <v>165.2</v>
      </c>
      <c r="Q946" s="5" t="n">
        <v>9</v>
      </c>
      <c r="R946" s="5" t="n">
        <v>0</v>
      </c>
      <c r="S946" s="5" t="n">
        <v>0</v>
      </c>
      <c r="T946" s="5" t="n">
        <v>0</v>
      </c>
      <c r="U946" s="5" t="n">
        <v>0</v>
      </c>
      <c r="V946" s="5" t="n">
        <v>0</v>
      </c>
      <c r="W946" s="5" t="n">
        <v>2</v>
      </c>
      <c r="X946" s="5" t="n">
        <v>7</v>
      </c>
      <c r="Y946" s="5" t="n">
        <v>10.05</v>
      </c>
      <c r="Z946" s="5" t="inlineStr"/>
      <c r="AA946" s="5" t="n">
        <v>826.2</v>
      </c>
      <c r="AB946" s="5" t="n">
        <v>1696.5</v>
      </c>
      <c r="AC946" s="5" t="n">
        <v>1411.6</v>
      </c>
      <c r="AD946" s="5" t="n">
        <v>1853.4</v>
      </c>
      <c r="AE946" s="5" t="inlineStr"/>
      <c r="AF946" s="5">
        <f>IF(AE946="","",IF(OR(AE946=F946,AND(AE946="crane_footing",F946="isolated_footing")),"yes","no"))</f>
        <v/>
      </c>
    </row>
    <row r="947">
      <c r="A947" s="5" t="n">
        <v>946</v>
      </c>
      <c r="B947" s="5" t="inlineStr">
        <is>
          <t>130</t>
        </is>
      </c>
      <c r="C947" s="5" t="inlineStr">
        <is>
          <t>region between joints</t>
        </is>
      </c>
      <c r="D947" s="5" t="inlineStr">
        <is>
          <t>band</t>
        </is>
      </c>
      <c r="E947" s="5" t="n">
        <v>2</v>
      </c>
      <c r="F947" s="5" t="inlineStr">
        <is>
          <t>unidentified</t>
        </is>
      </c>
      <c r="G947" s="5" t="inlineStr">
        <is>
          <t>C2</t>
        </is>
      </c>
      <c r="H947" s="5" t="inlineStr">
        <is>
          <t>no label votes</t>
        </is>
      </c>
      <c r="I947" s="5" t="inlineStr">
        <is>
          <t>(none)</t>
        </is>
      </c>
      <c r="J947" s="5" t="inlineStr"/>
      <c r="K947" s="5" t="inlineStr"/>
      <c r="L947" s="5" t="n">
        <v>195</v>
      </c>
      <c r="M947" s="5" t="n">
        <v>32</v>
      </c>
      <c r="N947" s="10">
        <f>IF(AND(ISNUMBER(L947),M947&gt;0),L947/M947,"")</f>
        <v/>
      </c>
      <c r="O947" s="5" t="n">
        <v>0.622</v>
      </c>
      <c r="P947" s="5" t="n">
        <v>165.2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0</v>
      </c>
      <c r="V947" s="5" t="n">
        <v>0</v>
      </c>
      <c r="W947" s="5" t="n">
        <v>0</v>
      </c>
      <c r="X947" s="5" t="n">
        <v>2</v>
      </c>
      <c r="Y947" s="5" t="n">
        <v>1.95</v>
      </c>
      <c r="Z947" s="5" t="inlineStr"/>
      <c r="AA947" s="5" t="n">
        <v>940.1</v>
      </c>
      <c r="AB947" s="5" t="n">
        <v>1344.8</v>
      </c>
      <c r="AC947" s="5" t="n">
        <v>998.3</v>
      </c>
      <c r="AD947" s="5" t="n">
        <v>1368.6</v>
      </c>
      <c r="AE947" s="5" t="inlineStr"/>
      <c r="AF947" s="5">
        <f>IF(AE947="","",IF(OR(AE947=F947,AND(AE947="crane_footing",F947="isolated_footing")),"yes","no"))</f>
        <v/>
      </c>
    </row>
  </sheetData>
  <autoFilter ref="A1:AF9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Kind</t>
        </is>
      </c>
      <c r="D1" s="4" t="inlineStr">
        <is>
          <t>Names class</t>
        </is>
      </c>
      <c r="E1" s="4" t="inlineStr">
        <is>
          <t>x (px)</t>
        </is>
      </c>
      <c r="F1" s="4" t="inlineStr">
        <is>
          <t>y (px)</t>
        </is>
      </c>
      <c r="G1" s="4" t="inlineStr">
        <is>
          <t>Pass 1 object</t>
        </is>
      </c>
      <c r="H1" s="4" t="inlineStr">
        <is>
          <t>Pass 1 cluster</t>
        </is>
      </c>
      <c r="I1" s="4" t="inlineStr">
        <is>
          <t>Pass 1 cluster class</t>
        </is>
      </c>
      <c r="J1" s="4" t="inlineStr">
        <is>
          <t>Pass 1 agrees</t>
        </is>
      </c>
      <c r="K1" s="4" t="inlineStr">
        <is>
          <t>Pass 2 object</t>
        </is>
      </c>
      <c r="L1" s="4" t="inlineStr">
        <is>
          <t>Pass 2 distance (m)</t>
        </is>
      </c>
      <c r="M1" s="4" t="inlineStr">
        <is>
          <t>Pass 2 misalignment</t>
        </is>
      </c>
      <c r="N1" s="4" t="inlineStr">
        <is>
          <t>Text direction found</t>
        </is>
      </c>
    </row>
    <row r="2">
      <c r="A2" s="5" t="n">
        <v>1</v>
      </c>
      <c r="B2" s="5" t="inlineStr">
        <is>
          <t>S1-120120</t>
        </is>
      </c>
      <c r="C2" s="5" t="inlineStr">
        <is>
          <t>footing:S</t>
        </is>
      </c>
      <c r="D2" s="5" t="inlineStr">
        <is>
          <t>isolated_footing</t>
        </is>
      </c>
      <c r="E2" s="5" t="n">
        <v>4752.1</v>
      </c>
      <c r="F2" s="5" t="n">
        <v>493.8</v>
      </c>
      <c r="G2" s="5" t="n">
        <v>52</v>
      </c>
      <c r="H2" s="5" t="n">
        <v>5</v>
      </c>
      <c r="I2" s="5" t="inlineStr">
        <is>
          <t>strip_footing</t>
        </is>
      </c>
      <c r="J2" s="5" t="inlineStr">
        <is>
          <t>no</t>
        </is>
      </c>
      <c r="K2" s="5" t="n">
        <v>41</v>
      </c>
      <c r="L2" s="5" t="n">
        <v>0.21</v>
      </c>
      <c r="M2" s="5" t="n">
        <v>0</v>
      </c>
      <c r="N2" s="5" t="inlineStr">
        <is>
          <t>yes</t>
        </is>
      </c>
    </row>
    <row r="3">
      <c r="A3" s="5" t="n">
        <v>2</v>
      </c>
      <c r="B3" s="5" t="inlineStr">
        <is>
          <t>S5-120120</t>
        </is>
      </c>
      <c r="C3" s="5" t="inlineStr">
        <is>
          <t>footing:S</t>
        </is>
      </c>
      <c r="D3" s="5" t="inlineStr">
        <is>
          <t>isolated_footing</t>
        </is>
      </c>
      <c r="E3" s="5" t="n">
        <v>4505.2</v>
      </c>
      <c r="F3" s="5" t="n">
        <v>1208.3</v>
      </c>
      <c r="G3" s="5" t="n">
        <v>46</v>
      </c>
      <c r="H3" s="5" t="n">
        <v>13</v>
      </c>
      <c r="I3" s="5" t="inlineStr">
        <is>
          <t>isolated_footing</t>
        </is>
      </c>
      <c r="J3" s="5" t="inlineStr">
        <is>
          <t>yes</t>
        </is>
      </c>
      <c r="K3" s="5" t="n">
        <v>46</v>
      </c>
      <c r="L3" s="5" t="n">
        <v>0.18</v>
      </c>
      <c r="M3" s="5" t="n">
        <v>0</v>
      </c>
      <c r="N3" s="5" t="inlineStr">
        <is>
          <t>yes</t>
        </is>
      </c>
    </row>
    <row r="4">
      <c r="A4" s="5" t="n">
        <v>3</v>
      </c>
      <c r="B4" s="5" t="inlineStr">
        <is>
          <t>S6-120120</t>
        </is>
      </c>
      <c r="C4" s="5" t="inlineStr">
        <is>
          <t>footing:S</t>
        </is>
      </c>
      <c r="D4" s="5" t="inlineStr">
        <is>
          <t>isolated_footing</t>
        </is>
      </c>
      <c r="E4" s="5" t="n">
        <v>4728.1</v>
      </c>
      <c r="F4" s="5" t="n">
        <v>1157.3</v>
      </c>
      <c r="G4" s="5" t="n">
        <v>48</v>
      </c>
      <c r="H4" s="5" t="n">
        <v>13</v>
      </c>
      <c r="I4" s="5" t="inlineStr">
        <is>
          <t>isolated_footing</t>
        </is>
      </c>
      <c r="J4" s="5" t="inlineStr">
        <is>
          <t>yes</t>
        </is>
      </c>
      <c r="K4" s="5" t="n">
        <v>48</v>
      </c>
      <c r="L4" s="5" t="n">
        <v>0.23</v>
      </c>
      <c r="M4" s="5" t="n">
        <v>0</v>
      </c>
      <c r="N4" s="5" t="inlineStr">
        <is>
          <t>yes</t>
        </is>
      </c>
    </row>
    <row r="5">
      <c r="A5" s="5" t="n">
        <v>4</v>
      </c>
      <c r="B5" s="5" t="inlineStr">
        <is>
          <t>S2-120120</t>
        </is>
      </c>
      <c r="C5" s="5" t="inlineStr">
        <is>
          <t>footing:S</t>
        </is>
      </c>
      <c r="D5" s="5" t="inlineStr">
        <is>
          <t>isolated_footing</t>
        </is>
      </c>
      <c r="E5" s="5" t="n">
        <v>4274</v>
      </c>
      <c r="F5" s="5" t="n">
        <v>1133.3</v>
      </c>
      <c r="G5" s="5" t="n">
        <v>44</v>
      </c>
      <c r="H5" s="5" t="n">
        <v>12</v>
      </c>
      <c r="I5" s="5" t="inlineStr">
        <is>
          <t>isolated_footing</t>
        </is>
      </c>
      <c r="J5" s="5" t="inlineStr">
        <is>
          <t>yes</t>
        </is>
      </c>
      <c r="K5" s="5" t="n">
        <v>44</v>
      </c>
      <c r="L5" s="5" t="n">
        <v>0.22</v>
      </c>
      <c r="M5" s="5" t="n">
        <v>0</v>
      </c>
      <c r="N5" s="5" t="inlineStr">
        <is>
          <t>yes</t>
        </is>
      </c>
    </row>
    <row r="6">
      <c r="A6" s="5" t="n">
        <v>5</v>
      </c>
      <c r="B6" s="5" t="inlineStr">
        <is>
          <t>S2-120120</t>
        </is>
      </c>
      <c r="C6" s="5" t="inlineStr">
        <is>
          <t>footing:S</t>
        </is>
      </c>
      <c r="D6" s="5" t="inlineStr">
        <is>
          <t>isolated_footing</t>
        </is>
      </c>
      <c r="E6" s="5" t="n">
        <v>4274</v>
      </c>
      <c r="F6" s="5" t="n">
        <v>900</v>
      </c>
      <c r="G6" s="5" t="n">
        <v>43</v>
      </c>
      <c r="H6" s="5" t="n">
        <v>12</v>
      </c>
      <c r="I6" s="5" t="inlineStr">
        <is>
          <t>isolated_footing</t>
        </is>
      </c>
      <c r="J6" s="5" t="inlineStr">
        <is>
          <t>yes</t>
        </is>
      </c>
      <c r="K6" s="5" t="n">
        <v>43</v>
      </c>
      <c r="L6" s="5" t="n">
        <v>0.19</v>
      </c>
      <c r="M6" s="5" t="n">
        <v>0</v>
      </c>
      <c r="N6" s="5" t="inlineStr">
        <is>
          <t>yes</t>
        </is>
      </c>
    </row>
    <row r="7">
      <c r="A7" s="5" t="n">
        <v>6</v>
      </c>
      <c r="B7" s="5" t="inlineStr">
        <is>
          <t>S2-120120</t>
        </is>
      </c>
      <c r="C7" s="5" t="inlineStr">
        <is>
          <t>footing:S</t>
        </is>
      </c>
      <c r="D7" s="5" t="inlineStr">
        <is>
          <t>isolated_footing</t>
        </is>
      </c>
      <c r="E7" s="5" t="n">
        <v>4272.9</v>
      </c>
      <c r="F7" s="5" t="n">
        <v>676</v>
      </c>
      <c r="G7" s="5" t="n">
        <v>42</v>
      </c>
      <c r="H7" s="5" t="n">
        <v>12</v>
      </c>
      <c r="I7" s="5" t="inlineStr">
        <is>
          <t>isolated_footing</t>
        </is>
      </c>
      <c r="J7" s="5" t="inlineStr">
        <is>
          <t>yes</t>
        </is>
      </c>
      <c r="K7" s="5" t="n">
        <v>42</v>
      </c>
      <c r="L7" s="5" t="n">
        <v>0.22</v>
      </c>
      <c r="M7" s="5" t="n">
        <v>0</v>
      </c>
      <c r="N7" s="5" t="inlineStr">
        <is>
          <t>yes</t>
        </is>
      </c>
    </row>
    <row r="8">
      <c r="A8" s="5" t="n">
        <v>7</v>
      </c>
      <c r="B8" s="5" t="inlineStr">
        <is>
          <t>S2-121121</t>
        </is>
      </c>
      <c r="C8" s="5" t="inlineStr">
        <is>
          <t>footing:S</t>
        </is>
      </c>
      <c r="D8" s="5" t="inlineStr">
        <is>
          <t>isolated_footing</t>
        </is>
      </c>
      <c r="E8" s="5" t="n">
        <v>4267.7</v>
      </c>
      <c r="F8" s="5" t="n">
        <v>1831.3</v>
      </c>
      <c r="G8" s="5" t="n">
        <v>122</v>
      </c>
      <c r="H8" s="5" t="n">
        <v>12</v>
      </c>
      <c r="I8" s="5" t="inlineStr">
        <is>
          <t>isolated_footing</t>
        </is>
      </c>
      <c r="J8" s="5" t="inlineStr">
        <is>
          <t>yes</t>
        </is>
      </c>
      <c r="K8" s="5" t="n">
        <v>122</v>
      </c>
      <c r="L8" s="5" t="n">
        <v>0.24</v>
      </c>
      <c r="M8" s="5" t="n">
        <v>0</v>
      </c>
      <c r="N8" s="5" t="inlineStr">
        <is>
          <t>yes</t>
        </is>
      </c>
    </row>
    <row r="9">
      <c r="A9" s="5" t="n">
        <v>8</v>
      </c>
      <c r="B9" s="5" t="inlineStr">
        <is>
          <t>S2-121121</t>
        </is>
      </c>
      <c r="C9" s="5" t="inlineStr">
        <is>
          <t>footing:S</t>
        </is>
      </c>
      <c r="D9" s="5" t="inlineStr">
        <is>
          <t>isolated_footing</t>
        </is>
      </c>
      <c r="E9" s="5" t="n">
        <v>4268.8</v>
      </c>
      <c r="F9" s="5" t="n">
        <v>2058.3</v>
      </c>
      <c r="G9" s="5" t="n">
        <v>121</v>
      </c>
      <c r="H9" s="5" t="n">
        <v>12</v>
      </c>
      <c r="I9" s="5" t="inlineStr">
        <is>
          <t>isolated_footing</t>
        </is>
      </c>
      <c r="J9" s="5" t="inlineStr">
        <is>
          <t>yes</t>
        </is>
      </c>
      <c r="K9" s="5" t="n">
        <v>121</v>
      </c>
      <c r="L9" s="5" t="n">
        <v>0.2</v>
      </c>
      <c r="M9" s="5" t="n">
        <v>0</v>
      </c>
      <c r="N9" s="5" t="inlineStr">
        <is>
          <t>yes</t>
        </is>
      </c>
    </row>
    <row r="10">
      <c r="A10" s="5" t="n">
        <v>9</v>
      </c>
      <c r="B10" s="5" t="inlineStr">
        <is>
          <t>SC3-</t>
        </is>
      </c>
      <c r="C10" s="5" t="inlineStr">
        <is>
          <t>footing:SC</t>
        </is>
      </c>
      <c r="D10" s="5" t="inlineStr">
        <is>
          <t>combined_footing</t>
        </is>
      </c>
      <c r="E10" s="5" t="n">
        <v>4482.3</v>
      </c>
      <c r="F10" s="5" t="n">
        <v>1404.2</v>
      </c>
      <c r="G10" s="5" t="n">
        <v>51</v>
      </c>
      <c r="H10" s="5" t="n">
        <v>14</v>
      </c>
      <c r="I10" s="5" t="inlineStr">
        <is>
          <t>combined_footing</t>
        </is>
      </c>
      <c r="J10" s="5" t="inlineStr">
        <is>
          <t>yes</t>
        </is>
      </c>
      <c r="K10" s="5" t="n">
        <v>51</v>
      </c>
      <c r="L10" s="5" t="n">
        <v>0.24</v>
      </c>
      <c r="M10" s="5" t="n">
        <v>0</v>
      </c>
      <c r="N10" s="5" t="inlineStr">
        <is>
          <t>yes</t>
        </is>
      </c>
    </row>
    <row r="11">
      <c r="A11" s="5" t="n">
        <v>10</v>
      </c>
      <c r="B11" s="5" t="inlineStr">
        <is>
          <t>SC1-</t>
        </is>
      </c>
      <c r="C11" s="5" t="inlineStr">
        <is>
          <t>footing:SC</t>
        </is>
      </c>
      <c r="D11" s="5" t="inlineStr">
        <is>
          <t>combined_footing</t>
        </is>
      </c>
      <c r="E11" s="5" t="n">
        <v>4713.5</v>
      </c>
      <c r="F11" s="5" t="n">
        <v>1389.6</v>
      </c>
      <c r="G11" s="5" t="n">
        <v>127</v>
      </c>
      <c r="H11" s="5" t="n">
        <v>14</v>
      </c>
      <c r="I11" s="5" t="inlineStr">
        <is>
          <t>combined_footing</t>
        </is>
      </c>
      <c r="J11" s="5" t="inlineStr">
        <is>
          <t>yes</t>
        </is>
      </c>
      <c r="K11" s="5" t="n">
        <v>127</v>
      </c>
      <c r="L11" s="5" t="n">
        <v>0.25</v>
      </c>
      <c r="M11" s="5" t="n">
        <v>0</v>
      </c>
      <c r="N11" s="5" t="inlineStr">
        <is>
          <t>yes</t>
        </is>
      </c>
    </row>
    <row r="12">
      <c r="A12" s="5" t="n">
        <v>11</v>
      </c>
      <c r="B12" s="5" t="inlineStr">
        <is>
          <t>SC4-121</t>
        </is>
      </c>
      <c r="C12" s="5" t="inlineStr">
        <is>
          <t>footing:SC</t>
        </is>
      </c>
      <c r="D12" s="5" t="inlineStr">
        <is>
          <t>combined_footing</t>
        </is>
      </c>
      <c r="E12" s="5" t="n">
        <v>4532.3</v>
      </c>
      <c r="F12" s="5" t="n">
        <v>1711.5</v>
      </c>
      <c r="G12" s="5" t="n">
        <v>130</v>
      </c>
      <c r="H12" s="5" t="n">
        <v>14</v>
      </c>
      <c r="I12" s="5" t="inlineStr">
        <is>
          <t>combined_footing</t>
        </is>
      </c>
      <c r="J12" s="5" t="inlineStr">
        <is>
          <t>yes</t>
        </is>
      </c>
      <c r="K12" s="5" t="n">
        <v>130</v>
      </c>
      <c r="L12" s="5" t="n">
        <v>0.18</v>
      </c>
      <c r="M12" s="5" t="n">
        <v>0</v>
      </c>
      <c r="N12" s="5" t="inlineStr">
        <is>
          <t>yes</t>
        </is>
      </c>
    </row>
    <row r="13">
      <c r="A13" s="5" t="n">
        <v>12</v>
      </c>
      <c r="B13" s="5" t="inlineStr">
        <is>
          <t>S7-121</t>
        </is>
      </c>
      <c r="C13" s="5" t="inlineStr">
        <is>
          <t>footing:S</t>
        </is>
      </c>
      <c r="D13" s="5" t="inlineStr">
        <is>
          <t>isolated_footing</t>
        </is>
      </c>
      <c r="E13" s="5" t="n">
        <v>4508.3</v>
      </c>
      <c r="F13" s="5" t="n">
        <v>1834.4</v>
      </c>
      <c r="G13" s="5" t="n">
        <v>126</v>
      </c>
      <c r="H13" s="5" t="n">
        <v>13</v>
      </c>
      <c r="I13" s="5" t="inlineStr">
        <is>
          <t>isolated_footing</t>
        </is>
      </c>
      <c r="J13" s="5" t="inlineStr">
        <is>
          <t>yes</t>
        </is>
      </c>
      <c r="K13" s="5" t="n">
        <v>126</v>
      </c>
      <c r="L13" s="5" t="n">
        <v>0.22</v>
      </c>
      <c r="M13" s="5" t="n">
        <v>0</v>
      </c>
      <c r="N13" s="5" t="inlineStr">
        <is>
          <t>yes</t>
        </is>
      </c>
    </row>
    <row r="14">
      <c r="A14" s="5" t="n">
        <v>13</v>
      </c>
      <c r="B14" s="5" t="inlineStr">
        <is>
          <t>S7-121</t>
        </is>
      </c>
      <c r="C14" s="5" t="inlineStr">
        <is>
          <t>footing:S</t>
        </is>
      </c>
      <c r="D14" s="5" t="inlineStr">
        <is>
          <t>isolated_footing</t>
        </is>
      </c>
      <c r="E14" s="5" t="n">
        <v>4743.8</v>
      </c>
      <c r="F14" s="5" t="n">
        <v>1804.2</v>
      </c>
      <c r="G14" s="5" t="n">
        <v>125</v>
      </c>
      <c r="H14" s="5" t="n">
        <v>13</v>
      </c>
      <c r="I14" s="5" t="inlineStr">
        <is>
          <t>isolated_footing</t>
        </is>
      </c>
      <c r="J14" s="5" t="inlineStr">
        <is>
          <t>yes</t>
        </is>
      </c>
      <c r="K14" s="5" t="n">
        <v>125</v>
      </c>
      <c r="L14" s="5" t="n">
        <v>0.22</v>
      </c>
      <c r="M14" s="5" t="n">
        <v>0</v>
      </c>
      <c r="N14" s="5" t="inlineStr">
        <is>
          <t>yes</t>
        </is>
      </c>
    </row>
    <row r="15">
      <c r="A15" s="5" t="n">
        <v>14</v>
      </c>
      <c r="B15" s="5" t="inlineStr">
        <is>
          <t>S5-121121</t>
        </is>
      </c>
      <c r="C15" s="5" t="inlineStr">
        <is>
          <t>footing:S</t>
        </is>
      </c>
      <c r="D15" s="5" t="inlineStr">
        <is>
          <t>isolated_footing</t>
        </is>
      </c>
      <c r="E15" s="5" t="n">
        <v>4734.4</v>
      </c>
      <c r="F15" s="5" t="n">
        <v>1909.4</v>
      </c>
      <c r="G15" s="5" t="n">
        <v>123</v>
      </c>
      <c r="H15" s="5" t="n">
        <v>13</v>
      </c>
      <c r="I15" s="5" t="inlineStr">
        <is>
          <t>isolated_footing</t>
        </is>
      </c>
      <c r="J15" s="5" t="inlineStr">
        <is>
          <t>yes</t>
        </is>
      </c>
      <c r="K15" s="5" t="n">
        <v>123</v>
      </c>
      <c r="L15" s="5" t="n">
        <v>0.2</v>
      </c>
      <c r="M15" s="5" t="n">
        <v>0</v>
      </c>
      <c r="N15" s="5" t="inlineStr">
        <is>
          <t>yes</t>
        </is>
      </c>
    </row>
    <row r="16">
      <c r="A16" s="5" t="n">
        <v>15</v>
      </c>
      <c r="B16" s="5" t="inlineStr">
        <is>
          <t>S6-120120</t>
        </is>
      </c>
      <c r="C16" s="5" t="inlineStr">
        <is>
          <t>footing:S</t>
        </is>
      </c>
      <c r="D16" s="5" t="inlineStr">
        <is>
          <t>isolated_footing</t>
        </is>
      </c>
      <c r="E16" s="5" t="n">
        <v>4507.3</v>
      </c>
      <c r="F16" s="5" t="n">
        <v>2005.2</v>
      </c>
      <c r="G16" s="5" t="n">
        <v>47</v>
      </c>
      <c r="H16" s="5" t="n">
        <v>13</v>
      </c>
      <c r="I16" s="5" t="inlineStr">
        <is>
          <t>isolated_footing</t>
        </is>
      </c>
      <c r="J16" s="5" t="inlineStr">
        <is>
          <t>yes</t>
        </is>
      </c>
      <c r="K16" s="5" t="n">
        <v>47</v>
      </c>
      <c r="L16" s="5" t="n">
        <v>0.19</v>
      </c>
      <c r="M16" s="5" t="n">
        <v>0</v>
      </c>
      <c r="N16" s="5" t="inlineStr">
        <is>
          <t>yes</t>
        </is>
      </c>
    </row>
    <row r="17">
      <c r="A17" s="5" t="n">
        <v>16</v>
      </c>
      <c r="B17" s="5" t="inlineStr">
        <is>
          <t>S7-121</t>
        </is>
      </c>
      <c r="C17" s="5" t="inlineStr">
        <is>
          <t>footing:S</t>
        </is>
      </c>
      <c r="D17" s="5" t="inlineStr">
        <is>
          <t>isolated_footing</t>
        </is>
      </c>
      <c r="E17" s="5" t="n">
        <v>4952.1</v>
      </c>
      <c r="F17" s="5" t="n">
        <v>1832.3</v>
      </c>
      <c r="G17" s="5" t="n">
        <v>124</v>
      </c>
      <c r="H17" s="5" t="n">
        <v>13</v>
      </c>
      <c r="I17" s="5" t="inlineStr">
        <is>
          <t>isolated_footing</t>
        </is>
      </c>
      <c r="J17" s="5" t="inlineStr">
        <is>
          <t>yes</t>
        </is>
      </c>
      <c r="K17" s="5" t="n">
        <v>124</v>
      </c>
      <c r="L17" s="5" t="n">
        <v>0.23</v>
      </c>
      <c r="M17" s="5" t="n">
        <v>0</v>
      </c>
      <c r="N17" s="5" t="inlineStr">
        <is>
          <t>yes</t>
        </is>
      </c>
    </row>
    <row r="18">
      <c r="A18" s="5" t="n">
        <v>17</v>
      </c>
      <c r="B18" s="5" t="inlineStr">
        <is>
          <t>S3-120120</t>
        </is>
      </c>
      <c r="C18" s="5" t="inlineStr">
        <is>
          <t>footing:S</t>
        </is>
      </c>
      <c r="D18" s="5" t="inlineStr">
        <is>
          <t>isolated_footing</t>
        </is>
      </c>
      <c r="E18" s="5" t="n">
        <v>4746.9</v>
      </c>
      <c r="F18" s="5" t="n">
        <v>557.3</v>
      </c>
      <c r="G18" s="5" t="n">
        <v>45</v>
      </c>
      <c r="H18" s="5" t="n">
        <v>12</v>
      </c>
      <c r="I18" s="5" t="inlineStr">
        <is>
          <t>isolated_footing</t>
        </is>
      </c>
      <c r="J18" s="5" t="inlineStr">
        <is>
          <t>yes</t>
        </is>
      </c>
      <c r="K18" s="5" t="n">
        <v>45</v>
      </c>
      <c r="L18" s="5" t="n">
        <v>0.21</v>
      </c>
      <c r="M18" s="5" t="n">
        <v>0</v>
      </c>
      <c r="N18" s="5" t="inlineStr">
        <is>
          <t>yes</t>
        </is>
      </c>
    </row>
    <row r="19">
      <c r="A19" s="5" t="n">
        <v>18</v>
      </c>
      <c r="B19" s="5" t="inlineStr">
        <is>
          <t>S7-120120</t>
        </is>
      </c>
      <c r="C19" s="5" t="inlineStr">
        <is>
          <t>footing:S</t>
        </is>
      </c>
      <c r="D19" s="5" t="inlineStr">
        <is>
          <t>isolated_footing</t>
        </is>
      </c>
      <c r="E19" s="5" t="n">
        <v>4511.5</v>
      </c>
      <c r="F19" s="5" t="n">
        <v>731.2</v>
      </c>
      <c r="G19" s="5" t="n">
        <v>49</v>
      </c>
      <c r="H19" s="5" t="n">
        <v>13</v>
      </c>
      <c r="I19" s="5" t="inlineStr">
        <is>
          <t>isolated_footing</t>
        </is>
      </c>
      <c r="J19" s="5" t="inlineStr">
        <is>
          <t>yes</t>
        </is>
      </c>
      <c r="K19" s="5" t="n">
        <v>49</v>
      </c>
      <c r="L19" s="5" t="n">
        <v>0.18</v>
      </c>
      <c r="M19" s="5" t="n">
        <v>0</v>
      </c>
      <c r="N19" s="5" t="inlineStr">
        <is>
          <t>yes</t>
        </is>
      </c>
    </row>
    <row r="20">
      <c r="A20" s="5" t="n">
        <v>19</v>
      </c>
      <c r="B20" s="5" t="inlineStr">
        <is>
          <t>S0-121</t>
        </is>
      </c>
      <c r="C20" s="5" t="inlineStr">
        <is>
          <t>footing:S</t>
        </is>
      </c>
      <c r="D20" s="5" t="inlineStr">
        <is>
          <t>isolated_footing</t>
        </is>
      </c>
      <c r="E20" s="5" t="n">
        <v>4581.2</v>
      </c>
      <c r="F20" s="5" t="n">
        <v>1482.3</v>
      </c>
      <c r="G20" s="5" t="n">
        <v>120</v>
      </c>
      <c r="H20" s="5" t="n">
        <v>12</v>
      </c>
      <c r="I20" s="5" t="inlineStr">
        <is>
          <t>isolated_footing</t>
        </is>
      </c>
      <c r="J20" s="5" t="inlineStr">
        <is>
          <t>yes</t>
        </is>
      </c>
      <c r="K20" s="5" t="n">
        <v>120</v>
      </c>
      <c r="L20" s="5" t="n">
        <v>0.2</v>
      </c>
      <c r="M20" s="5" t="n">
        <v>0</v>
      </c>
      <c r="N20" s="5" t="inlineStr">
        <is>
          <t>yes</t>
        </is>
      </c>
    </row>
    <row r="21">
      <c r="A21" s="5" t="n">
        <v>20</v>
      </c>
      <c r="B21" s="5" t="inlineStr">
        <is>
          <t>S7-120120</t>
        </is>
      </c>
      <c r="C21" s="5" t="inlineStr">
        <is>
          <t>footing:S</t>
        </is>
      </c>
      <c r="D21" s="5" t="inlineStr">
        <is>
          <t>isolated_footing</t>
        </is>
      </c>
      <c r="E21" s="5" t="n">
        <v>4509.4</v>
      </c>
      <c r="F21" s="5" t="n">
        <v>1022.9</v>
      </c>
      <c r="G21" s="5" t="n">
        <v>50</v>
      </c>
      <c r="H21" s="5" t="n">
        <v>13</v>
      </c>
      <c r="I21" s="5" t="inlineStr">
        <is>
          <t>isolated_footing</t>
        </is>
      </c>
      <c r="J21" s="5" t="inlineStr">
        <is>
          <t>yes</t>
        </is>
      </c>
      <c r="K21" s="5" t="n">
        <v>50</v>
      </c>
      <c r="L21" s="5" t="n">
        <v>0.15</v>
      </c>
      <c r="M21" s="5" t="n">
        <v>0</v>
      </c>
      <c r="N21" s="5" t="inlineStr">
        <is>
          <t>yes</t>
        </is>
      </c>
    </row>
    <row r="22">
      <c r="A22" s="5" t="n">
        <v>21</v>
      </c>
      <c r="B22" s="5" t="inlineStr">
        <is>
          <t>S2-122122</t>
        </is>
      </c>
      <c r="C22" s="5" t="inlineStr">
        <is>
          <t>footing:S</t>
        </is>
      </c>
      <c r="D22" s="5" t="inlineStr">
        <is>
          <t>isolated_footing</t>
        </is>
      </c>
      <c r="E22" s="5" t="n">
        <v>4294.8</v>
      </c>
      <c r="F22" s="5" t="n">
        <v>2295.8</v>
      </c>
      <c r="G22" s="5" t="n">
        <v>246</v>
      </c>
      <c r="H22" s="5" t="n">
        <v>12</v>
      </c>
      <c r="I22" s="5" t="inlineStr">
        <is>
          <t>isolated_footing</t>
        </is>
      </c>
      <c r="J22" s="5" t="inlineStr">
        <is>
          <t>yes</t>
        </is>
      </c>
      <c r="K22" s="5" t="n">
        <v>246</v>
      </c>
      <c r="L22" s="5" t="n">
        <v>0.22</v>
      </c>
      <c r="M22" s="5" t="n">
        <v>0</v>
      </c>
      <c r="N22" s="5" t="inlineStr">
        <is>
          <t>yes</t>
        </is>
      </c>
    </row>
    <row r="23">
      <c r="A23" s="5" t="n">
        <v>22</v>
      </c>
      <c r="B23" s="5" t="inlineStr">
        <is>
          <t>S2-122122</t>
        </is>
      </c>
      <c r="C23" s="5" t="inlineStr">
        <is>
          <t>footing:S</t>
        </is>
      </c>
      <c r="D23" s="5" t="inlineStr">
        <is>
          <t>isolated_footing</t>
        </is>
      </c>
      <c r="E23" s="5" t="n">
        <v>4294.8</v>
      </c>
      <c r="F23" s="5" t="n">
        <v>2526</v>
      </c>
      <c r="G23" s="5" t="n">
        <v>244</v>
      </c>
      <c r="H23" s="5" t="n">
        <v>12</v>
      </c>
      <c r="I23" s="5" t="inlineStr">
        <is>
          <t>isolated_footing</t>
        </is>
      </c>
      <c r="J23" s="5" t="inlineStr">
        <is>
          <t>yes</t>
        </is>
      </c>
      <c r="K23" s="5" t="n">
        <v>244</v>
      </c>
      <c r="L23" s="5" t="n">
        <v>0.22</v>
      </c>
      <c r="M23" s="5" t="n">
        <v>0</v>
      </c>
      <c r="N23" s="5" t="inlineStr">
        <is>
          <t>yes</t>
        </is>
      </c>
    </row>
    <row r="24">
      <c r="A24" s="5" t="n">
        <v>23</v>
      </c>
      <c r="B24" s="5" t="inlineStr">
        <is>
          <t>S2-122122</t>
        </is>
      </c>
      <c r="C24" s="5" t="inlineStr">
        <is>
          <t>footing:S</t>
        </is>
      </c>
      <c r="D24" s="5" t="inlineStr">
        <is>
          <t>isolated_footing</t>
        </is>
      </c>
      <c r="E24" s="5" t="n">
        <v>4294.8</v>
      </c>
      <c r="F24" s="5" t="n">
        <v>2756.2</v>
      </c>
      <c r="G24" s="5" t="n">
        <v>245</v>
      </c>
      <c r="H24" s="5" t="n">
        <v>12</v>
      </c>
      <c r="I24" s="5" t="inlineStr">
        <is>
          <t>isolated_footing</t>
        </is>
      </c>
      <c r="J24" s="5" t="inlineStr">
        <is>
          <t>yes</t>
        </is>
      </c>
      <c r="K24" s="5" t="n">
        <v>245</v>
      </c>
      <c r="L24" s="5" t="n">
        <v>0.23</v>
      </c>
      <c r="M24" s="5" t="n">
        <v>0</v>
      </c>
      <c r="N24" s="5" t="inlineStr">
        <is>
          <t>yes</t>
        </is>
      </c>
    </row>
    <row r="25">
      <c r="A25" s="5" t="n">
        <v>24</v>
      </c>
      <c r="B25" s="5" t="inlineStr">
        <is>
          <t>SC1-</t>
        </is>
      </c>
      <c r="C25" s="5" t="inlineStr">
        <is>
          <t>footing:SC</t>
        </is>
      </c>
      <c r="D25" s="5" t="inlineStr">
        <is>
          <t>combined_footing</t>
        </is>
      </c>
      <c r="E25" s="5" t="n">
        <v>4714.6</v>
      </c>
      <c r="F25" s="5" t="n">
        <v>2193.8</v>
      </c>
      <c r="G25" s="5" t="n">
        <v>129</v>
      </c>
      <c r="H25" s="5" t="n">
        <v>14</v>
      </c>
      <c r="I25" s="5" t="inlineStr">
        <is>
          <t>combined_footing</t>
        </is>
      </c>
      <c r="J25" s="5" t="inlineStr">
        <is>
          <t>yes</t>
        </is>
      </c>
      <c r="K25" s="5" t="n">
        <v>129</v>
      </c>
      <c r="L25" s="5" t="n">
        <v>0.23</v>
      </c>
      <c r="M25" s="5" t="n">
        <v>0</v>
      </c>
      <c r="N25" s="5" t="inlineStr">
        <is>
          <t>yes</t>
        </is>
      </c>
    </row>
    <row r="26">
      <c r="A26" s="5" t="n">
        <v>25</v>
      </c>
      <c r="B26" s="5" t="inlineStr">
        <is>
          <t>SC3-</t>
        </is>
      </c>
      <c r="C26" s="5" t="inlineStr">
        <is>
          <t>footing:SC</t>
        </is>
      </c>
      <c r="D26" s="5" t="inlineStr">
        <is>
          <t>combined_footing</t>
        </is>
      </c>
      <c r="E26" s="5" t="n">
        <v>4482.3</v>
      </c>
      <c r="F26" s="5" t="n">
        <v>2210.4</v>
      </c>
      <c r="G26" s="5" t="n">
        <v>248</v>
      </c>
      <c r="H26" s="5" t="n">
        <v>14</v>
      </c>
      <c r="I26" s="5" t="inlineStr">
        <is>
          <t>combined_footing</t>
        </is>
      </c>
      <c r="J26" s="5" t="inlineStr">
        <is>
          <t>yes</t>
        </is>
      </c>
      <c r="K26" s="5" t="n">
        <v>248</v>
      </c>
      <c r="L26" s="5" t="n">
        <v>0.25</v>
      </c>
      <c r="M26" s="5" t="n">
        <v>0</v>
      </c>
      <c r="N26" s="5" t="inlineStr">
        <is>
          <t>yes</t>
        </is>
      </c>
    </row>
    <row r="27">
      <c r="A27" s="5" t="n">
        <v>26</v>
      </c>
      <c r="B27" s="5" t="inlineStr">
        <is>
          <t>SC1-</t>
        </is>
      </c>
      <c r="C27" s="5" t="inlineStr">
        <is>
          <t>footing:SC</t>
        </is>
      </c>
      <c r="D27" s="5" t="inlineStr">
        <is>
          <t>combined_footing</t>
        </is>
      </c>
      <c r="E27" s="5" t="n">
        <v>4267.7</v>
      </c>
      <c r="F27" s="5" t="n">
        <v>2194.8</v>
      </c>
      <c r="G27" s="5" t="n">
        <v>128</v>
      </c>
      <c r="H27" s="5" t="n">
        <v>14</v>
      </c>
      <c r="I27" s="5" t="inlineStr">
        <is>
          <t>combined_footing</t>
        </is>
      </c>
      <c r="J27" s="5" t="inlineStr">
        <is>
          <t>yes</t>
        </is>
      </c>
      <c r="K27" s="5" t="n">
        <v>128</v>
      </c>
      <c r="L27" s="5" t="n">
        <v>0.24</v>
      </c>
      <c r="M27" s="5" t="n">
        <v>0</v>
      </c>
      <c r="N27" s="5" t="inlineStr">
        <is>
          <t>yes</t>
        </is>
      </c>
    </row>
    <row r="28">
      <c r="A28" s="5" t="n">
        <v>27</v>
      </c>
      <c r="B28" s="5" t="inlineStr">
        <is>
          <t>S11-122122</t>
        </is>
      </c>
      <c r="C28" s="5" t="inlineStr">
        <is>
          <t>footing:S</t>
        </is>
      </c>
      <c r="D28" s="5" t="inlineStr">
        <is>
          <t>isolated_footing</t>
        </is>
      </c>
      <c r="E28" s="5" t="n">
        <v>4510.4</v>
      </c>
      <c r="F28" s="5" t="n">
        <v>2393.8</v>
      </c>
      <c r="G28" s="5" t="n">
        <v>239</v>
      </c>
      <c r="H28" s="5" t="n">
        <v>13</v>
      </c>
      <c r="I28" s="5" t="inlineStr">
        <is>
          <t>isolated_footing</t>
        </is>
      </c>
      <c r="J28" s="5" t="inlineStr">
        <is>
          <t>yes</t>
        </is>
      </c>
      <c r="K28" s="5" t="n">
        <v>239</v>
      </c>
      <c r="L28" s="5" t="n">
        <v>0.19</v>
      </c>
      <c r="M28" s="5" t="n">
        <v>0</v>
      </c>
      <c r="N28" s="5" t="inlineStr">
        <is>
          <t>yes</t>
        </is>
      </c>
    </row>
    <row r="29">
      <c r="A29" s="5" t="n">
        <v>28</v>
      </c>
      <c r="B29" s="5" t="inlineStr">
        <is>
          <t>S10-122122</t>
        </is>
      </c>
      <c r="C29" s="5" t="inlineStr">
        <is>
          <t>footing:S</t>
        </is>
      </c>
      <c r="D29" s="5" t="inlineStr">
        <is>
          <t>isolated_footing</t>
        </is>
      </c>
      <c r="E29" s="5" t="n">
        <v>4511.5</v>
      </c>
      <c r="F29" s="5" t="n">
        <v>2550</v>
      </c>
      <c r="G29" s="5" t="n">
        <v>237</v>
      </c>
      <c r="H29" s="5" t="n">
        <v>13</v>
      </c>
      <c r="I29" s="5" t="inlineStr">
        <is>
          <t>isolated_footing</t>
        </is>
      </c>
      <c r="J29" s="5" t="inlineStr">
        <is>
          <t>yes</t>
        </is>
      </c>
      <c r="K29" s="5" t="n">
        <v>237</v>
      </c>
      <c r="L29" s="5" t="n">
        <v>0.23</v>
      </c>
      <c r="M29" s="5" t="n">
        <v>0</v>
      </c>
      <c r="N29" s="5" t="inlineStr">
        <is>
          <t>yes</t>
        </is>
      </c>
    </row>
    <row r="30">
      <c r="A30" s="5" t="n">
        <v>29</v>
      </c>
      <c r="B30" s="5" t="inlineStr">
        <is>
          <t>S10-122122</t>
        </is>
      </c>
      <c r="C30" s="5" t="inlineStr">
        <is>
          <t>footing:S</t>
        </is>
      </c>
      <c r="D30" s="5" t="inlineStr">
        <is>
          <t>isolated_footing</t>
        </is>
      </c>
      <c r="E30" s="5" t="n">
        <v>4510.4</v>
      </c>
      <c r="F30" s="5" t="n">
        <v>2666.7</v>
      </c>
      <c r="G30" s="5" t="n">
        <v>236</v>
      </c>
      <c r="H30" s="5" t="n">
        <v>13</v>
      </c>
      <c r="I30" s="5" t="inlineStr">
        <is>
          <t>isolated_footing</t>
        </is>
      </c>
      <c r="J30" s="5" t="inlineStr">
        <is>
          <t>yes</t>
        </is>
      </c>
      <c r="K30" s="5" t="n">
        <v>236</v>
      </c>
      <c r="L30" s="5" t="n">
        <v>0.23</v>
      </c>
      <c r="M30" s="5" t="n">
        <v>0</v>
      </c>
      <c r="N30" s="5" t="inlineStr">
        <is>
          <t>yes</t>
        </is>
      </c>
    </row>
    <row r="31">
      <c r="A31" s="5" t="n">
        <v>30</v>
      </c>
      <c r="B31" s="5" t="inlineStr">
        <is>
          <t>S11-122122</t>
        </is>
      </c>
      <c r="C31" s="5" t="inlineStr">
        <is>
          <t>footing:S</t>
        </is>
      </c>
      <c r="D31" s="5" t="inlineStr">
        <is>
          <t>isolated_footing</t>
        </is>
      </c>
      <c r="E31" s="5" t="n">
        <v>4510.4</v>
      </c>
      <c r="F31" s="5" t="n">
        <v>2881.2</v>
      </c>
      <c r="G31" s="5" t="n">
        <v>240</v>
      </c>
      <c r="H31" s="5" t="n">
        <v>13</v>
      </c>
      <c r="I31" s="5" t="inlineStr">
        <is>
          <t>isolated_footing</t>
        </is>
      </c>
      <c r="J31" s="5" t="inlineStr">
        <is>
          <t>yes</t>
        </is>
      </c>
      <c r="K31" s="5" t="n">
        <v>240</v>
      </c>
      <c r="L31" s="5" t="n">
        <v>0.2</v>
      </c>
      <c r="M31" s="5" t="n">
        <v>0</v>
      </c>
      <c r="N31" s="5" t="inlineStr">
        <is>
          <t>yes</t>
        </is>
      </c>
    </row>
    <row r="32">
      <c r="A32" s="5" t="n">
        <v>31</v>
      </c>
      <c r="B32" s="5" t="inlineStr">
        <is>
          <t>S10-122122</t>
        </is>
      </c>
      <c r="C32" s="5" t="inlineStr">
        <is>
          <t>footing:S</t>
        </is>
      </c>
      <c r="D32" s="5" t="inlineStr">
        <is>
          <t>isolated_footing</t>
        </is>
      </c>
      <c r="E32" s="5" t="n">
        <v>4753.1</v>
      </c>
      <c r="F32" s="5" t="n">
        <v>2370.8</v>
      </c>
      <c r="G32" s="5" t="n">
        <v>235</v>
      </c>
      <c r="H32" s="5" t="n">
        <v>13</v>
      </c>
      <c r="I32" s="5" t="inlineStr">
        <is>
          <t>isolated_footing</t>
        </is>
      </c>
      <c r="J32" s="5" t="inlineStr">
        <is>
          <t>yes</t>
        </is>
      </c>
      <c r="K32" s="5" t="n">
        <v>235</v>
      </c>
      <c r="L32" s="5" t="n">
        <v>0.23</v>
      </c>
      <c r="M32" s="5" t="n">
        <v>0</v>
      </c>
      <c r="N32" s="5" t="inlineStr">
        <is>
          <t>yes</t>
        </is>
      </c>
    </row>
    <row r="33">
      <c r="A33" s="5" t="n">
        <v>32</v>
      </c>
      <c r="B33" s="5" t="inlineStr">
        <is>
          <t>S10-122122</t>
        </is>
      </c>
      <c r="C33" s="5" t="inlineStr">
        <is>
          <t>footing:S</t>
        </is>
      </c>
      <c r="D33" s="5" t="inlineStr">
        <is>
          <t>isolated_footing</t>
        </is>
      </c>
      <c r="E33" s="5" t="n">
        <v>4932.3</v>
      </c>
      <c r="F33" s="5" t="n">
        <v>2549</v>
      </c>
      <c r="G33" s="5" t="n">
        <v>238</v>
      </c>
      <c r="H33" s="5" t="n">
        <v>13</v>
      </c>
      <c r="I33" s="5" t="inlineStr">
        <is>
          <t>isolated_footing</t>
        </is>
      </c>
      <c r="J33" s="5" t="inlineStr">
        <is>
          <t>yes</t>
        </is>
      </c>
      <c r="K33" s="5" t="n">
        <v>238</v>
      </c>
      <c r="L33" s="5" t="n">
        <v>0.23</v>
      </c>
      <c r="M33" s="5" t="n">
        <v>0</v>
      </c>
      <c r="N33" s="5" t="inlineStr">
        <is>
          <t>yes</t>
        </is>
      </c>
    </row>
    <row r="34">
      <c r="A34" s="5" t="n">
        <v>33</v>
      </c>
      <c r="B34" s="5" t="inlineStr">
        <is>
          <t>S5-123123</t>
        </is>
      </c>
      <c r="C34" s="5" t="inlineStr">
        <is>
          <t>footing:S</t>
        </is>
      </c>
      <c r="D34" s="5" t="inlineStr">
        <is>
          <t>isolated_footing</t>
        </is>
      </c>
      <c r="E34" s="5" t="n">
        <v>4474</v>
      </c>
      <c r="F34" s="5" t="n">
        <v>3404.2</v>
      </c>
      <c r="G34" s="5" t="n">
        <v>359</v>
      </c>
      <c r="H34" s="5" t="n">
        <v>13</v>
      </c>
      <c r="I34" s="5" t="inlineStr">
        <is>
          <t>isolated_footing</t>
        </is>
      </c>
      <c r="J34" s="5" t="inlineStr">
        <is>
          <t>yes</t>
        </is>
      </c>
      <c r="K34" s="5" t="n">
        <v>359</v>
      </c>
      <c r="L34" s="5" t="n">
        <v>0.25</v>
      </c>
      <c r="M34" s="5" t="n">
        <v>0</v>
      </c>
      <c r="N34" s="5" t="inlineStr">
        <is>
          <t>yes</t>
        </is>
      </c>
    </row>
    <row r="35">
      <c r="A35" s="5" t="n">
        <v>34</v>
      </c>
      <c r="B35" s="5" t="inlineStr">
        <is>
          <t>SC4-</t>
        </is>
      </c>
      <c r="C35" s="5" t="inlineStr">
        <is>
          <t>footing:SC</t>
        </is>
      </c>
      <c r="D35" s="5" t="inlineStr">
        <is>
          <t>combined_footing</t>
        </is>
      </c>
      <c r="E35" s="5" t="n">
        <v>4388.5</v>
      </c>
      <c r="F35" s="5" t="n">
        <v>3164.6</v>
      </c>
      <c r="G35" s="5" t="n">
        <v>367</v>
      </c>
      <c r="H35" s="5" t="n">
        <v>14</v>
      </c>
      <c r="I35" s="5" t="inlineStr">
        <is>
          <t>combined_footing</t>
        </is>
      </c>
      <c r="J35" s="5" t="inlineStr">
        <is>
          <t>yes</t>
        </is>
      </c>
      <c r="K35" s="5" t="n">
        <v>367</v>
      </c>
      <c r="L35" s="5" t="n">
        <v>0.23</v>
      </c>
      <c r="M35" s="5" t="n">
        <v>0</v>
      </c>
      <c r="N35" s="5" t="inlineStr">
        <is>
          <t>yes</t>
        </is>
      </c>
    </row>
    <row r="36">
      <c r="A36" s="5" t="n">
        <v>35</v>
      </c>
      <c r="B36" s="5" t="inlineStr">
        <is>
          <t>S7-123123</t>
        </is>
      </c>
      <c r="C36" s="5" t="inlineStr">
        <is>
          <t>footing:S</t>
        </is>
      </c>
      <c r="D36" s="5" t="inlineStr">
        <is>
          <t>isolated_footing</t>
        </is>
      </c>
      <c r="E36" s="5" t="n">
        <v>4861.5</v>
      </c>
      <c r="F36" s="5" t="n">
        <v>3382.3</v>
      </c>
      <c r="G36" s="5" t="n">
        <v>361</v>
      </c>
      <c r="H36" s="5" t="n">
        <v>13</v>
      </c>
      <c r="I36" s="5" t="inlineStr">
        <is>
          <t>isolated_footing</t>
        </is>
      </c>
      <c r="J36" s="5" t="inlineStr">
        <is>
          <t>yes</t>
        </is>
      </c>
      <c r="K36" s="5" t="n">
        <v>361</v>
      </c>
      <c r="L36" s="5" t="n">
        <v>0.18</v>
      </c>
      <c r="M36" s="5" t="n">
        <v>0</v>
      </c>
      <c r="N36" s="5" t="inlineStr">
        <is>
          <t>yes</t>
        </is>
      </c>
    </row>
    <row r="37">
      <c r="A37" s="5" t="n">
        <v>36</v>
      </c>
      <c r="B37" s="5" t="inlineStr">
        <is>
          <t>S7-123123</t>
        </is>
      </c>
      <c r="C37" s="5" t="inlineStr">
        <is>
          <t>footing:S</t>
        </is>
      </c>
      <c r="D37" s="5" t="inlineStr">
        <is>
          <t>isolated_footing</t>
        </is>
      </c>
      <c r="E37" s="5" t="n">
        <v>4671.9</v>
      </c>
      <c r="F37" s="5" t="n">
        <v>3395.8</v>
      </c>
      <c r="G37" s="5" t="n">
        <v>362</v>
      </c>
      <c r="H37" s="5" t="n">
        <v>13</v>
      </c>
      <c r="I37" s="5" t="inlineStr">
        <is>
          <t>isolated_footing</t>
        </is>
      </c>
      <c r="J37" s="5" t="inlineStr">
        <is>
          <t>yes</t>
        </is>
      </c>
      <c r="K37" s="5" t="n">
        <v>362</v>
      </c>
      <c r="L37" s="5" t="n">
        <v>0.17</v>
      </c>
      <c r="M37" s="5" t="n">
        <v>0</v>
      </c>
      <c r="N37" s="5" t="inlineStr">
        <is>
          <t>yes</t>
        </is>
      </c>
    </row>
    <row r="38">
      <c r="A38" s="5" t="n">
        <v>37</v>
      </c>
      <c r="B38" s="5" t="inlineStr">
        <is>
          <t>S12-122122</t>
        </is>
      </c>
      <c r="C38" s="5" t="inlineStr">
        <is>
          <t>footing:S</t>
        </is>
      </c>
      <c r="D38" s="5" t="inlineStr">
        <is>
          <t>isolated_footing</t>
        </is>
      </c>
      <c r="E38" s="5" t="n">
        <v>4588.5</v>
      </c>
      <c r="F38" s="5" t="n">
        <v>2744.8</v>
      </c>
      <c r="G38" s="5" t="n">
        <v>241</v>
      </c>
      <c r="H38" s="5" t="n">
        <v>12</v>
      </c>
      <c r="I38" s="5" t="inlineStr">
        <is>
          <t>isolated_footing</t>
        </is>
      </c>
      <c r="J38" s="5" t="inlineStr">
        <is>
          <t>yes</t>
        </is>
      </c>
      <c r="K38" s="5" t="n">
        <v>241</v>
      </c>
      <c r="L38" s="5" t="n">
        <v>0.21</v>
      </c>
      <c r="M38" s="5" t="n">
        <v>0</v>
      </c>
      <c r="N38" s="5" t="inlineStr">
        <is>
          <t>yes</t>
        </is>
      </c>
    </row>
    <row r="39">
      <c r="A39" s="5" t="n">
        <v>38</v>
      </c>
      <c r="B39" s="5" t="inlineStr">
        <is>
          <t>S12-122122</t>
        </is>
      </c>
      <c r="C39" s="5" t="inlineStr">
        <is>
          <t>footing:S</t>
        </is>
      </c>
      <c r="D39" s="5" t="inlineStr">
        <is>
          <t>isolated_footing</t>
        </is>
      </c>
      <c r="E39" s="5" t="n">
        <v>4296.9</v>
      </c>
      <c r="F39" s="5" t="n">
        <v>2931.2</v>
      </c>
      <c r="G39" s="5" t="n">
        <v>242</v>
      </c>
      <c r="H39" s="5" t="n">
        <v>12</v>
      </c>
      <c r="I39" s="5" t="inlineStr">
        <is>
          <t>isolated_footing</t>
        </is>
      </c>
      <c r="J39" s="5" t="inlineStr">
        <is>
          <t>yes</t>
        </is>
      </c>
      <c r="K39" s="5" t="n">
        <v>242</v>
      </c>
      <c r="L39" s="5" t="n">
        <v>0.23</v>
      </c>
      <c r="M39" s="5" t="n">
        <v>0</v>
      </c>
      <c r="N39" s="5" t="inlineStr">
        <is>
          <t>yes</t>
        </is>
      </c>
    </row>
    <row r="40">
      <c r="A40" s="5" t="n">
        <v>39</v>
      </c>
      <c r="B40" s="5" t="inlineStr">
        <is>
          <t>SC3-</t>
        </is>
      </c>
      <c r="C40" s="5" t="inlineStr">
        <is>
          <t>footing:SC</t>
        </is>
      </c>
      <c r="D40" s="5" t="inlineStr">
        <is>
          <t>combined_footing</t>
        </is>
      </c>
      <c r="E40" s="5" t="n">
        <v>4190.6</v>
      </c>
      <c r="F40" s="5" t="n">
        <v>3043.8</v>
      </c>
      <c r="G40" s="5" t="n">
        <v>432</v>
      </c>
      <c r="H40" s="5" t="n">
        <v>23</v>
      </c>
      <c r="I40" s="5" t="inlineStr">
        <is>
          <t>combined_footing</t>
        </is>
      </c>
      <c r="J40" s="5" t="inlineStr">
        <is>
          <t>yes</t>
        </is>
      </c>
      <c r="K40" s="5" t="n">
        <v>432</v>
      </c>
      <c r="L40" s="5" t="n">
        <v>0.18</v>
      </c>
      <c r="M40" s="5" t="n">
        <v>0</v>
      </c>
      <c r="N40" s="5" t="inlineStr">
        <is>
          <t>yes</t>
        </is>
      </c>
    </row>
    <row r="41">
      <c r="A41" s="5" t="n">
        <v>40</v>
      </c>
      <c r="B41" s="5" t="inlineStr">
        <is>
          <t>SC2-</t>
        </is>
      </c>
      <c r="C41" s="5" t="inlineStr">
        <is>
          <t>footing:SC</t>
        </is>
      </c>
      <c r="D41" s="5" t="inlineStr">
        <is>
          <t>combined_footing</t>
        </is>
      </c>
      <c r="E41" s="5" t="n">
        <v>4205.2</v>
      </c>
      <c r="F41" s="5" t="n">
        <v>2952.1</v>
      </c>
      <c r="G41" s="5" t="n">
        <v>400</v>
      </c>
      <c r="H41" s="5" t="n">
        <v>31</v>
      </c>
      <c r="I41" s="5" t="inlineStr">
        <is>
          <t>shear_wall</t>
        </is>
      </c>
      <c r="J41" s="5" t="inlineStr">
        <is>
          <t>no</t>
        </is>
      </c>
      <c r="K41" s="5" t="n">
        <v>247</v>
      </c>
      <c r="L41" s="5" t="n">
        <v>0.25</v>
      </c>
      <c r="M41" s="5" t="n">
        <v>0</v>
      </c>
      <c r="N41" s="5" t="inlineStr">
        <is>
          <t>yes</t>
        </is>
      </c>
    </row>
    <row r="42">
      <c r="A42" s="5" t="n">
        <v>41</v>
      </c>
      <c r="B42" s="5" t="inlineStr">
        <is>
          <t>S2-122122</t>
        </is>
      </c>
      <c r="C42" s="5" t="inlineStr">
        <is>
          <t>footing:S</t>
        </is>
      </c>
      <c r="D42" s="5" t="inlineStr">
        <is>
          <t>isolated_footing</t>
        </is>
      </c>
      <c r="E42" s="5" t="n">
        <v>4239.6</v>
      </c>
      <c r="F42" s="5" t="n">
        <v>2794.8</v>
      </c>
      <c r="G42" s="5" t="n">
        <v>243</v>
      </c>
      <c r="H42" s="5" t="n">
        <v>12</v>
      </c>
      <c r="I42" s="5" t="inlineStr">
        <is>
          <t>isolated_footing</t>
        </is>
      </c>
      <c r="J42" s="5" t="inlineStr">
        <is>
          <t>yes</t>
        </is>
      </c>
      <c r="K42" s="5" t="n">
        <v>243</v>
      </c>
      <c r="L42" s="5" t="n">
        <v>0.43</v>
      </c>
      <c r="M42" s="5" t="n">
        <v>0</v>
      </c>
      <c r="N42" s="5" t="inlineStr">
        <is>
          <t>yes</t>
        </is>
      </c>
    </row>
    <row r="43">
      <c r="A43" s="5" t="n">
        <v>42</v>
      </c>
      <c r="B43" s="5" t="inlineStr">
        <is>
          <t>SC1-</t>
        </is>
      </c>
      <c r="C43" s="5" t="inlineStr">
        <is>
          <t>footing:SC</t>
        </is>
      </c>
      <c r="D43" s="5" t="inlineStr">
        <is>
          <t>combined_footing</t>
        </is>
      </c>
      <c r="E43" s="5" t="n">
        <v>4289.6</v>
      </c>
      <c r="F43" s="5" t="n">
        <v>3508.3</v>
      </c>
      <c r="G43" s="5" t="n">
        <v>365</v>
      </c>
      <c r="H43" s="5" t="n">
        <v>14</v>
      </c>
      <c r="I43" s="5" t="inlineStr">
        <is>
          <t>combined_footing</t>
        </is>
      </c>
      <c r="J43" s="5" t="inlineStr">
        <is>
          <t>yes</t>
        </is>
      </c>
      <c r="K43" s="5" t="n">
        <v>365</v>
      </c>
      <c r="L43" s="5" t="n">
        <v>0.32</v>
      </c>
      <c r="M43" s="5" t="n">
        <v>0</v>
      </c>
      <c r="N43" s="5" t="inlineStr">
        <is>
          <t>yes</t>
        </is>
      </c>
    </row>
    <row r="44">
      <c r="A44" s="5" t="n">
        <v>43</v>
      </c>
      <c r="B44" s="5" t="inlineStr">
        <is>
          <t>S7-123123</t>
        </is>
      </c>
      <c r="C44" s="5" t="inlineStr">
        <is>
          <t>footing:S</t>
        </is>
      </c>
      <c r="D44" s="5" t="inlineStr">
        <is>
          <t>isolated_footing</t>
        </is>
      </c>
      <c r="E44" s="5" t="n">
        <v>4488.5</v>
      </c>
      <c r="F44" s="5" t="n">
        <v>3454.2</v>
      </c>
      <c r="G44" s="5" t="n">
        <v>364</v>
      </c>
      <c r="H44" s="5" t="n">
        <v>13</v>
      </c>
      <c r="I44" s="5" t="inlineStr">
        <is>
          <t>isolated_footing</t>
        </is>
      </c>
      <c r="J44" s="5" t="inlineStr">
        <is>
          <t>yes</t>
        </is>
      </c>
      <c r="K44" s="5" t="n">
        <v>364</v>
      </c>
      <c r="L44" s="5" t="n">
        <v>0.18</v>
      </c>
      <c r="M44" s="5" t="n">
        <v>0</v>
      </c>
      <c r="N44" s="5" t="inlineStr">
        <is>
          <t>yes</t>
        </is>
      </c>
    </row>
    <row r="45">
      <c r="A45" s="5" t="n">
        <v>44</v>
      </c>
      <c r="B45" s="5" t="inlineStr">
        <is>
          <t>S7-123123</t>
        </is>
      </c>
      <c r="C45" s="5" t="inlineStr">
        <is>
          <t>footing:S</t>
        </is>
      </c>
      <c r="D45" s="5" t="inlineStr">
        <is>
          <t>isolated_footing</t>
        </is>
      </c>
      <c r="E45" s="5" t="n">
        <v>4949</v>
      </c>
      <c r="F45" s="5" t="n">
        <v>3280.2</v>
      </c>
      <c r="G45" s="5" t="n">
        <v>363</v>
      </c>
      <c r="H45" s="5" t="n">
        <v>13</v>
      </c>
      <c r="I45" s="5" t="inlineStr">
        <is>
          <t>isolated_footing</t>
        </is>
      </c>
      <c r="J45" s="5" t="inlineStr">
        <is>
          <t>yes</t>
        </is>
      </c>
      <c r="K45" s="5" t="n">
        <v>363</v>
      </c>
      <c r="L45" s="5" t="n">
        <v>0.08</v>
      </c>
      <c r="M45" s="5" t="n">
        <v>0</v>
      </c>
      <c r="N45" s="5" t="inlineStr">
        <is>
          <t>yes</t>
        </is>
      </c>
    </row>
    <row r="46">
      <c r="A46" s="5" t="n">
        <v>45</v>
      </c>
      <c r="B46" s="5" t="inlineStr">
        <is>
          <t>S7-123123</t>
        </is>
      </c>
      <c r="C46" s="5" t="inlineStr">
        <is>
          <t>footing:S</t>
        </is>
      </c>
      <c r="D46" s="5" t="inlineStr">
        <is>
          <t>isolated_footing</t>
        </is>
      </c>
      <c r="E46" s="5" t="n">
        <v>4942.7</v>
      </c>
      <c r="F46" s="5" t="n">
        <v>3104.2</v>
      </c>
      <c r="G46" s="5" t="n">
        <v>360</v>
      </c>
      <c r="H46" s="5" t="n">
        <v>13</v>
      </c>
      <c r="I46" s="5" t="inlineStr">
        <is>
          <t>isolated_footing</t>
        </is>
      </c>
      <c r="J46" s="5" t="inlineStr">
        <is>
          <t>yes</t>
        </is>
      </c>
      <c r="K46" s="5" t="n">
        <v>360</v>
      </c>
      <c r="L46" s="5" t="n">
        <v>0.1</v>
      </c>
      <c r="M46" s="5" t="n">
        <v>0</v>
      </c>
      <c r="N46" s="5" t="inlineStr">
        <is>
          <t>yes</t>
        </is>
      </c>
    </row>
    <row r="47">
      <c r="A47" s="5" t="n">
        <v>46</v>
      </c>
      <c r="B47" s="5" t="inlineStr">
        <is>
          <t>S2-124124</t>
        </is>
      </c>
      <c r="C47" s="5" t="inlineStr">
        <is>
          <t>footing:S</t>
        </is>
      </c>
      <c r="D47" s="5" t="inlineStr">
        <is>
          <t>isolated_footing</t>
        </is>
      </c>
      <c r="E47" s="5" t="n">
        <v>3969.8</v>
      </c>
      <c r="F47" s="5" t="n">
        <v>2878.1</v>
      </c>
      <c r="G47" s="5" t="n">
        <v>426</v>
      </c>
      <c r="H47" s="5" t="n">
        <v>12</v>
      </c>
      <c r="I47" s="5" t="inlineStr">
        <is>
          <t>isolated_footing</t>
        </is>
      </c>
      <c r="J47" s="5" t="inlineStr">
        <is>
          <t>yes</t>
        </is>
      </c>
      <c r="K47" s="5" t="n">
        <v>426</v>
      </c>
      <c r="L47" s="5" t="n">
        <v>0.18</v>
      </c>
      <c r="M47" s="5" t="n">
        <v>0</v>
      </c>
      <c r="N47" s="5" t="inlineStr">
        <is>
          <t>yes</t>
        </is>
      </c>
    </row>
    <row r="48">
      <c r="A48" s="5" t="n">
        <v>47</v>
      </c>
      <c r="B48" s="5" t="inlineStr">
        <is>
          <t>S2-124124</t>
        </is>
      </c>
      <c r="C48" s="5" t="inlineStr">
        <is>
          <t>footing:S</t>
        </is>
      </c>
      <c r="D48" s="5" t="inlineStr">
        <is>
          <t>isolated_footing</t>
        </is>
      </c>
      <c r="E48" s="5" t="n">
        <v>3742.7</v>
      </c>
      <c r="F48" s="5" t="n">
        <v>2908.3</v>
      </c>
      <c r="G48" s="5" t="n">
        <v>427</v>
      </c>
      <c r="H48" s="5" t="n">
        <v>12</v>
      </c>
      <c r="I48" s="5" t="inlineStr">
        <is>
          <t>isolated_footing</t>
        </is>
      </c>
      <c r="J48" s="5" t="inlineStr">
        <is>
          <t>yes</t>
        </is>
      </c>
      <c r="K48" s="5" t="n">
        <v>427</v>
      </c>
      <c r="L48" s="5" t="n">
        <v>0.19</v>
      </c>
      <c r="M48" s="5" t="n">
        <v>0</v>
      </c>
      <c r="N48" s="5" t="inlineStr">
        <is>
          <t>yes</t>
        </is>
      </c>
    </row>
    <row r="49">
      <c r="A49" s="5" t="n">
        <v>48</v>
      </c>
      <c r="B49" s="5" t="inlineStr">
        <is>
          <t>S11-124124</t>
        </is>
      </c>
      <c r="C49" s="5" t="inlineStr">
        <is>
          <t>footing:S</t>
        </is>
      </c>
      <c r="D49" s="5" t="inlineStr">
        <is>
          <t>isolated_footing</t>
        </is>
      </c>
      <c r="E49" s="5" t="n">
        <v>3785.4</v>
      </c>
      <c r="F49" s="5" t="n">
        <v>3550</v>
      </c>
      <c r="G49" s="5" t="n">
        <v>425</v>
      </c>
      <c r="H49" s="5" t="n">
        <v>13</v>
      </c>
      <c r="I49" s="5" t="inlineStr">
        <is>
          <t>isolated_footing</t>
        </is>
      </c>
      <c r="J49" s="5" t="inlineStr">
        <is>
          <t>yes</t>
        </is>
      </c>
      <c r="K49" s="5" t="n">
        <v>425</v>
      </c>
      <c r="L49" s="5" t="n">
        <v>0.27</v>
      </c>
      <c r="M49" s="5" t="n">
        <v>0</v>
      </c>
      <c r="N49" s="5" t="inlineStr">
        <is>
          <t>yes</t>
        </is>
      </c>
    </row>
    <row r="50">
      <c r="A50" s="5" t="n">
        <v>49</v>
      </c>
      <c r="B50" s="5" t="inlineStr">
        <is>
          <t>SC2-</t>
        </is>
      </c>
      <c r="C50" s="5" t="inlineStr">
        <is>
          <t>footing:SC</t>
        </is>
      </c>
      <c r="D50" s="5" t="inlineStr">
        <is>
          <t>combined_footing</t>
        </is>
      </c>
      <c r="E50" s="5" t="n">
        <v>3524</v>
      </c>
      <c r="F50" s="5" t="n">
        <v>3053.1</v>
      </c>
      <c r="G50" s="5" t="n">
        <v>430</v>
      </c>
      <c r="H50" s="5" t="n">
        <v>15</v>
      </c>
      <c r="I50" s="5" t="inlineStr">
        <is>
          <t>combined_footing</t>
        </is>
      </c>
      <c r="J50" s="5" t="inlineStr">
        <is>
          <t>yes</t>
        </is>
      </c>
      <c r="K50" s="5" t="n">
        <v>430</v>
      </c>
      <c r="L50" s="5" t="n">
        <v>0.24</v>
      </c>
      <c r="M50" s="5" t="n">
        <v>0</v>
      </c>
      <c r="N50" s="5" t="inlineStr">
        <is>
          <t>yes</t>
        </is>
      </c>
    </row>
    <row r="51">
      <c r="A51" s="5" t="n">
        <v>50</v>
      </c>
      <c r="B51" s="5" t="inlineStr">
        <is>
          <t>S10-</t>
        </is>
      </c>
      <c r="C51" s="5" t="inlineStr">
        <is>
          <t>footing:S</t>
        </is>
      </c>
      <c r="D51" s="5" t="inlineStr">
        <is>
          <t>isolated_footing</t>
        </is>
      </c>
      <c r="E51" s="5" t="n">
        <v>3072.9</v>
      </c>
      <c r="F51" s="5" t="n">
        <v>3284.4</v>
      </c>
      <c r="G51" s="5" t="n">
        <v>505</v>
      </c>
      <c r="H51" s="5" t="n">
        <v>13</v>
      </c>
      <c r="I51" s="5" t="inlineStr">
        <is>
          <t>isolated_footing</t>
        </is>
      </c>
      <c r="J51" s="5" t="inlineStr">
        <is>
          <t>yes</t>
        </is>
      </c>
      <c r="K51" s="5" t="n">
        <v>505</v>
      </c>
      <c r="L51" s="5" t="n">
        <v>0.21</v>
      </c>
      <c r="M51" s="5" t="n">
        <v>0</v>
      </c>
      <c r="N51" s="5" t="inlineStr">
        <is>
          <t>yes</t>
        </is>
      </c>
    </row>
    <row r="52">
      <c r="A52" s="5" t="n">
        <v>51</v>
      </c>
      <c r="B52" s="5" t="inlineStr">
        <is>
          <t>S10-125125</t>
        </is>
      </c>
      <c r="C52" s="5" t="inlineStr">
        <is>
          <t>footing:S</t>
        </is>
      </c>
      <c r="D52" s="5" t="inlineStr">
        <is>
          <t>isolated_footing</t>
        </is>
      </c>
      <c r="E52" s="5" t="n">
        <v>3236.5</v>
      </c>
      <c r="F52" s="5" t="n">
        <v>3237.5</v>
      </c>
      <c r="G52" s="5" t="n">
        <v>506</v>
      </c>
      <c r="H52" s="5" t="n">
        <v>13</v>
      </c>
      <c r="I52" s="5" t="inlineStr">
        <is>
          <t>isolated_footing</t>
        </is>
      </c>
      <c r="J52" s="5" t="inlineStr">
        <is>
          <t>yes</t>
        </is>
      </c>
      <c r="K52" s="5" t="n">
        <v>506</v>
      </c>
      <c r="L52" s="5" t="n">
        <v>0.19</v>
      </c>
      <c r="M52" s="5" t="n">
        <v>0</v>
      </c>
      <c r="N52" s="5" t="inlineStr">
        <is>
          <t>yes</t>
        </is>
      </c>
    </row>
    <row r="53">
      <c r="A53" s="5" t="n">
        <v>52</v>
      </c>
      <c r="B53" s="5" t="inlineStr">
        <is>
          <t>S10-126126</t>
        </is>
      </c>
      <c r="C53" s="5" t="inlineStr">
        <is>
          <t>footing:S</t>
        </is>
      </c>
      <c r="D53" s="5" t="inlineStr">
        <is>
          <t>isolated_footing</t>
        </is>
      </c>
      <c r="E53" s="5" t="n">
        <v>2915.6</v>
      </c>
      <c r="F53" s="5" t="n">
        <v>3218.8</v>
      </c>
      <c r="G53" s="5" t="n">
        <v>538</v>
      </c>
      <c r="H53" s="5" t="n">
        <v>13</v>
      </c>
      <c r="I53" s="5" t="inlineStr">
        <is>
          <t>isolated_footing</t>
        </is>
      </c>
      <c r="J53" s="5" t="inlineStr">
        <is>
          <t>yes</t>
        </is>
      </c>
      <c r="K53" s="5" t="n">
        <v>538</v>
      </c>
      <c r="L53" s="5" t="n">
        <v>0.22</v>
      </c>
      <c r="M53" s="5" t="n">
        <v>0</v>
      </c>
      <c r="N53" s="5" t="inlineStr">
        <is>
          <t>yes</t>
        </is>
      </c>
    </row>
    <row r="54">
      <c r="A54" s="5" t="n">
        <v>53</v>
      </c>
      <c r="B54" s="5" t="inlineStr">
        <is>
          <t>S7-125125</t>
        </is>
      </c>
      <c r="C54" s="5" t="inlineStr">
        <is>
          <t>footing:S</t>
        </is>
      </c>
      <c r="D54" s="5" t="inlineStr">
        <is>
          <t>isolated_footing</t>
        </is>
      </c>
      <c r="E54" s="5" t="n">
        <v>3521.9</v>
      </c>
      <c r="F54" s="5" t="n">
        <v>3422.9</v>
      </c>
      <c r="G54" s="5" t="n">
        <v>510</v>
      </c>
      <c r="H54" s="5" t="n">
        <v>13</v>
      </c>
      <c r="I54" s="5" t="inlineStr">
        <is>
          <t>isolated_footing</t>
        </is>
      </c>
      <c r="J54" s="5" t="inlineStr">
        <is>
          <t>yes</t>
        </is>
      </c>
      <c r="K54" s="5" t="n">
        <v>510</v>
      </c>
      <c r="L54" s="5" t="n">
        <v>0.23</v>
      </c>
      <c r="M54" s="5" t="n">
        <v>0</v>
      </c>
      <c r="N54" s="5" t="inlineStr">
        <is>
          <t>yes</t>
        </is>
      </c>
    </row>
    <row r="55">
      <c r="A55" s="5" t="n">
        <v>54</v>
      </c>
      <c r="B55" s="5" t="inlineStr">
        <is>
          <t>S7-126126</t>
        </is>
      </c>
      <c r="C55" s="5" t="inlineStr">
        <is>
          <t>footing:S</t>
        </is>
      </c>
      <c r="D55" s="5" t="inlineStr">
        <is>
          <t>isolated_footing</t>
        </is>
      </c>
      <c r="E55" s="5" t="n">
        <v>2528.1</v>
      </c>
      <c r="F55" s="5" t="n">
        <v>3289.6</v>
      </c>
      <c r="G55" s="5" t="n">
        <v>541</v>
      </c>
      <c r="H55" s="5" t="n">
        <v>13</v>
      </c>
      <c r="I55" s="5" t="inlineStr">
        <is>
          <t>isolated_footing</t>
        </is>
      </c>
      <c r="J55" s="5" t="inlineStr">
        <is>
          <t>yes</t>
        </is>
      </c>
      <c r="K55" s="5" t="n">
        <v>541</v>
      </c>
      <c r="L55" s="5" t="n">
        <v>0.18</v>
      </c>
      <c r="M55" s="5" t="n">
        <v>0</v>
      </c>
      <c r="N55" s="5" t="inlineStr">
        <is>
          <t>yes</t>
        </is>
      </c>
    </row>
    <row r="56">
      <c r="A56" s="5" t="n">
        <v>55</v>
      </c>
      <c r="B56" s="5" t="inlineStr">
        <is>
          <t>S2-125125</t>
        </is>
      </c>
      <c r="C56" s="5" t="inlineStr">
        <is>
          <t>footing:S</t>
        </is>
      </c>
      <c r="D56" s="5" t="inlineStr">
        <is>
          <t>isolated_footing</t>
        </is>
      </c>
      <c r="E56" s="5" t="n">
        <v>3280.2</v>
      </c>
      <c r="F56" s="5" t="n">
        <v>2991.7</v>
      </c>
      <c r="G56" s="5" t="n">
        <v>509</v>
      </c>
      <c r="H56" s="5" t="n">
        <v>12</v>
      </c>
      <c r="I56" s="5" t="inlineStr">
        <is>
          <t>isolated_footing</t>
        </is>
      </c>
      <c r="J56" s="5" t="inlineStr">
        <is>
          <t>yes</t>
        </is>
      </c>
      <c r="K56" s="5" t="n">
        <v>509</v>
      </c>
      <c r="L56" s="5" t="n">
        <v>0.19</v>
      </c>
      <c r="M56" s="5" t="n">
        <v>0</v>
      </c>
      <c r="N56" s="5" t="inlineStr">
        <is>
          <t>yes</t>
        </is>
      </c>
    </row>
    <row r="57">
      <c r="A57" s="5" t="n">
        <v>56</v>
      </c>
      <c r="B57" s="5" t="inlineStr">
        <is>
          <t>S2-126126</t>
        </is>
      </c>
      <c r="C57" s="5" t="inlineStr">
        <is>
          <t>footing:S</t>
        </is>
      </c>
      <c r="D57" s="5" t="inlineStr">
        <is>
          <t>isolated_footing</t>
        </is>
      </c>
      <c r="E57" s="5" t="n">
        <v>2851</v>
      </c>
      <c r="F57" s="5" t="n">
        <v>2935.4</v>
      </c>
      <c r="G57" s="5" t="n">
        <v>540</v>
      </c>
      <c r="H57" s="5" t="n">
        <v>12</v>
      </c>
      <c r="I57" s="5" t="inlineStr">
        <is>
          <t>isolated_footing</t>
        </is>
      </c>
      <c r="J57" s="5" t="inlineStr">
        <is>
          <t>yes</t>
        </is>
      </c>
      <c r="K57" s="5" t="n">
        <v>540</v>
      </c>
      <c r="L57" s="5" t="n">
        <v>0.2</v>
      </c>
      <c r="M57" s="5" t="n">
        <v>0</v>
      </c>
      <c r="N57" s="5" t="inlineStr">
        <is>
          <t>yes</t>
        </is>
      </c>
    </row>
    <row r="58">
      <c r="A58" s="5" t="n">
        <v>57</v>
      </c>
      <c r="B58" s="5" t="inlineStr">
        <is>
          <t>S2-</t>
        </is>
      </c>
      <c r="C58" s="5" t="inlineStr">
        <is>
          <t>footing:S</t>
        </is>
      </c>
      <c r="D58" s="5" t="inlineStr">
        <is>
          <t>isolated_footing</t>
        </is>
      </c>
      <c r="E58" s="5" t="n">
        <v>3045.8</v>
      </c>
      <c r="F58" s="5" t="n">
        <v>3016.7</v>
      </c>
      <c r="G58" s="5" t="n">
        <v>508</v>
      </c>
      <c r="H58" s="5" t="n">
        <v>12</v>
      </c>
      <c r="I58" s="5" t="inlineStr">
        <is>
          <t>isolated_footing</t>
        </is>
      </c>
      <c r="J58" s="5" t="inlineStr">
        <is>
          <t>yes</t>
        </is>
      </c>
      <c r="K58" s="5" t="n">
        <v>508</v>
      </c>
      <c r="L58" s="5" t="n">
        <v>0.21</v>
      </c>
      <c r="M58" s="5" t="n">
        <v>0</v>
      </c>
      <c r="N58" s="5" t="inlineStr">
        <is>
          <t>yes</t>
        </is>
      </c>
    </row>
    <row r="59">
      <c r="A59" s="5" t="n">
        <v>58</v>
      </c>
      <c r="B59" s="5" t="inlineStr">
        <is>
          <t>SC3-</t>
        </is>
      </c>
      <c r="C59" s="5" t="inlineStr">
        <is>
          <t>footing:SC</t>
        </is>
      </c>
      <c r="D59" s="5" t="inlineStr">
        <is>
          <t>combined_footing</t>
        </is>
      </c>
      <c r="E59" s="5" t="n">
        <v>3515.6</v>
      </c>
      <c r="F59" s="5" t="n">
        <v>3170.8</v>
      </c>
      <c r="G59" s="5" t="n">
        <v>433</v>
      </c>
      <c r="H59" s="5" t="n">
        <v>14</v>
      </c>
      <c r="I59" s="5" t="inlineStr">
        <is>
          <t>combined_footing</t>
        </is>
      </c>
      <c r="J59" s="5" t="inlineStr">
        <is>
          <t>yes</t>
        </is>
      </c>
      <c r="K59" s="5" t="n">
        <v>433</v>
      </c>
      <c r="L59" s="5" t="n">
        <v>0.19</v>
      </c>
      <c r="M59" s="5" t="n">
        <v>0</v>
      </c>
      <c r="N59" s="5" t="inlineStr">
        <is>
          <t>yes</t>
        </is>
      </c>
    </row>
    <row r="60">
      <c r="A60" s="5" t="n">
        <v>59</v>
      </c>
      <c r="B60" s="5" t="inlineStr">
        <is>
          <t>S6-124124</t>
        </is>
      </c>
      <c r="C60" s="5" t="inlineStr">
        <is>
          <t>footing:S</t>
        </is>
      </c>
      <c r="D60" s="5" t="inlineStr">
        <is>
          <t>isolated_footing</t>
        </is>
      </c>
      <c r="E60" s="5" t="n">
        <v>3694.8</v>
      </c>
      <c r="F60" s="5" t="n">
        <v>3154.2</v>
      </c>
      <c r="G60" s="5" t="n">
        <v>429</v>
      </c>
      <c r="H60" s="5" t="n">
        <v>13</v>
      </c>
      <c r="I60" s="5" t="inlineStr">
        <is>
          <t>isolated_footing</t>
        </is>
      </c>
      <c r="J60" s="5" t="inlineStr">
        <is>
          <t>yes</t>
        </is>
      </c>
      <c r="K60" s="5" t="n">
        <v>429</v>
      </c>
      <c r="L60" s="5" t="n">
        <v>0.19</v>
      </c>
      <c r="M60" s="5" t="n">
        <v>0</v>
      </c>
      <c r="N60" s="5" t="inlineStr">
        <is>
          <t>yes</t>
        </is>
      </c>
    </row>
    <row r="61">
      <c r="A61" s="5" t="n">
        <v>60</v>
      </c>
      <c r="B61" s="5" t="inlineStr">
        <is>
          <t>SC5-</t>
        </is>
      </c>
      <c r="C61" s="5" t="inlineStr">
        <is>
          <t>footing:SC</t>
        </is>
      </c>
      <c r="D61" s="5" t="inlineStr">
        <is>
          <t>combined_footing</t>
        </is>
      </c>
      <c r="E61" s="5" t="n">
        <v>3597.9</v>
      </c>
      <c r="F61" s="5" t="n">
        <v>3618.8</v>
      </c>
      <c r="G61" s="5" t="n">
        <v>513</v>
      </c>
      <c r="H61" s="5" t="n">
        <v>14</v>
      </c>
      <c r="I61" s="5" t="inlineStr">
        <is>
          <t>combined_footing</t>
        </is>
      </c>
      <c r="J61" s="5" t="inlineStr">
        <is>
          <t>yes</t>
        </is>
      </c>
      <c r="K61" s="5" t="n">
        <v>513</v>
      </c>
      <c r="L61" s="5" t="n">
        <v>0.13</v>
      </c>
      <c r="M61" s="5" t="n">
        <v>0</v>
      </c>
      <c r="N61" s="5" t="inlineStr">
        <is>
          <t>yes</t>
        </is>
      </c>
    </row>
    <row r="62">
      <c r="A62" s="5" t="n">
        <v>61</v>
      </c>
      <c r="B62" s="5" t="inlineStr">
        <is>
          <t>S11-124124</t>
        </is>
      </c>
      <c r="C62" s="5" t="inlineStr">
        <is>
          <t>footing:S</t>
        </is>
      </c>
      <c r="D62" s="5" t="inlineStr">
        <is>
          <t>isolated_footing</t>
        </is>
      </c>
      <c r="E62" s="5" t="n">
        <v>3725</v>
      </c>
      <c r="F62" s="5" t="n">
        <v>3381.3</v>
      </c>
      <c r="G62" s="5" t="n">
        <v>424</v>
      </c>
      <c r="H62" s="5" t="n">
        <v>13</v>
      </c>
      <c r="I62" s="5" t="inlineStr">
        <is>
          <t>isolated_footing</t>
        </is>
      </c>
      <c r="J62" s="5" t="inlineStr">
        <is>
          <t>yes</t>
        </is>
      </c>
      <c r="K62" s="5" t="n">
        <v>424</v>
      </c>
      <c r="L62" s="5" t="n">
        <v>0.23</v>
      </c>
      <c r="M62" s="5" t="n">
        <v>0</v>
      </c>
      <c r="N62" s="5" t="inlineStr">
        <is>
          <t>yes</t>
        </is>
      </c>
    </row>
    <row r="63">
      <c r="A63" s="5" t="n">
        <v>62</v>
      </c>
      <c r="B63" s="5" t="inlineStr">
        <is>
          <t>SC3-</t>
        </is>
      </c>
      <c r="C63" s="5" t="inlineStr">
        <is>
          <t>footing:SC</t>
        </is>
      </c>
      <c r="D63" s="5" t="inlineStr">
        <is>
          <t>combined_footing</t>
        </is>
      </c>
      <c r="E63" s="5" t="n">
        <v>4183.3</v>
      </c>
      <c r="F63" s="5" t="n">
        <v>3281.3</v>
      </c>
      <c r="G63" s="5" t="n">
        <v>431</v>
      </c>
      <c r="H63" s="5" t="n">
        <v>23</v>
      </c>
      <c r="I63" s="5" t="inlineStr">
        <is>
          <t>combined_footing</t>
        </is>
      </c>
      <c r="J63" s="5" t="inlineStr">
        <is>
          <t>yes</t>
        </is>
      </c>
      <c r="K63" s="5" t="n">
        <v>431</v>
      </c>
      <c r="L63" s="5" t="n">
        <v>0.21</v>
      </c>
      <c r="M63" s="5" t="n">
        <v>0</v>
      </c>
      <c r="N63" s="5" t="inlineStr">
        <is>
          <t>yes</t>
        </is>
      </c>
    </row>
    <row r="64">
      <c r="A64" s="5" t="n">
        <v>63</v>
      </c>
      <c r="B64" s="5" t="inlineStr">
        <is>
          <t>SC1-</t>
        </is>
      </c>
      <c r="C64" s="5" t="inlineStr">
        <is>
          <t>footing:SC</t>
        </is>
      </c>
      <c r="D64" s="5" t="inlineStr">
        <is>
          <t>combined_footing</t>
        </is>
      </c>
      <c r="E64" s="5" t="n">
        <v>3569.8</v>
      </c>
      <c r="F64" s="5" t="n">
        <v>3410.4</v>
      </c>
      <c r="G64" s="5" t="n">
        <v>512</v>
      </c>
      <c r="H64" s="5" t="n">
        <v>14</v>
      </c>
      <c r="I64" s="5" t="inlineStr">
        <is>
          <t>combined_footing</t>
        </is>
      </c>
      <c r="J64" s="5" t="inlineStr">
        <is>
          <t>yes</t>
        </is>
      </c>
      <c r="K64" s="5" t="n">
        <v>512</v>
      </c>
      <c r="L64" s="5" t="n">
        <v>0.29</v>
      </c>
      <c r="M64" s="5" t="n">
        <v>0</v>
      </c>
      <c r="N64" s="5" t="inlineStr">
        <is>
          <t>yes</t>
        </is>
      </c>
    </row>
    <row r="65">
      <c r="A65" s="5" t="n">
        <v>64</v>
      </c>
      <c r="B65" s="5" t="inlineStr">
        <is>
          <t>S11-125125</t>
        </is>
      </c>
      <c r="C65" s="5" t="inlineStr">
        <is>
          <t>footing:S</t>
        </is>
      </c>
      <c r="D65" s="5" t="inlineStr">
        <is>
          <t>isolated_footing</t>
        </is>
      </c>
      <c r="E65" s="5" t="n">
        <v>3345.8</v>
      </c>
      <c r="F65" s="5" t="n">
        <v>3214.6</v>
      </c>
      <c r="G65" s="5" t="n">
        <v>507</v>
      </c>
      <c r="H65" s="5" t="n">
        <v>13</v>
      </c>
      <c r="I65" s="5" t="inlineStr">
        <is>
          <t>isolated_footing</t>
        </is>
      </c>
      <c r="J65" s="5" t="inlineStr">
        <is>
          <t>yes</t>
        </is>
      </c>
      <c r="K65" s="5" t="n">
        <v>507</v>
      </c>
      <c r="L65" s="5" t="n">
        <v>0.26</v>
      </c>
      <c r="M65" s="5" t="n">
        <v>0</v>
      </c>
      <c r="N65" s="5" t="inlineStr">
        <is>
          <t>yes</t>
        </is>
      </c>
    </row>
    <row r="66">
      <c r="A66" s="5" t="n">
        <v>65</v>
      </c>
      <c r="B66" s="5" t="inlineStr">
        <is>
          <t>S11-126126</t>
        </is>
      </c>
      <c r="C66" s="5" t="inlineStr">
        <is>
          <t>footing:S</t>
        </is>
      </c>
      <c r="D66" s="5" t="inlineStr">
        <is>
          <t>isolated_footing</t>
        </is>
      </c>
      <c r="E66" s="5" t="n">
        <v>2688.5</v>
      </c>
      <c r="F66" s="5" t="n">
        <v>3103.1</v>
      </c>
      <c r="G66" s="5" t="n">
        <v>539</v>
      </c>
      <c r="H66" s="5" t="n">
        <v>13</v>
      </c>
      <c r="I66" s="5" t="inlineStr">
        <is>
          <t>isolated_footing</t>
        </is>
      </c>
      <c r="J66" s="5" t="inlineStr">
        <is>
          <t>yes</t>
        </is>
      </c>
      <c r="K66" s="5" t="n">
        <v>539</v>
      </c>
      <c r="L66" s="5" t="n">
        <v>0.25</v>
      </c>
      <c r="M66" s="5" t="n">
        <v>0</v>
      </c>
      <c r="N66" s="5" t="inlineStr">
        <is>
          <t>no</t>
        </is>
      </c>
    </row>
    <row r="67">
      <c r="A67" s="5" t="n">
        <v>66</v>
      </c>
      <c r="B67" s="5" t="inlineStr">
        <is>
          <t>S7-</t>
        </is>
      </c>
      <c r="C67" s="5" t="inlineStr">
        <is>
          <t>footing:S</t>
        </is>
      </c>
      <c r="D67" s="5" t="inlineStr">
        <is>
          <t>isolated_footing</t>
        </is>
      </c>
      <c r="E67" s="5" t="n">
        <v>3058.3</v>
      </c>
      <c r="F67" s="5" t="n">
        <v>3459.4</v>
      </c>
      <c r="G67" s="5" t="n">
        <v>511</v>
      </c>
      <c r="H67" s="5" t="n">
        <v>13</v>
      </c>
      <c r="I67" s="5" t="inlineStr">
        <is>
          <t>isolated_footing</t>
        </is>
      </c>
      <c r="J67" s="5" t="inlineStr">
        <is>
          <t>yes</t>
        </is>
      </c>
      <c r="K67" s="5" t="n">
        <v>511</v>
      </c>
      <c r="L67" s="5" t="n">
        <v>0.19</v>
      </c>
      <c r="M67" s="5" t="n">
        <v>0</v>
      </c>
      <c r="N67" s="5" t="inlineStr">
        <is>
          <t>yes</t>
        </is>
      </c>
    </row>
    <row r="68">
      <c r="A68" s="5" t="n">
        <v>67</v>
      </c>
      <c r="B68" s="5" t="inlineStr">
        <is>
          <t>SC1-</t>
        </is>
      </c>
      <c r="C68" s="5" t="inlineStr">
        <is>
          <t>footing:SC</t>
        </is>
      </c>
      <c r="D68" s="5" t="inlineStr">
        <is>
          <t>combined_footing</t>
        </is>
      </c>
      <c r="E68" s="5" t="n">
        <v>4933.3</v>
      </c>
      <c r="F68" s="5" t="n">
        <v>2900</v>
      </c>
      <c r="G68" s="5" t="n">
        <v>366</v>
      </c>
      <c r="H68" s="5" t="n">
        <v>14</v>
      </c>
      <c r="I68" s="5" t="inlineStr">
        <is>
          <t>combined_footing</t>
        </is>
      </c>
      <c r="J68" s="5" t="inlineStr">
        <is>
          <t>yes</t>
        </is>
      </c>
      <c r="K68" s="5" t="n">
        <v>366</v>
      </c>
      <c r="L68" s="5" t="n">
        <v>0.21</v>
      </c>
      <c r="M68" s="5" t="n">
        <v>0</v>
      </c>
      <c r="N68" s="5" t="inlineStr">
        <is>
          <t>yes</t>
        </is>
      </c>
    </row>
    <row r="69">
      <c r="A69" s="5" t="n">
        <v>68</v>
      </c>
      <c r="B69" s="5" t="inlineStr">
        <is>
          <t>SC6</t>
        </is>
      </c>
      <c r="C69" s="5" t="inlineStr">
        <is>
          <t>footing:SC</t>
        </is>
      </c>
      <c r="D69" s="5" t="inlineStr">
        <is>
          <t>combined_footing</t>
        </is>
      </c>
      <c r="E69" s="5" t="n">
        <v>3878.1</v>
      </c>
      <c r="F69" s="5" t="n">
        <v>3112.5</v>
      </c>
      <c r="G69" s="5" t="n">
        <v>434</v>
      </c>
      <c r="H69" s="5" t="n">
        <v>14</v>
      </c>
      <c r="I69" s="5" t="inlineStr">
        <is>
          <t>combined_footing</t>
        </is>
      </c>
      <c r="J69" s="5" t="inlineStr">
        <is>
          <t>yes</t>
        </is>
      </c>
      <c r="K69" s="5" t="n">
        <v>434</v>
      </c>
      <c r="L69" s="5" t="n">
        <v>0.24</v>
      </c>
      <c r="M69" s="5" t="n">
        <v>0</v>
      </c>
      <c r="N69" s="5" t="inlineStr">
        <is>
          <t>yes</t>
        </is>
      </c>
    </row>
    <row r="70">
      <c r="A70" s="5" t="n">
        <v>69</v>
      </c>
      <c r="B70" s="5" t="inlineStr">
        <is>
          <t>S3-124</t>
        </is>
      </c>
      <c r="C70" s="5" t="inlineStr">
        <is>
          <t>footing:S</t>
        </is>
      </c>
      <c r="D70" s="5" t="inlineStr">
        <is>
          <t>isolated_footing</t>
        </is>
      </c>
      <c r="E70" s="5" t="n">
        <v>4120.8</v>
      </c>
      <c r="F70" s="5" t="n">
        <v>3151</v>
      </c>
      <c r="G70" s="5" t="n">
        <v>428</v>
      </c>
      <c r="H70" s="5" t="n">
        <v>12</v>
      </c>
      <c r="I70" s="5" t="inlineStr">
        <is>
          <t>isolated_footing</t>
        </is>
      </c>
      <c r="J70" s="5" t="inlineStr">
        <is>
          <t>yes</t>
        </is>
      </c>
      <c r="K70" s="5" t="n">
        <v>428</v>
      </c>
      <c r="L70" s="5" t="n">
        <v>0.34</v>
      </c>
      <c r="M70" s="5" t="n">
        <v>0</v>
      </c>
      <c r="N70" s="5" t="inlineStr">
        <is>
          <t>yes</t>
        </is>
      </c>
    </row>
    <row r="71">
      <c r="A71" s="5" t="n">
        <v>70</v>
      </c>
      <c r="B71" s="5" t="inlineStr">
        <is>
          <t>S11-127127</t>
        </is>
      </c>
      <c r="C71" s="5" t="inlineStr">
        <is>
          <t>footing:S</t>
        </is>
      </c>
      <c r="D71" s="5" t="inlineStr">
        <is>
          <t>isolated_footing</t>
        </is>
      </c>
      <c r="E71" s="5" t="n">
        <v>1866.7</v>
      </c>
      <c r="F71" s="5" t="n">
        <v>2949</v>
      </c>
      <c r="G71" s="5" t="n">
        <v>588</v>
      </c>
      <c r="H71" s="5" t="n">
        <v>13</v>
      </c>
      <c r="I71" s="5" t="inlineStr">
        <is>
          <t>isolated_footing</t>
        </is>
      </c>
      <c r="J71" s="5" t="inlineStr">
        <is>
          <t>yes</t>
        </is>
      </c>
      <c r="K71" s="5" t="n">
        <v>588</v>
      </c>
      <c r="L71" s="5" t="n">
        <v>0.18</v>
      </c>
      <c r="M71" s="5" t="n">
        <v>0</v>
      </c>
      <c r="N71" s="5" t="inlineStr">
        <is>
          <t>yes</t>
        </is>
      </c>
    </row>
    <row r="72">
      <c r="A72" s="5" t="n">
        <v>71</v>
      </c>
      <c r="B72" s="5" t="inlineStr">
        <is>
          <t>SC2-</t>
        </is>
      </c>
      <c r="C72" s="5" t="inlineStr">
        <is>
          <t>footing:SC</t>
        </is>
      </c>
      <c r="D72" s="5" t="inlineStr">
        <is>
          <t>combined_footing</t>
        </is>
      </c>
      <c r="E72" s="5" t="n">
        <v>2586.5</v>
      </c>
      <c r="F72" s="5" t="n">
        <v>2914.6</v>
      </c>
      <c r="G72" s="5" t="n">
        <v>601</v>
      </c>
      <c r="H72" s="5" t="n">
        <v>3</v>
      </c>
      <c r="I72" s="5" t="inlineStr">
        <is>
          <t>grade_beam</t>
        </is>
      </c>
      <c r="J72" s="5" t="inlineStr">
        <is>
          <t>no</t>
        </is>
      </c>
      <c r="K72" s="5" t="n">
        <v>543</v>
      </c>
      <c r="L72" s="5" t="n">
        <v>0.2</v>
      </c>
      <c r="M72" s="5" t="n">
        <v>0</v>
      </c>
      <c r="N72" s="5" t="inlineStr">
        <is>
          <t>yes</t>
        </is>
      </c>
    </row>
    <row r="73">
      <c r="A73" s="5" t="n">
        <v>72</v>
      </c>
      <c r="B73" s="5" t="inlineStr">
        <is>
          <t>S2-127127</t>
        </is>
      </c>
      <c r="C73" s="5" t="inlineStr">
        <is>
          <t>footing:S</t>
        </is>
      </c>
      <c r="D73" s="5" t="inlineStr">
        <is>
          <t>isolated_footing</t>
        </is>
      </c>
      <c r="E73" s="5" t="n">
        <v>2452.1</v>
      </c>
      <c r="F73" s="5" t="n">
        <v>2726</v>
      </c>
      <c r="G73" s="5" t="n">
        <v>591</v>
      </c>
      <c r="H73" s="5" t="n">
        <v>12</v>
      </c>
      <c r="I73" s="5" t="inlineStr">
        <is>
          <t>isolated_footing</t>
        </is>
      </c>
      <c r="J73" s="5" t="inlineStr">
        <is>
          <t>yes</t>
        </is>
      </c>
      <c r="K73" s="5" t="n">
        <v>591</v>
      </c>
      <c r="L73" s="5" t="n">
        <v>0.2</v>
      </c>
      <c r="M73" s="5" t="n">
        <v>0</v>
      </c>
      <c r="N73" s="5" t="inlineStr">
        <is>
          <t>no</t>
        </is>
      </c>
    </row>
    <row r="74">
      <c r="A74" s="5" t="n">
        <v>73</v>
      </c>
      <c r="B74" s="5" t="inlineStr">
        <is>
          <t>S2-127127</t>
        </is>
      </c>
      <c r="C74" s="5" t="inlineStr">
        <is>
          <t>footing:S</t>
        </is>
      </c>
      <c r="D74" s="5" t="inlineStr">
        <is>
          <t>isolated_footing</t>
        </is>
      </c>
      <c r="E74" s="5" t="n">
        <v>2193.8</v>
      </c>
      <c r="F74" s="5" t="n">
        <v>2596.9</v>
      </c>
      <c r="G74" s="5" t="n">
        <v>585</v>
      </c>
      <c r="H74" s="5" t="n">
        <v>19</v>
      </c>
      <c r="I74" s="5" t="inlineStr">
        <is>
          <t>isolated_footing</t>
        </is>
      </c>
      <c r="J74" s="5" t="inlineStr">
        <is>
          <t>yes</t>
        </is>
      </c>
      <c r="K74" s="5" t="n">
        <v>593</v>
      </c>
      <c r="L74" s="5" t="n">
        <v>0.18</v>
      </c>
      <c r="M74" s="5" t="n">
        <v>0</v>
      </c>
      <c r="N74" s="5" t="inlineStr">
        <is>
          <t>yes</t>
        </is>
      </c>
    </row>
    <row r="75">
      <c r="A75" s="5" t="n">
        <v>74</v>
      </c>
      <c r="B75" s="5" t="inlineStr">
        <is>
          <t>SC2-</t>
        </is>
      </c>
      <c r="C75" s="5" t="inlineStr">
        <is>
          <t>footing:SC</t>
        </is>
      </c>
      <c r="D75" s="5" t="inlineStr">
        <is>
          <t>combined_footing</t>
        </is>
      </c>
      <c r="E75" s="5" t="n">
        <v>1920.8</v>
      </c>
      <c r="F75" s="5" t="n">
        <v>2579.2</v>
      </c>
      <c r="G75" s="5" t="n">
        <v>663</v>
      </c>
      <c r="H75" s="5" t="n">
        <v>3</v>
      </c>
      <c r="I75" s="5" t="inlineStr">
        <is>
          <t>grade_beam</t>
        </is>
      </c>
      <c r="J75" s="5" t="inlineStr">
        <is>
          <t>no</t>
        </is>
      </c>
      <c r="K75" s="5" t="n">
        <v>594</v>
      </c>
      <c r="L75" s="5" t="n">
        <v>0.18</v>
      </c>
      <c r="M75" s="5" t="n">
        <v>0</v>
      </c>
      <c r="N75" s="5" t="inlineStr">
        <is>
          <t>no</t>
        </is>
      </c>
    </row>
    <row r="76">
      <c r="A76" s="5" t="n">
        <v>75</v>
      </c>
      <c r="B76" s="5" t="inlineStr">
        <is>
          <t>SC3</t>
        </is>
      </c>
      <c r="C76" s="5" t="inlineStr">
        <is>
          <t>footing:SC</t>
        </is>
      </c>
      <c r="D76" s="5" t="inlineStr">
        <is>
          <t>combined_footing</t>
        </is>
      </c>
      <c r="E76" s="5" t="n">
        <v>2499</v>
      </c>
      <c r="F76" s="5" t="n">
        <v>3007.3</v>
      </c>
      <c r="G76" s="5" t="n">
        <v>595</v>
      </c>
      <c r="H76" s="5" t="n">
        <v>14</v>
      </c>
      <c r="I76" s="5" t="inlineStr">
        <is>
          <t>combined_footing</t>
        </is>
      </c>
      <c r="J76" s="5" t="inlineStr">
        <is>
          <t>yes</t>
        </is>
      </c>
      <c r="K76" s="5" t="n">
        <v>595</v>
      </c>
      <c r="L76" s="5" t="n">
        <v>0.14</v>
      </c>
      <c r="M76" s="5" t="n">
        <v>0</v>
      </c>
      <c r="N76" s="5" t="inlineStr">
        <is>
          <t>yes</t>
        </is>
      </c>
    </row>
    <row r="77">
      <c r="A77" s="5" t="n">
        <v>76</v>
      </c>
      <c r="B77" s="5" t="inlineStr">
        <is>
          <t>SC1-</t>
        </is>
      </c>
      <c r="C77" s="5" t="inlineStr">
        <is>
          <t>footing:SC</t>
        </is>
      </c>
      <c r="D77" s="5" t="inlineStr">
        <is>
          <t>combined_footing</t>
        </is>
      </c>
      <c r="E77" s="5" t="n">
        <v>2410.4</v>
      </c>
      <c r="F77" s="5" t="n">
        <v>3218.8</v>
      </c>
      <c r="G77" s="5" t="n">
        <v>542</v>
      </c>
      <c r="H77" s="5" t="n">
        <v>14</v>
      </c>
      <c r="I77" s="5" t="inlineStr">
        <is>
          <t>combined_footing</t>
        </is>
      </c>
      <c r="J77" s="5" t="inlineStr">
        <is>
          <t>yes</t>
        </is>
      </c>
      <c r="K77" s="5" t="n">
        <v>542</v>
      </c>
      <c r="L77" s="5" t="n">
        <v>0.19</v>
      </c>
      <c r="M77" s="5" t="n">
        <v>0</v>
      </c>
      <c r="N77" s="5" t="inlineStr">
        <is>
          <t>yes</t>
        </is>
      </c>
    </row>
    <row r="78">
      <c r="A78" s="5" t="n">
        <v>77</v>
      </c>
      <c r="B78" s="5" t="inlineStr">
        <is>
          <t>S16-127</t>
        </is>
      </c>
      <c r="C78" s="5" t="inlineStr">
        <is>
          <t>footing:S</t>
        </is>
      </c>
      <c r="D78" s="5" t="inlineStr">
        <is>
          <t>isolated_footing</t>
        </is>
      </c>
      <c r="E78" s="5" t="n">
        <v>2033.3</v>
      </c>
      <c r="F78" s="5" t="n">
        <v>2767.7</v>
      </c>
      <c r="G78" s="5" t="n">
        <v>590</v>
      </c>
      <c r="H78" s="5" t="n">
        <v>13</v>
      </c>
      <c r="I78" s="5" t="inlineStr">
        <is>
          <t>isolated_footing</t>
        </is>
      </c>
      <c r="J78" s="5" t="inlineStr">
        <is>
          <t>yes</t>
        </is>
      </c>
      <c r="K78" s="5" t="n">
        <v>590</v>
      </c>
      <c r="L78" s="5" t="n">
        <v>0.21</v>
      </c>
      <c r="M78" s="5" t="n">
        <v>0</v>
      </c>
      <c r="N78" s="5" t="inlineStr">
        <is>
          <t>yes</t>
        </is>
      </c>
    </row>
    <row r="79">
      <c r="A79" s="5" t="n">
        <v>78</v>
      </c>
      <c r="B79" s="5" t="inlineStr">
        <is>
          <t>S2-128128</t>
        </is>
      </c>
      <c r="C79" s="5" t="inlineStr">
        <is>
          <t>footing:S</t>
        </is>
      </c>
      <c r="D79" s="5" t="inlineStr">
        <is>
          <t>isolated_footing</t>
        </is>
      </c>
      <c r="E79" s="5" t="n">
        <v>1769.8</v>
      </c>
      <c r="F79" s="5" t="n">
        <v>2376</v>
      </c>
      <c r="G79" s="5" t="n">
        <v>666</v>
      </c>
      <c r="H79" s="5" t="n">
        <v>3</v>
      </c>
      <c r="I79" s="5" t="inlineStr">
        <is>
          <t>grade_beam</t>
        </is>
      </c>
      <c r="J79" s="5" t="inlineStr">
        <is>
          <t>no</t>
        </is>
      </c>
      <c r="K79" s="5" t="n">
        <v>655</v>
      </c>
      <c r="L79" s="5" t="n">
        <v>0.18</v>
      </c>
      <c r="M79" s="5" t="n">
        <v>0</v>
      </c>
      <c r="N79" s="5" t="inlineStr">
        <is>
          <t>no</t>
        </is>
      </c>
    </row>
    <row r="80">
      <c r="A80" s="5" t="n">
        <v>79</v>
      </c>
      <c r="B80" s="5" t="inlineStr">
        <is>
          <t>SC1-</t>
        </is>
      </c>
      <c r="C80" s="5" t="inlineStr">
        <is>
          <t>footing:SC</t>
        </is>
      </c>
      <c r="D80" s="5" t="inlineStr">
        <is>
          <t>combined_footing</t>
        </is>
      </c>
      <c r="E80" s="5" t="n">
        <v>1749</v>
      </c>
      <c r="F80" s="5" t="n">
        <v>2877.1</v>
      </c>
      <c r="G80" s="5" t="n">
        <v>657</v>
      </c>
      <c r="H80" s="5" t="n">
        <v>14</v>
      </c>
      <c r="I80" s="5" t="inlineStr">
        <is>
          <t>combined_footing</t>
        </is>
      </c>
      <c r="J80" s="5" t="inlineStr">
        <is>
          <t>yes</t>
        </is>
      </c>
      <c r="K80" s="5" t="n">
        <v>657</v>
      </c>
      <c r="L80" s="5" t="n">
        <v>0.22</v>
      </c>
      <c r="M80" s="5" t="n">
        <v>0</v>
      </c>
      <c r="N80" s="5" t="inlineStr">
        <is>
          <t>no</t>
        </is>
      </c>
    </row>
    <row r="81">
      <c r="A81" s="5" t="n">
        <v>80</v>
      </c>
      <c r="B81" s="5" t="inlineStr">
        <is>
          <t>S11-128</t>
        </is>
      </c>
      <c r="C81" s="5" t="inlineStr">
        <is>
          <t>footing:S</t>
        </is>
      </c>
      <c r="D81" s="5" t="inlineStr">
        <is>
          <t>isolated_footing</t>
        </is>
      </c>
      <c r="E81" s="5" t="n">
        <v>1692.7</v>
      </c>
      <c r="F81" s="5" t="n">
        <v>2861.5</v>
      </c>
      <c r="G81" s="5" t="n">
        <v>654</v>
      </c>
      <c r="H81" s="5" t="n">
        <v>13</v>
      </c>
      <c r="I81" s="5" t="inlineStr">
        <is>
          <t>isolated_footing</t>
        </is>
      </c>
      <c r="J81" s="5" t="inlineStr">
        <is>
          <t>yes</t>
        </is>
      </c>
      <c r="K81" s="5" t="n">
        <v>654</v>
      </c>
      <c r="L81" s="5" t="n">
        <v>0.17</v>
      </c>
      <c r="M81" s="5" t="n">
        <v>0</v>
      </c>
      <c r="N81" s="5" t="inlineStr">
        <is>
          <t>no</t>
        </is>
      </c>
    </row>
    <row r="82">
      <c r="A82" s="5" t="n">
        <v>81</v>
      </c>
      <c r="B82" s="5" t="inlineStr">
        <is>
          <t>S5-128</t>
        </is>
      </c>
      <c r="C82" s="5" t="inlineStr">
        <is>
          <t>footing:S</t>
        </is>
      </c>
      <c r="D82" s="5" t="inlineStr">
        <is>
          <t>isolated_footing</t>
        </is>
      </c>
      <c r="E82" s="5" t="n">
        <v>1055.2</v>
      </c>
      <c r="F82" s="5" t="n">
        <v>2816.7</v>
      </c>
      <c r="G82" s="5" t="n">
        <v>656</v>
      </c>
      <c r="H82" s="5" t="n">
        <v>13</v>
      </c>
      <c r="I82" s="5" t="inlineStr">
        <is>
          <t>isolated_footing</t>
        </is>
      </c>
      <c r="J82" s="5" t="inlineStr">
        <is>
          <t>yes</t>
        </is>
      </c>
      <c r="K82" s="5" t="n">
        <v>656</v>
      </c>
      <c r="L82" s="5" t="n">
        <v>0.15</v>
      </c>
      <c r="M82" s="5" t="n">
        <v>0</v>
      </c>
      <c r="N82" s="5" t="inlineStr">
        <is>
          <t>yes</t>
        </is>
      </c>
    </row>
    <row r="83">
      <c r="A83" s="5" t="n">
        <v>82</v>
      </c>
      <c r="B83" s="5" t="inlineStr">
        <is>
          <t>S16-127</t>
        </is>
      </c>
      <c r="C83" s="5" t="inlineStr">
        <is>
          <t>footing:S</t>
        </is>
      </c>
      <c r="D83" s="5" t="inlineStr">
        <is>
          <t>isolated_footing</t>
        </is>
      </c>
      <c r="E83" s="5" t="n">
        <v>2260.4</v>
      </c>
      <c r="F83" s="5" t="n">
        <v>2874</v>
      </c>
      <c r="G83" s="5" t="n">
        <v>589</v>
      </c>
      <c r="H83" s="5" t="n">
        <v>13</v>
      </c>
      <c r="I83" s="5" t="inlineStr">
        <is>
          <t>isolated_footing</t>
        </is>
      </c>
      <c r="J83" s="5" t="inlineStr">
        <is>
          <t>yes</t>
        </is>
      </c>
      <c r="K83" s="5" t="n">
        <v>589</v>
      </c>
      <c r="L83" s="5" t="n">
        <v>0.2</v>
      </c>
      <c r="M83" s="5" t="n">
        <v>0</v>
      </c>
      <c r="N83" s="5" t="inlineStr">
        <is>
          <t>yes</t>
        </is>
      </c>
    </row>
    <row r="84">
      <c r="A84" s="5" t="n">
        <v>83</v>
      </c>
      <c r="B84" s="5" t="inlineStr">
        <is>
          <t>S2-127</t>
        </is>
      </c>
      <c r="C84" s="5" t="inlineStr">
        <is>
          <t>footing:S</t>
        </is>
      </c>
      <c r="D84" s="5" t="inlineStr">
        <is>
          <t>isolated_footing</t>
        </is>
      </c>
      <c r="E84" s="5" t="n">
        <v>2360.4</v>
      </c>
      <c r="F84" s="5" t="n">
        <v>3028.1</v>
      </c>
      <c r="G84" s="5" t="n">
        <v>598</v>
      </c>
      <c r="H84" s="5" t="n">
        <v>3</v>
      </c>
      <c r="I84" s="5" t="inlineStr">
        <is>
          <t>grade_beam</t>
        </is>
      </c>
      <c r="J84" s="5" t="inlineStr">
        <is>
          <t>no</t>
        </is>
      </c>
      <c r="K84" s="5" t="n">
        <v>592</v>
      </c>
      <c r="L84" s="5" t="n">
        <v>0.48</v>
      </c>
      <c r="M84" s="5" t="n">
        <v>0</v>
      </c>
      <c r="N84" s="5" t="inlineStr">
        <is>
          <t>yes</t>
        </is>
      </c>
    </row>
    <row r="85">
      <c r="A85" s="5" t="n">
        <v>84</v>
      </c>
      <c r="B85" s="5" t="inlineStr">
        <is>
          <t>SC2-</t>
        </is>
      </c>
      <c r="C85" s="5" t="inlineStr">
        <is>
          <t>footing:SC</t>
        </is>
      </c>
      <c r="D85" s="5" t="inlineStr">
        <is>
          <t>combined_footing</t>
        </is>
      </c>
      <c r="E85" s="5" t="n">
        <v>1213.5</v>
      </c>
      <c r="F85" s="5" t="n">
        <v>1734.4</v>
      </c>
      <c r="G85" s="5" t="n">
        <v>921</v>
      </c>
      <c r="H85" s="5" t="n">
        <v>15</v>
      </c>
      <c r="I85" s="5" t="inlineStr">
        <is>
          <t>combined_footing</t>
        </is>
      </c>
      <c r="J85" s="5" t="inlineStr">
        <is>
          <t>yes</t>
        </is>
      </c>
      <c r="K85" s="5" t="n">
        <v>921</v>
      </c>
      <c r="L85" s="5" t="n">
        <v>0.29</v>
      </c>
      <c r="M85" s="5" t="n">
        <v>0</v>
      </c>
      <c r="N85" s="5" t="inlineStr">
        <is>
          <t>yes</t>
        </is>
      </c>
    </row>
    <row r="86">
      <c r="A86" s="5" t="n">
        <v>85</v>
      </c>
      <c r="B86" s="5" t="inlineStr">
        <is>
          <t>S4-130130</t>
        </is>
      </c>
      <c r="C86" s="5" t="inlineStr">
        <is>
          <t>footing:S</t>
        </is>
      </c>
      <c r="D86" s="5" t="inlineStr">
        <is>
          <t>isolated_footing</t>
        </is>
      </c>
      <c r="E86" s="5" t="n">
        <v>962.5</v>
      </c>
      <c r="F86" s="5" t="n">
        <v>1280.2</v>
      </c>
      <c r="G86" s="5" t="n">
        <v>918</v>
      </c>
      <c r="H86" s="5" t="n">
        <v>13</v>
      </c>
      <c r="I86" s="5" t="inlineStr">
        <is>
          <t>isolated_footing</t>
        </is>
      </c>
      <c r="J86" s="5" t="inlineStr">
        <is>
          <t>yes</t>
        </is>
      </c>
      <c r="K86" s="5" t="n">
        <v>918</v>
      </c>
      <c r="L86" s="5" t="n">
        <v>0.17</v>
      </c>
      <c r="M86" s="5" t="n">
        <v>0</v>
      </c>
      <c r="N86" s="5" t="inlineStr">
        <is>
          <t>yes</t>
        </is>
      </c>
    </row>
    <row r="87">
      <c r="A87" s="5" t="n">
        <v>86</v>
      </c>
      <c r="B87" s="5" t="inlineStr">
        <is>
          <t>S2-130130</t>
        </is>
      </c>
      <c r="C87" s="5" t="inlineStr">
        <is>
          <t>footing:S</t>
        </is>
      </c>
      <c r="D87" s="5" t="inlineStr">
        <is>
          <t>isolated_footing</t>
        </is>
      </c>
      <c r="E87" s="5" t="n">
        <v>706.2</v>
      </c>
      <c r="F87" s="5" t="n">
        <v>1261.5</v>
      </c>
      <c r="G87" s="5" t="n">
        <v>877</v>
      </c>
      <c r="H87" s="5" t="n">
        <v>25</v>
      </c>
      <c r="I87" s="5" t="inlineStr">
        <is>
          <t>column</t>
        </is>
      </c>
      <c r="J87" s="5" t="inlineStr">
        <is>
          <t>no</t>
        </is>
      </c>
      <c r="K87" s="5" t="n">
        <v>914</v>
      </c>
      <c r="L87" s="5" t="n">
        <v>0.36</v>
      </c>
      <c r="M87" s="5" t="n">
        <v>0</v>
      </c>
      <c r="N87" s="5" t="inlineStr">
        <is>
          <t>yes</t>
        </is>
      </c>
    </row>
    <row r="88">
      <c r="A88" s="5" t="n">
        <v>87</v>
      </c>
      <c r="B88" s="5" t="inlineStr">
        <is>
          <t>S18-130130</t>
        </is>
      </c>
      <c r="C88" s="5" t="inlineStr">
        <is>
          <t>footing:S</t>
        </is>
      </c>
      <c r="D88" s="5" t="inlineStr">
        <is>
          <t>isolated_footing</t>
        </is>
      </c>
      <c r="E88" s="5" t="n">
        <v>1068.8</v>
      </c>
      <c r="F88" s="5" t="n">
        <v>1637.5</v>
      </c>
      <c r="G88" s="5" t="n">
        <v>913</v>
      </c>
      <c r="H88" s="5" t="n">
        <v>13</v>
      </c>
      <c r="I88" s="5" t="inlineStr">
        <is>
          <t>isolated_footing</t>
        </is>
      </c>
      <c r="J88" s="5" t="inlineStr">
        <is>
          <t>yes</t>
        </is>
      </c>
      <c r="K88" s="5" t="n">
        <v>913</v>
      </c>
      <c r="L88" s="5" t="n">
        <v>0.11</v>
      </c>
      <c r="M88" s="5" t="n">
        <v>0</v>
      </c>
      <c r="N88" s="5" t="inlineStr">
        <is>
          <t>yes</t>
        </is>
      </c>
    </row>
    <row r="89">
      <c r="A89" s="5" t="n">
        <v>88</v>
      </c>
      <c r="B89" s="5" t="inlineStr">
        <is>
          <t>S18-130130</t>
        </is>
      </c>
      <c r="C89" s="5" t="inlineStr">
        <is>
          <t>footing:S</t>
        </is>
      </c>
      <c r="D89" s="5" t="inlineStr">
        <is>
          <t>isolated_footing</t>
        </is>
      </c>
      <c r="E89" s="5" t="n">
        <v>860.4</v>
      </c>
      <c r="F89" s="5" t="n">
        <v>1764.6</v>
      </c>
      <c r="G89" s="5" t="n">
        <v>919</v>
      </c>
      <c r="H89" s="5" t="n">
        <v>14</v>
      </c>
      <c r="I89" s="5" t="inlineStr">
        <is>
          <t>combined_footing</t>
        </is>
      </c>
      <c r="J89" s="5" t="inlineStr">
        <is>
          <t>no</t>
        </is>
      </c>
      <c r="K89" s="5" t="inlineStr">
        <is>
          <t>unmatched</t>
        </is>
      </c>
      <c r="L89" s="5" t="n"/>
      <c r="M89" s="5" t="n"/>
      <c r="N89" s="5" t="inlineStr">
        <is>
          <t>yes</t>
        </is>
      </c>
    </row>
    <row r="90">
      <c r="A90" s="5" t="n">
        <v>89</v>
      </c>
      <c r="B90" s="5" t="inlineStr">
        <is>
          <t>S2-130130</t>
        </is>
      </c>
      <c r="C90" s="5" t="inlineStr">
        <is>
          <t>footing:S</t>
        </is>
      </c>
      <c r="D90" s="5" t="inlineStr">
        <is>
          <t>isolated_footing</t>
        </is>
      </c>
      <c r="E90" s="5" t="n">
        <v>1271.9</v>
      </c>
      <c r="F90" s="5" t="n">
        <v>1496.9</v>
      </c>
      <c r="G90" s="5" t="n">
        <v>915</v>
      </c>
      <c r="H90" s="5" t="n">
        <v>12</v>
      </c>
      <c r="I90" s="5" t="inlineStr">
        <is>
          <t>isolated_footing</t>
        </is>
      </c>
      <c r="J90" s="5" t="inlineStr">
        <is>
          <t>yes</t>
        </is>
      </c>
      <c r="K90" s="5" t="n">
        <v>915</v>
      </c>
      <c r="L90" s="5" t="n">
        <v>0.17</v>
      </c>
      <c r="M90" s="5" t="n">
        <v>0</v>
      </c>
      <c r="N90" s="5" t="inlineStr">
        <is>
          <t>yes</t>
        </is>
      </c>
    </row>
    <row r="91">
      <c r="A91" s="5" t="n">
        <v>90</v>
      </c>
      <c r="B91" s="5" t="inlineStr">
        <is>
          <t>S2-130130</t>
        </is>
      </c>
      <c r="C91" s="5" t="inlineStr">
        <is>
          <t>footing:S</t>
        </is>
      </c>
      <c r="D91" s="5" t="inlineStr">
        <is>
          <t>isolated_footing</t>
        </is>
      </c>
      <c r="E91" s="5" t="n">
        <v>1213.5</v>
      </c>
      <c r="F91" s="5" t="n">
        <v>1275</v>
      </c>
      <c r="G91" s="5" t="n">
        <v>933</v>
      </c>
      <c r="H91" s="5" t="n">
        <v>3</v>
      </c>
      <c r="I91" s="5" t="inlineStr">
        <is>
          <t>grade_beam</t>
        </is>
      </c>
      <c r="J91" s="5" t="inlineStr">
        <is>
          <t>no</t>
        </is>
      </c>
      <c r="K91" s="5" t="inlineStr">
        <is>
          <t>unmatched</t>
        </is>
      </c>
      <c r="L91" s="5" t="n"/>
      <c r="M91" s="5" t="n"/>
      <c r="N91" s="5" t="inlineStr">
        <is>
          <t>yes</t>
        </is>
      </c>
    </row>
    <row r="92">
      <c r="A92" s="5" t="n">
        <v>91</v>
      </c>
      <c r="B92" s="5" t="inlineStr">
        <is>
          <t>S11-129129</t>
        </is>
      </c>
      <c r="C92" s="5" t="inlineStr">
        <is>
          <t>footing:S</t>
        </is>
      </c>
      <c r="D92" s="5" t="inlineStr">
        <is>
          <t>isolated_footing</t>
        </is>
      </c>
      <c r="E92" s="5" t="n">
        <v>1147.9</v>
      </c>
      <c r="F92" s="5" t="n">
        <v>1929.2</v>
      </c>
      <c r="G92" s="5" t="n">
        <v>778</v>
      </c>
      <c r="H92" s="5" t="n">
        <v>13</v>
      </c>
      <c r="I92" s="5" t="inlineStr">
        <is>
          <t>isolated_footing</t>
        </is>
      </c>
      <c r="J92" s="5" t="inlineStr">
        <is>
          <t>yes</t>
        </is>
      </c>
      <c r="K92" s="5" t="n">
        <v>778</v>
      </c>
      <c r="L92" s="5" t="n">
        <v>0.14</v>
      </c>
      <c r="M92" s="5" t="n">
        <v>0</v>
      </c>
      <c r="N92" s="5" t="inlineStr">
        <is>
          <t>yes</t>
        </is>
      </c>
    </row>
    <row r="93">
      <c r="A93" s="5" t="n">
        <v>92</v>
      </c>
      <c r="B93" s="5" t="inlineStr">
        <is>
          <t>S19-129</t>
        </is>
      </c>
      <c r="C93" s="5" t="inlineStr">
        <is>
          <t>footing:S</t>
        </is>
      </c>
      <c r="D93" s="5" t="inlineStr">
        <is>
          <t>isolated_footing</t>
        </is>
      </c>
      <c r="E93" s="5" t="n">
        <v>820.8</v>
      </c>
      <c r="F93" s="5" t="n">
        <v>2556.2</v>
      </c>
      <c r="G93" s="5" t="n">
        <v>780</v>
      </c>
      <c r="H93" s="5" t="n">
        <v>13</v>
      </c>
      <c r="I93" s="5" t="inlineStr">
        <is>
          <t>isolated_footing</t>
        </is>
      </c>
      <c r="J93" s="5" t="inlineStr">
        <is>
          <t>yes</t>
        </is>
      </c>
      <c r="K93" s="5" t="n">
        <v>780</v>
      </c>
      <c r="L93" s="5" t="n">
        <v>0.2</v>
      </c>
      <c r="M93" s="5" t="n">
        <v>0</v>
      </c>
      <c r="N93" s="5" t="inlineStr">
        <is>
          <t>yes</t>
        </is>
      </c>
    </row>
    <row r="94">
      <c r="A94" s="5" t="n">
        <v>93</v>
      </c>
      <c r="B94" s="5" t="inlineStr">
        <is>
          <t>S2-129129</t>
        </is>
      </c>
      <c r="C94" s="5" t="inlineStr">
        <is>
          <t>footing:S</t>
        </is>
      </c>
      <c r="D94" s="5" t="inlineStr">
        <is>
          <t>isolated_footing</t>
        </is>
      </c>
      <c r="E94" s="5" t="n">
        <v>1353.1</v>
      </c>
      <c r="F94" s="5" t="n">
        <v>1805.2</v>
      </c>
      <c r="G94" s="5" t="n">
        <v>781</v>
      </c>
      <c r="H94" s="5" t="n">
        <v>12</v>
      </c>
      <c r="I94" s="5" t="inlineStr">
        <is>
          <t>isolated_footing</t>
        </is>
      </c>
      <c r="J94" s="5" t="inlineStr">
        <is>
          <t>yes</t>
        </is>
      </c>
      <c r="K94" s="5" t="n">
        <v>781</v>
      </c>
      <c r="L94" s="5" t="n">
        <v>0.16</v>
      </c>
      <c r="M94" s="5" t="n">
        <v>0</v>
      </c>
      <c r="N94" s="5" t="inlineStr">
        <is>
          <t>yes</t>
        </is>
      </c>
    </row>
    <row r="95">
      <c r="A95" s="5" t="n">
        <v>94</v>
      </c>
      <c r="B95" s="5" t="inlineStr">
        <is>
          <t>S2-129129</t>
        </is>
      </c>
      <c r="C95" s="5" t="inlineStr">
        <is>
          <t>footing:S</t>
        </is>
      </c>
      <c r="D95" s="5" t="inlineStr">
        <is>
          <t>isolated_footing</t>
        </is>
      </c>
      <c r="E95" s="5" t="n">
        <v>1411.5</v>
      </c>
      <c r="F95" s="5" t="n">
        <v>2026</v>
      </c>
      <c r="G95" s="5" t="n">
        <v>798</v>
      </c>
      <c r="H95" s="5" t="n">
        <v>3</v>
      </c>
      <c r="I95" s="5" t="inlineStr">
        <is>
          <t>grade_beam</t>
        </is>
      </c>
      <c r="J95" s="5" t="inlineStr">
        <is>
          <t>no</t>
        </is>
      </c>
      <c r="K95" s="5" t="n">
        <v>782</v>
      </c>
      <c r="L95" s="5" t="n">
        <v>0.16</v>
      </c>
      <c r="M95" s="5" t="n">
        <v>0</v>
      </c>
      <c r="N95" s="5" t="inlineStr">
        <is>
          <t>yes</t>
        </is>
      </c>
    </row>
    <row r="96">
      <c r="A96" s="5" t="n">
        <v>95</v>
      </c>
      <c r="B96" s="5" t="inlineStr">
        <is>
          <t>SC2-</t>
        </is>
      </c>
      <c r="C96" s="5" t="inlineStr">
        <is>
          <t>footing:SC</t>
        </is>
      </c>
      <c r="D96" s="5" t="inlineStr">
        <is>
          <t>combined_footing</t>
        </is>
      </c>
      <c r="E96" s="5" t="n">
        <v>1432.3</v>
      </c>
      <c r="F96" s="5" t="n">
        <v>2306.2</v>
      </c>
      <c r="G96" s="5" t="n">
        <v>784</v>
      </c>
      <c r="H96" s="5" t="n">
        <v>15</v>
      </c>
      <c r="I96" s="5" t="inlineStr">
        <is>
          <t>combined_footing</t>
        </is>
      </c>
      <c r="J96" s="5" t="inlineStr">
        <is>
          <t>yes</t>
        </is>
      </c>
      <c r="K96" s="5" t="n">
        <v>784</v>
      </c>
      <c r="L96" s="5" t="n">
        <v>0.34</v>
      </c>
      <c r="M96" s="5" t="n">
        <v>0</v>
      </c>
      <c r="N96" s="5" t="inlineStr">
        <is>
          <t>yes</t>
        </is>
      </c>
    </row>
    <row r="97">
      <c r="A97" s="5" t="n">
        <v>96</v>
      </c>
      <c r="B97" s="5" t="inlineStr">
        <is>
          <t>SC3</t>
        </is>
      </c>
      <c r="C97" s="5" t="inlineStr">
        <is>
          <t>footing:SC</t>
        </is>
      </c>
      <c r="D97" s="5" t="inlineStr">
        <is>
          <t>combined_footing</t>
        </is>
      </c>
      <c r="E97" s="5" t="n">
        <v>1061.5</v>
      </c>
      <c r="F97" s="5" t="n">
        <v>2500</v>
      </c>
      <c r="G97" s="5" t="n">
        <v>658</v>
      </c>
      <c r="H97" s="5" t="n">
        <v>14</v>
      </c>
      <c r="I97" s="5" t="inlineStr">
        <is>
          <t>combined_footing</t>
        </is>
      </c>
      <c r="J97" s="5" t="inlineStr">
        <is>
          <t>yes</t>
        </is>
      </c>
      <c r="K97" s="5" t="n">
        <v>658</v>
      </c>
      <c r="L97" s="5" t="n">
        <v>0.14</v>
      </c>
      <c r="M97" s="5" t="n">
        <v>0</v>
      </c>
      <c r="N97" s="5" t="inlineStr">
        <is>
          <t>yes</t>
        </is>
      </c>
    </row>
    <row r="98">
      <c r="A98" s="5" t="n">
        <v>97</v>
      </c>
      <c r="B98" s="5" t="inlineStr">
        <is>
          <t>SC7</t>
        </is>
      </c>
      <c r="C98" s="5" t="inlineStr">
        <is>
          <t>footing:SC</t>
        </is>
      </c>
      <c r="D98" s="5" t="inlineStr">
        <is>
          <t>combined_footing</t>
        </is>
      </c>
      <c r="E98" s="5" t="n">
        <v>1246.9</v>
      </c>
      <c r="F98" s="5" t="n">
        <v>2342.7</v>
      </c>
      <c r="G98" s="5" t="n">
        <v>785</v>
      </c>
      <c r="H98" s="5" t="n">
        <v>14</v>
      </c>
      <c r="I98" s="5" t="inlineStr">
        <is>
          <t>combined_footing</t>
        </is>
      </c>
      <c r="J98" s="5" t="inlineStr">
        <is>
          <t>yes</t>
        </is>
      </c>
      <c r="K98" s="5" t="n">
        <v>785</v>
      </c>
      <c r="L98" s="5" t="n">
        <v>0.23</v>
      </c>
      <c r="M98" s="5" t="n">
        <v>0</v>
      </c>
      <c r="N98" s="5" t="inlineStr">
        <is>
          <t>yes</t>
        </is>
      </c>
    </row>
    <row r="99">
      <c r="A99" s="5" t="n">
        <v>98</v>
      </c>
      <c r="B99" s="5" t="inlineStr">
        <is>
          <t>SC1-</t>
        </is>
      </c>
      <c r="C99" s="5" t="inlineStr">
        <is>
          <t>footing:SC</t>
        </is>
      </c>
      <c r="D99" s="5" t="inlineStr">
        <is>
          <t>combined_footing</t>
        </is>
      </c>
      <c r="E99" s="5" t="n">
        <v>870.8</v>
      </c>
      <c r="F99" s="5" t="n">
        <v>2675</v>
      </c>
      <c r="G99" s="5" t="n">
        <v>783</v>
      </c>
      <c r="H99" s="5" t="n">
        <v>14</v>
      </c>
      <c r="I99" s="5" t="inlineStr">
        <is>
          <t>combined_footing</t>
        </is>
      </c>
      <c r="J99" s="5" t="inlineStr">
        <is>
          <t>yes</t>
        </is>
      </c>
      <c r="K99" s="5" t="n">
        <v>783</v>
      </c>
      <c r="L99" s="5" t="n">
        <v>0.16</v>
      </c>
      <c r="M99" s="5" t="n">
        <v>0</v>
      </c>
      <c r="N99" s="5" t="inlineStr">
        <is>
          <t>yes</t>
        </is>
      </c>
    </row>
    <row r="100">
      <c r="A100" s="5" t="n">
        <v>99</v>
      </c>
      <c r="B100" s="5" t="inlineStr">
        <is>
          <t>S18-129129</t>
        </is>
      </c>
      <c r="C100" s="5" t="inlineStr">
        <is>
          <t>footing:S</t>
        </is>
      </c>
      <c r="D100" s="5" t="inlineStr">
        <is>
          <t>isolated_footing</t>
        </is>
      </c>
      <c r="E100" s="5" t="n">
        <v>944.8</v>
      </c>
      <c r="F100" s="5" t="n">
        <v>2071.9</v>
      </c>
      <c r="G100" s="5" t="n">
        <v>779</v>
      </c>
      <c r="H100" s="5" t="n">
        <v>13</v>
      </c>
      <c r="I100" s="5" t="inlineStr">
        <is>
          <t>isolated_footing</t>
        </is>
      </c>
      <c r="J100" s="5" t="inlineStr">
        <is>
          <t>yes</t>
        </is>
      </c>
      <c r="K100" s="5" t="n">
        <v>779</v>
      </c>
      <c r="L100" s="5" t="n">
        <v>0.19</v>
      </c>
      <c r="M100" s="5" t="n">
        <v>0</v>
      </c>
      <c r="N100" s="5" t="inlineStr">
        <is>
          <t>yes</t>
        </is>
      </c>
    </row>
    <row r="101">
      <c r="A101" s="5" t="n">
        <v>100</v>
      </c>
      <c r="B101" s="5" t="inlineStr">
        <is>
          <t>SC1-</t>
        </is>
      </c>
      <c r="C101" s="5" t="inlineStr">
        <is>
          <t>footing:SC</t>
        </is>
      </c>
      <c r="D101" s="5" t="inlineStr">
        <is>
          <t>combined_footing</t>
        </is>
      </c>
      <c r="E101" s="5" t="n">
        <v>1133.3</v>
      </c>
      <c r="F101" s="5" t="n">
        <v>1812.5</v>
      </c>
      <c r="G101" s="5" t="n">
        <v>920</v>
      </c>
      <c r="H101" s="5" t="n">
        <v>14</v>
      </c>
      <c r="I101" s="5" t="inlineStr">
        <is>
          <t>combined_footing</t>
        </is>
      </c>
      <c r="J101" s="5" t="inlineStr">
        <is>
          <t>yes</t>
        </is>
      </c>
      <c r="K101" s="5" t="n">
        <v>920</v>
      </c>
      <c r="L101" s="5" t="n">
        <v>0.09</v>
      </c>
      <c r="M101" s="5" t="n">
        <v>0</v>
      </c>
      <c r="N101" s="5" t="inlineStr">
        <is>
          <t>yes</t>
        </is>
      </c>
    </row>
    <row r="102">
      <c r="A102" s="5" t="n">
        <v>101</v>
      </c>
      <c r="B102" s="5" t="inlineStr">
        <is>
          <t>SC9-130130</t>
        </is>
      </c>
      <c r="C102" s="5" t="inlineStr">
        <is>
          <t>footing:SC</t>
        </is>
      </c>
      <c r="D102" s="5" t="inlineStr">
        <is>
          <t>combined_footing</t>
        </is>
      </c>
      <c r="E102" s="5" t="n">
        <v>880.2</v>
      </c>
      <c r="F102" s="5" t="n">
        <v>1825</v>
      </c>
      <c r="G102" s="5" t="n">
        <v>922</v>
      </c>
      <c r="H102" s="5" t="n">
        <v>14</v>
      </c>
      <c r="I102" s="5" t="inlineStr">
        <is>
          <t>combined_footing</t>
        </is>
      </c>
      <c r="J102" s="5" t="inlineStr">
        <is>
          <t>yes</t>
        </is>
      </c>
      <c r="K102" s="5" t="n">
        <v>922</v>
      </c>
      <c r="L102" s="5" t="n">
        <v>0.06</v>
      </c>
      <c r="M102" s="5" t="n">
        <v>0</v>
      </c>
      <c r="N102" s="5" t="inlineStr">
        <is>
          <t>yes</t>
        </is>
      </c>
    </row>
    <row r="103">
      <c r="A103" s="5" t="n">
        <v>102</v>
      </c>
      <c r="B103" s="5" t="inlineStr">
        <is>
          <t>V1/120/120</t>
        </is>
      </c>
      <c r="C103" s="5" t="inlineStr">
        <is>
          <t>wall</t>
        </is>
      </c>
      <c r="D103" s="5" t="inlineStr">
        <is>
          <t>shear_wall</t>
        </is>
      </c>
      <c r="E103" s="5" t="n">
        <v>4537.5</v>
      </c>
      <c r="F103" s="5" t="n">
        <v>678.1</v>
      </c>
      <c r="G103" s="5" t="n">
        <v>7</v>
      </c>
      <c r="H103" s="5" t="n">
        <v>31</v>
      </c>
      <c r="I103" s="5" t="inlineStr">
        <is>
          <t>shear_wall</t>
        </is>
      </c>
      <c r="J103" s="5" t="inlineStr">
        <is>
          <t>yes</t>
        </is>
      </c>
      <c r="K103" s="5" t="n">
        <v>7</v>
      </c>
      <c r="L103" s="5" t="n">
        <v>0.11</v>
      </c>
      <c r="M103" s="5" t="n">
        <v>0.22</v>
      </c>
      <c r="N103" s="5" t="inlineStr">
        <is>
          <t>yes</t>
        </is>
      </c>
    </row>
    <row r="104">
      <c r="A104" s="5" t="n">
        <v>103</v>
      </c>
      <c r="B104" s="5" t="inlineStr">
        <is>
          <t>V1/120/120</t>
        </is>
      </c>
      <c r="C104" s="5" t="inlineStr">
        <is>
          <t>wall</t>
        </is>
      </c>
      <c r="D104" s="5" t="inlineStr">
        <is>
          <t>shear_wall</t>
        </is>
      </c>
      <c r="E104" s="5" t="n">
        <v>4535.4</v>
      </c>
      <c r="F104" s="5" t="n">
        <v>822.9</v>
      </c>
      <c r="G104" s="5" t="n">
        <v>68</v>
      </c>
      <c r="H104" s="5" t="n">
        <v>3</v>
      </c>
      <c r="I104" s="5" t="inlineStr">
        <is>
          <t>grade_beam</t>
        </is>
      </c>
      <c r="J104" s="5" t="inlineStr">
        <is>
          <t>no</t>
        </is>
      </c>
      <c r="K104" s="5" t="n">
        <v>6</v>
      </c>
      <c r="L104" s="5" t="n">
        <v>0.13</v>
      </c>
      <c r="M104" s="5" t="n">
        <v>0.02</v>
      </c>
      <c r="N104" s="5" t="inlineStr">
        <is>
          <t>yes</t>
        </is>
      </c>
    </row>
    <row r="105">
      <c r="A105" s="5" t="n">
        <v>104</v>
      </c>
      <c r="B105" s="5" t="inlineStr">
        <is>
          <t>V1/120/120</t>
        </is>
      </c>
      <c r="C105" s="5" t="inlineStr">
        <is>
          <t>wall</t>
        </is>
      </c>
      <c r="D105" s="5" t="inlineStr">
        <is>
          <t>shear_wall</t>
        </is>
      </c>
      <c r="E105" s="5" t="n">
        <v>4538.5</v>
      </c>
      <c r="F105" s="5" t="n">
        <v>967.7</v>
      </c>
      <c r="G105" s="5" t="n">
        <v>64</v>
      </c>
      <c r="H105" s="5" t="n">
        <v>3</v>
      </c>
      <c r="I105" s="5" t="inlineStr">
        <is>
          <t>grade_beam</t>
        </is>
      </c>
      <c r="J105" s="5" t="inlineStr">
        <is>
          <t>no</t>
        </is>
      </c>
      <c r="K105" s="5" t="n">
        <v>8</v>
      </c>
      <c r="L105" s="5" t="n">
        <v>0.15</v>
      </c>
      <c r="M105" s="5" t="n">
        <v>0.09</v>
      </c>
      <c r="N105" s="5" t="inlineStr">
        <is>
          <t>yes</t>
        </is>
      </c>
    </row>
    <row r="106">
      <c r="A106" s="5" t="n">
        <v>105</v>
      </c>
      <c r="B106" s="5" t="inlineStr">
        <is>
          <t>V9/120/120</t>
        </is>
      </c>
      <c r="C106" s="5" t="inlineStr">
        <is>
          <t>wall</t>
        </is>
      </c>
      <c r="D106" s="5" t="inlineStr">
        <is>
          <t>shear_wall</t>
        </is>
      </c>
      <c r="E106" s="5" t="n">
        <v>4538.5</v>
      </c>
      <c r="F106" s="5" t="n">
        <v>1136.5</v>
      </c>
      <c r="G106" s="5" t="n">
        <v>19</v>
      </c>
      <c r="H106" s="5" t="n">
        <v>38</v>
      </c>
      <c r="I106" s="5" t="inlineStr">
        <is>
          <t>shear_wall</t>
        </is>
      </c>
      <c r="J106" s="5" t="inlineStr">
        <is>
          <t>yes</t>
        </is>
      </c>
      <c r="K106" s="5" t="n">
        <v>19</v>
      </c>
      <c r="L106" s="5" t="n">
        <v>0.11</v>
      </c>
      <c r="M106" s="5" t="n">
        <v>0.17</v>
      </c>
      <c r="N106" s="5" t="inlineStr">
        <is>
          <t>yes</t>
        </is>
      </c>
    </row>
    <row r="107">
      <c r="A107" s="5" t="n">
        <v>106</v>
      </c>
      <c r="B107" s="5" t="inlineStr">
        <is>
          <t>V4/120/120</t>
        </is>
      </c>
      <c r="C107" s="5" t="inlineStr">
        <is>
          <t>wall</t>
        </is>
      </c>
      <c r="D107" s="5" t="inlineStr">
        <is>
          <t>shear_wall</t>
        </is>
      </c>
      <c r="E107" s="5" t="n">
        <v>4671.9</v>
      </c>
      <c r="F107" s="5" t="n">
        <v>482.3</v>
      </c>
      <c r="G107" s="5" t="n">
        <v>16</v>
      </c>
      <c r="H107" s="5" t="n">
        <v>31</v>
      </c>
      <c r="I107" s="5" t="inlineStr">
        <is>
          <t>shear_wall</t>
        </is>
      </c>
      <c r="J107" s="5" t="inlineStr">
        <is>
          <t>yes</t>
        </is>
      </c>
      <c r="K107" s="5" t="n">
        <v>16</v>
      </c>
      <c r="L107" s="5" t="n">
        <v>0.6899999999999999</v>
      </c>
      <c r="M107" s="5" t="n">
        <v>1</v>
      </c>
      <c r="N107" s="5" t="inlineStr">
        <is>
          <t>yes</t>
        </is>
      </c>
    </row>
    <row r="108">
      <c r="A108" s="5" t="n">
        <v>107</v>
      </c>
      <c r="B108" s="5" t="inlineStr">
        <is>
          <t>V4/120/120</t>
        </is>
      </c>
      <c r="C108" s="5" t="inlineStr">
        <is>
          <t>wall</t>
        </is>
      </c>
      <c r="D108" s="5" t="inlineStr">
        <is>
          <t>shear_wall</t>
        </is>
      </c>
      <c r="E108" s="5" t="n">
        <v>4792.7</v>
      </c>
      <c r="F108" s="5" t="n">
        <v>472.9</v>
      </c>
      <c r="G108" s="5" t="n">
        <v>41</v>
      </c>
      <c r="H108" s="5" t="n">
        <v>12</v>
      </c>
      <c r="I108" s="5" t="inlineStr">
        <is>
          <t>isolated_footing</t>
        </is>
      </c>
      <c r="J108" s="5" t="inlineStr">
        <is>
          <t>no</t>
        </is>
      </c>
      <c r="K108" s="5" t="n">
        <v>15</v>
      </c>
      <c r="L108" s="5" t="n">
        <v>0.74</v>
      </c>
      <c r="M108" s="5" t="n">
        <v>0.99</v>
      </c>
      <c r="N108" s="5" t="inlineStr">
        <is>
          <t>yes</t>
        </is>
      </c>
    </row>
    <row r="109">
      <c r="A109" s="5" t="n">
        <v>108</v>
      </c>
      <c r="B109" s="5" t="inlineStr">
        <is>
          <t>V8/120/120</t>
        </is>
      </c>
      <c r="C109" s="5" t="inlineStr">
        <is>
          <t>wall</t>
        </is>
      </c>
      <c r="D109" s="5" t="inlineStr">
        <is>
          <t>shear_wall</t>
        </is>
      </c>
      <c r="E109" s="5" t="n">
        <v>4792.7</v>
      </c>
      <c r="F109" s="5" t="n">
        <v>634.4</v>
      </c>
      <c r="G109" s="5" t="n">
        <v>18</v>
      </c>
      <c r="H109" s="5" t="n">
        <v>29</v>
      </c>
      <c r="I109" s="5" t="inlineStr">
        <is>
          <t>shear_wall</t>
        </is>
      </c>
      <c r="J109" s="5" t="inlineStr">
        <is>
          <t>yes</t>
        </is>
      </c>
      <c r="K109" s="5" t="n">
        <v>18</v>
      </c>
      <c r="L109" s="5" t="n">
        <v>0.73</v>
      </c>
      <c r="M109" s="5" t="n">
        <v>1</v>
      </c>
      <c r="N109" s="5" t="inlineStr">
        <is>
          <t>yes</t>
        </is>
      </c>
    </row>
    <row r="110">
      <c r="A110" s="5" t="n">
        <v>109</v>
      </c>
      <c r="B110" s="5" t="inlineStr">
        <is>
          <t>V2/120/120</t>
        </is>
      </c>
      <c r="C110" s="5" t="inlineStr">
        <is>
          <t>wall</t>
        </is>
      </c>
      <c r="D110" s="5" t="inlineStr">
        <is>
          <t>shear_wall</t>
        </is>
      </c>
      <c r="E110" s="5" t="n">
        <v>4532.3</v>
      </c>
      <c r="F110" s="5" t="n">
        <v>1319.8</v>
      </c>
      <c r="G110" s="5" t="n">
        <v>9</v>
      </c>
      <c r="H110" s="5" t="n">
        <v>31</v>
      </c>
      <c r="I110" s="5" t="inlineStr">
        <is>
          <t>shear_wall</t>
        </is>
      </c>
      <c r="J110" s="5" t="inlineStr">
        <is>
          <t>yes</t>
        </is>
      </c>
      <c r="K110" s="5" t="n">
        <v>9</v>
      </c>
      <c r="L110" s="5" t="n">
        <v>0.11</v>
      </c>
      <c r="M110" s="5" t="n">
        <v>0</v>
      </c>
      <c r="N110" s="5" t="inlineStr">
        <is>
          <t>yes</t>
        </is>
      </c>
    </row>
    <row r="111">
      <c r="A111" s="5" t="n">
        <v>110</v>
      </c>
      <c r="B111" s="5" t="inlineStr">
        <is>
          <t>V2/120/120</t>
        </is>
      </c>
      <c r="C111" s="5" t="inlineStr">
        <is>
          <t>wall</t>
        </is>
      </c>
      <c r="D111" s="5" t="inlineStr">
        <is>
          <t>shear_wall</t>
        </is>
      </c>
      <c r="E111" s="5" t="n">
        <v>4759.4</v>
      </c>
      <c r="F111" s="5" t="n">
        <v>1319.8</v>
      </c>
      <c r="G111" s="5" t="n">
        <v>63</v>
      </c>
      <c r="H111" s="5" t="n">
        <v>3</v>
      </c>
      <c r="I111" s="5" t="inlineStr">
        <is>
          <t>grade_beam</t>
        </is>
      </c>
      <c r="J111" s="5" t="inlineStr">
        <is>
          <t>no</t>
        </is>
      </c>
      <c r="K111" s="5" t="n">
        <v>10</v>
      </c>
      <c r="L111" s="5" t="n">
        <v>0.11</v>
      </c>
      <c r="M111" s="5" t="n">
        <v>0</v>
      </c>
      <c r="N111" s="5" t="inlineStr">
        <is>
          <t>yes</t>
        </is>
      </c>
    </row>
    <row r="112">
      <c r="A112" s="5" t="n">
        <v>111</v>
      </c>
      <c r="B112" s="5" t="inlineStr">
        <is>
          <t>V5/120/120</t>
        </is>
      </c>
      <c r="C112" s="5" t="inlineStr">
        <is>
          <t>wall</t>
        </is>
      </c>
      <c r="D112" s="5" t="inlineStr">
        <is>
          <t>shear_wall</t>
        </is>
      </c>
      <c r="E112" s="5" t="n">
        <v>4761.5</v>
      </c>
      <c r="F112" s="5" t="n">
        <v>1052.1</v>
      </c>
      <c r="G112" s="5" t="n">
        <v>17</v>
      </c>
      <c r="H112" s="5" t="n">
        <v>27</v>
      </c>
      <c r="I112" s="5" t="inlineStr">
        <is>
          <t>shear_wall</t>
        </is>
      </c>
      <c r="J112" s="5" t="inlineStr">
        <is>
          <t>yes</t>
        </is>
      </c>
      <c r="K112" s="5" t="n">
        <v>17</v>
      </c>
      <c r="L112" s="5" t="n">
        <v>0.08</v>
      </c>
      <c r="M112" s="5" t="n">
        <v>1</v>
      </c>
      <c r="N112" s="5" t="inlineStr">
        <is>
          <t>yes</t>
        </is>
      </c>
    </row>
    <row r="113">
      <c r="A113" s="5" t="n">
        <v>112</v>
      </c>
      <c r="B113" s="5" t="inlineStr">
        <is>
          <t>V3/120120</t>
        </is>
      </c>
      <c r="C113" s="5" t="inlineStr">
        <is>
          <t>wall</t>
        </is>
      </c>
      <c r="D113" s="5" t="inlineStr">
        <is>
          <t>shear_wall</t>
        </is>
      </c>
      <c r="E113" s="5" t="n">
        <v>4328.1</v>
      </c>
      <c r="F113" s="5" t="n">
        <v>632.3</v>
      </c>
      <c r="G113" s="5" t="n">
        <v>67</v>
      </c>
      <c r="H113" s="5" t="n">
        <v>3</v>
      </c>
      <c r="I113" s="5" t="inlineStr">
        <is>
          <t>grade_beam</t>
        </is>
      </c>
      <c r="J113" s="5" t="inlineStr">
        <is>
          <t>no</t>
        </is>
      </c>
      <c r="K113" s="5" t="n">
        <v>14</v>
      </c>
      <c r="L113" s="5" t="n">
        <v>0.23</v>
      </c>
      <c r="M113" s="5" t="n">
        <v>0</v>
      </c>
      <c r="N113" s="5" t="inlineStr">
        <is>
          <t>yes</t>
        </is>
      </c>
    </row>
    <row r="114">
      <c r="A114" s="5" t="n">
        <v>113</v>
      </c>
      <c r="B114" s="5" t="inlineStr">
        <is>
          <t>V3/120/120</t>
        </is>
      </c>
      <c r="C114" s="5" t="inlineStr">
        <is>
          <t>wall</t>
        </is>
      </c>
      <c r="D114" s="5" t="inlineStr">
        <is>
          <t>shear_wall</t>
        </is>
      </c>
      <c r="E114" s="5" t="n">
        <v>4327.1</v>
      </c>
      <c r="F114" s="5" t="n">
        <v>861.5</v>
      </c>
      <c r="G114" s="5" t="n">
        <v>11</v>
      </c>
      <c r="H114" s="5" t="n">
        <v>31</v>
      </c>
      <c r="I114" s="5" t="inlineStr">
        <is>
          <t>shear_wall</t>
        </is>
      </c>
      <c r="J114" s="5" t="inlineStr">
        <is>
          <t>yes</t>
        </is>
      </c>
      <c r="K114" s="5" t="n">
        <v>11</v>
      </c>
      <c r="L114" s="5" t="n">
        <v>0.21</v>
      </c>
      <c r="M114" s="5" t="n">
        <v>0</v>
      </c>
      <c r="N114" s="5" t="inlineStr">
        <is>
          <t>yes</t>
        </is>
      </c>
    </row>
    <row r="115">
      <c r="A115" s="5" t="n">
        <v>114</v>
      </c>
      <c r="B115" s="5" t="inlineStr">
        <is>
          <t>V3/120/120</t>
        </is>
      </c>
      <c r="C115" s="5" t="inlineStr">
        <is>
          <t>wall</t>
        </is>
      </c>
      <c r="D115" s="5" t="inlineStr">
        <is>
          <t>shear_wall</t>
        </is>
      </c>
      <c r="E115" s="5" t="n">
        <v>4326</v>
      </c>
      <c r="F115" s="5" t="n">
        <v>1090.6</v>
      </c>
      <c r="G115" s="5" t="n">
        <v>66</v>
      </c>
      <c r="H115" s="5" t="n">
        <v>3</v>
      </c>
      <c r="I115" s="5" t="inlineStr">
        <is>
          <t>grade_beam</t>
        </is>
      </c>
      <c r="J115" s="5" t="inlineStr">
        <is>
          <t>no</t>
        </is>
      </c>
      <c r="K115" s="5" t="n">
        <v>13</v>
      </c>
      <c r="L115" s="5" t="n">
        <v>0.19</v>
      </c>
      <c r="M115" s="5" t="n">
        <v>0</v>
      </c>
      <c r="N115" s="5" t="inlineStr">
        <is>
          <t>yes</t>
        </is>
      </c>
    </row>
    <row r="116">
      <c r="A116" s="5" t="n">
        <v>115</v>
      </c>
      <c r="B116" s="5" t="inlineStr">
        <is>
          <t>V3/120/120</t>
        </is>
      </c>
      <c r="C116" s="5" t="inlineStr">
        <is>
          <t>wall</t>
        </is>
      </c>
      <c r="D116" s="5" t="inlineStr">
        <is>
          <t>shear_wall</t>
        </is>
      </c>
      <c r="E116" s="5" t="n">
        <v>4271.9</v>
      </c>
      <c r="F116" s="5" t="n">
        <v>1319.8</v>
      </c>
      <c r="G116" s="5" t="n">
        <v>12</v>
      </c>
      <c r="H116" s="5" t="n">
        <v>31</v>
      </c>
      <c r="I116" s="5" t="inlineStr">
        <is>
          <t>shear_wall</t>
        </is>
      </c>
      <c r="J116" s="5" t="inlineStr">
        <is>
          <t>yes</t>
        </is>
      </c>
      <c r="K116" s="5" t="n">
        <v>12</v>
      </c>
      <c r="L116" s="5" t="n">
        <v>0.11</v>
      </c>
      <c r="M116" s="5" t="n">
        <v>0</v>
      </c>
      <c r="N116" s="5" t="inlineStr">
        <is>
          <t>yes</t>
        </is>
      </c>
    </row>
    <row r="117">
      <c r="A117" s="5" t="n">
        <v>116</v>
      </c>
      <c r="B117" s="5" t="inlineStr">
        <is>
          <t>V1/121/121</t>
        </is>
      </c>
      <c r="C117" s="5" t="inlineStr">
        <is>
          <t>wall</t>
        </is>
      </c>
      <c r="D117" s="5" t="inlineStr">
        <is>
          <t>shear_wall</t>
        </is>
      </c>
      <c r="E117" s="5" t="n">
        <v>4537.5</v>
      </c>
      <c r="F117" s="5" t="n">
        <v>1346.9</v>
      </c>
      <c r="G117" s="5" t="n">
        <v>139</v>
      </c>
      <c r="H117" s="5" t="n">
        <v>3</v>
      </c>
      <c r="I117" s="5" t="inlineStr">
        <is>
          <t>grade_beam</t>
        </is>
      </c>
      <c r="J117" s="5" t="inlineStr">
        <is>
          <t>no</t>
        </is>
      </c>
      <c r="K117" s="5" t="n">
        <v>86</v>
      </c>
      <c r="L117" s="5" t="n">
        <v>0.2</v>
      </c>
      <c r="M117" s="5" t="n">
        <v>0.24</v>
      </c>
      <c r="N117" s="5" t="inlineStr">
        <is>
          <t>yes</t>
        </is>
      </c>
    </row>
    <row r="118">
      <c r="A118" s="5" t="n">
        <v>117</v>
      </c>
      <c r="B118" s="5" t="inlineStr">
        <is>
          <t>V1/121/121</t>
        </is>
      </c>
      <c r="C118" s="5" t="inlineStr">
        <is>
          <t>wall</t>
        </is>
      </c>
      <c r="D118" s="5" t="inlineStr">
        <is>
          <t>shear_wall</t>
        </is>
      </c>
      <c r="E118" s="5" t="n">
        <v>4535.4</v>
      </c>
      <c r="F118" s="5" t="n">
        <v>1653.1</v>
      </c>
      <c r="G118" s="5" t="n">
        <v>144</v>
      </c>
      <c r="H118" s="5" t="n">
        <v>3</v>
      </c>
      <c r="I118" s="5" t="inlineStr">
        <is>
          <t>grade_beam</t>
        </is>
      </c>
      <c r="J118" s="5" t="inlineStr">
        <is>
          <t>no</t>
        </is>
      </c>
      <c r="K118" s="5" t="n">
        <v>85</v>
      </c>
      <c r="L118" s="5" t="n">
        <v>0.1</v>
      </c>
      <c r="M118" s="5" t="n">
        <v>0.03</v>
      </c>
      <c r="N118" s="5" t="inlineStr">
        <is>
          <t>yes</t>
        </is>
      </c>
    </row>
    <row r="119">
      <c r="A119" s="5" t="n">
        <v>118</v>
      </c>
      <c r="B119" s="5" t="inlineStr">
        <is>
          <t>V1/121/121</t>
        </is>
      </c>
      <c r="C119" s="5" t="inlineStr">
        <is>
          <t>wall</t>
        </is>
      </c>
      <c r="D119" s="5" t="inlineStr">
        <is>
          <t>shear_wall</t>
        </is>
      </c>
      <c r="E119" s="5" t="n">
        <v>4536.5</v>
      </c>
      <c r="F119" s="5" t="n">
        <v>1786.5</v>
      </c>
      <c r="G119" s="5" t="n">
        <v>84</v>
      </c>
      <c r="H119" s="5" t="n">
        <v>31</v>
      </c>
      <c r="I119" s="5" t="inlineStr">
        <is>
          <t>shear_wall</t>
        </is>
      </c>
      <c r="J119" s="5" t="inlineStr">
        <is>
          <t>yes</t>
        </is>
      </c>
      <c r="K119" s="5" t="n">
        <v>84</v>
      </c>
      <c r="L119" s="5" t="n">
        <v>0.22</v>
      </c>
      <c r="M119" s="5" t="n">
        <v>0.16</v>
      </c>
      <c r="N119" s="5" t="inlineStr">
        <is>
          <t>yes</t>
        </is>
      </c>
    </row>
    <row r="120">
      <c r="A120" s="5" t="n">
        <v>119</v>
      </c>
      <c r="B120" s="5" t="inlineStr">
        <is>
          <t>V2/121/121</t>
        </is>
      </c>
      <c r="C120" s="5" t="inlineStr">
        <is>
          <t>wall</t>
        </is>
      </c>
      <c r="D120" s="5" t="inlineStr">
        <is>
          <t>shear_wall</t>
        </is>
      </c>
      <c r="E120" s="5" t="n">
        <v>4768.8</v>
      </c>
      <c r="F120" s="5" t="n">
        <v>1346.9</v>
      </c>
      <c r="G120" s="5" t="n">
        <v>87</v>
      </c>
      <c r="H120" s="5" t="n">
        <v>33</v>
      </c>
      <c r="I120" s="5" t="inlineStr">
        <is>
          <t>shear_wall</t>
        </is>
      </c>
      <c r="J120" s="5" t="inlineStr">
        <is>
          <t>yes</t>
        </is>
      </c>
      <c r="K120" s="5" t="n">
        <v>87</v>
      </c>
      <c r="L120" s="5" t="n">
        <v>0.2</v>
      </c>
      <c r="M120" s="5" t="n">
        <v>0</v>
      </c>
      <c r="N120" s="5" t="inlineStr">
        <is>
          <t>yes</t>
        </is>
      </c>
    </row>
    <row r="121">
      <c r="A121" s="5" t="n">
        <v>120</v>
      </c>
      <c r="B121" s="5" t="inlineStr">
        <is>
          <t>V2/121/121</t>
        </is>
      </c>
      <c r="C121" s="5" t="inlineStr">
        <is>
          <t>wall</t>
        </is>
      </c>
      <c r="D121" s="5" t="inlineStr">
        <is>
          <t>shear_wall</t>
        </is>
      </c>
      <c r="E121" s="5" t="n">
        <v>4762.5</v>
      </c>
      <c r="F121" s="5" t="n">
        <v>2124</v>
      </c>
      <c r="G121" s="5" t="n">
        <v>88</v>
      </c>
      <c r="H121" s="5" t="n">
        <v>37</v>
      </c>
      <c r="I121" s="5" t="inlineStr">
        <is>
          <t>shear_wall</t>
        </is>
      </c>
      <c r="J121" s="5" t="inlineStr">
        <is>
          <t>yes</t>
        </is>
      </c>
      <c r="K121" s="5" t="n">
        <v>88</v>
      </c>
      <c r="L121" s="5" t="n">
        <v>0.13</v>
      </c>
      <c r="M121" s="5" t="n">
        <v>0</v>
      </c>
      <c r="N121" s="5" t="inlineStr">
        <is>
          <t>yes</t>
        </is>
      </c>
    </row>
    <row r="122">
      <c r="A122" s="5" t="n">
        <v>121</v>
      </c>
      <c r="B122" s="5" t="inlineStr">
        <is>
          <t>V2/121/121</t>
        </is>
      </c>
      <c r="C122" s="5" t="inlineStr">
        <is>
          <t>wall</t>
        </is>
      </c>
      <c r="D122" s="5" t="inlineStr">
        <is>
          <t>shear_wall</t>
        </is>
      </c>
      <c r="E122" s="5" t="n">
        <v>4534.4</v>
      </c>
      <c r="F122" s="5" t="n">
        <v>2124</v>
      </c>
      <c r="G122" s="5" t="n">
        <v>89</v>
      </c>
      <c r="H122" s="5" t="n">
        <v>33</v>
      </c>
      <c r="I122" s="5" t="inlineStr">
        <is>
          <t>shear_wall</t>
        </is>
      </c>
      <c r="J122" s="5" t="inlineStr">
        <is>
          <t>yes</t>
        </is>
      </c>
      <c r="K122" s="5" t="n">
        <v>89</v>
      </c>
      <c r="L122" s="5" t="n">
        <v>0.15</v>
      </c>
      <c r="M122" s="5" t="n">
        <v>0</v>
      </c>
      <c r="N122" s="5" t="inlineStr">
        <is>
          <t>yes</t>
        </is>
      </c>
    </row>
    <row r="123">
      <c r="A123" s="5" t="n">
        <v>122</v>
      </c>
      <c r="B123" s="5" t="inlineStr">
        <is>
          <t>V6/121/121</t>
        </is>
      </c>
      <c r="C123" s="5" t="inlineStr">
        <is>
          <t>wall</t>
        </is>
      </c>
      <c r="D123" s="5" t="inlineStr">
        <is>
          <t>shear_wall</t>
        </is>
      </c>
      <c r="E123" s="5" t="n">
        <v>4761.5</v>
      </c>
      <c r="F123" s="5" t="n">
        <v>1710.4</v>
      </c>
      <c r="G123" s="5" t="n">
        <v>95</v>
      </c>
      <c r="H123" s="5" t="n">
        <v>28</v>
      </c>
      <c r="I123" s="5" t="inlineStr">
        <is>
          <t>shear_wall</t>
        </is>
      </c>
      <c r="J123" s="5" t="inlineStr">
        <is>
          <t>yes</t>
        </is>
      </c>
      <c r="K123" s="5" t="n">
        <v>95</v>
      </c>
      <c r="L123" s="5" t="n">
        <v>0.11</v>
      </c>
      <c r="M123" s="5" t="n">
        <v>1</v>
      </c>
      <c r="N123" s="5" t="inlineStr">
        <is>
          <t>yes</t>
        </is>
      </c>
    </row>
    <row r="124">
      <c r="A124" s="5" t="n">
        <v>123</v>
      </c>
      <c r="B124" s="5" t="inlineStr">
        <is>
          <t>V8/121/121</t>
        </is>
      </c>
      <c r="C124" s="5" t="inlineStr">
        <is>
          <t>wall</t>
        </is>
      </c>
      <c r="D124" s="5" t="inlineStr">
        <is>
          <t>shear_wall</t>
        </is>
      </c>
      <c r="E124" s="5" t="n">
        <v>4590.6</v>
      </c>
      <c r="F124" s="5" t="n">
        <v>1936.5</v>
      </c>
      <c r="G124" s="5" t="n">
        <v>145</v>
      </c>
      <c r="H124" s="5" t="n">
        <v>3</v>
      </c>
      <c r="I124" s="5" t="inlineStr">
        <is>
          <t>grade_beam</t>
        </is>
      </c>
      <c r="J124" s="5" t="inlineStr">
        <is>
          <t>no</t>
        </is>
      </c>
      <c r="K124" s="5" t="n">
        <v>96</v>
      </c>
      <c r="L124" s="5" t="n">
        <v>0.14</v>
      </c>
      <c r="M124" s="5" t="n">
        <v>0.19</v>
      </c>
      <c r="N124" s="5" t="inlineStr">
        <is>
          <t>yes</t>
        </is>
      </c>
    </row>
    <row r="125">
      <c r="A125" s="5" t="n">
        <v>124</v>
      </c>
      <c r="B125" s="5" t="inlineStr">
        <is>
          <t>V3/121/121</t>
        </is>
      </c>
      <c r="C125" s="5" t="inlineStr">
        <is>
          <t>wall</t>
        </is>
      </c>
      <c r="D125" s="5" t="inlineStr">
        <is>
          <t>shear_wall</t>
        </is>
      </c>
      <c r="E125" s="5" t="n">
        <v>4317.7</v>
      </c>
      <c r="F125" s="5" t="n">
        <v>1574</v>
      </c>
      <c r="G125" s="5" t="n">
        <v>143</v>
      </c>
      <c r="H125" s="5" t="n">
        <v>3</v>
      </c>
      <c r="I125" s="5" t="inlineStr">
        <is>
          <t>grade_beam</t>
        </is>
      </c>
      <c r="J125" s="5" t="inlineStr">
        <is>
          <t>no</t>
        </is>
      </c>
      <c r="K125" s="5" t="n">
        <v>92</v>
      </c>
      <c r="L125" s="5" t="n">
        <v>0.23</v>
      </c>
      <c r="M125" s="5" t="n">
        <v>0</v>
      </c>
      <c r="N125" s="5" t="inlineStr">
        <is>
          <t>yes</t>
        </is>
      </c>
    </row>
    <row r="126">
      <c r="A126" s="5" t="n">
        <v>125</v>
      </c>
      <c r="B126" s="5" t="inlineStr">
        <is>
          <t>V3/121/121</t>
        </is>
      </c>
      <c r="C126" s="5" t="inlineStr">
        <is>
          <t>wall</t>
        </is>
      </c>
      <c r="D126" s="5" t="inlineStr">
        <is>
          <t>shear_wall</t>
        </is>
      </c>
      <c r="E126" s="5" t="n">
        <v>4324</v>
      </c>
      <c r="F126" s="5" t="n">
        <v>1805.2</v>
      </c>
      <c r="G126" s="5" t="n">
        <v>141</v>
      </c>
      <c r="H126" s="5" t="n">
        <v>3</v>
      </c>
      <c r="I126" s="5" t="inlineStr">
        <is>
          <t>grade_beam</t>
        </is>
      </c>
      <c r="J126" s="5" t="inlineStr">
        <is>
          <t>no</t>
        </is>
      </c>
      <c r="K126" s="5" t="n">
        <v>94</v>
      </c>
      <c r="L126" s="5" t="n">
        <v>0.4</v>
      </c>
      <c r="M126" s="5" t="n">
        <v>0</v>
      </c>
      <c r="N126" s="5" t="inlineStr">
        <is>
          <t>yes</t>
        </is>
      </c>
    </row>
    <row r="127">
      <c r="A127" s="5" t="n">
        <v>126</v>
      </c>
      <c r="B127" s="5" t="inlineStr">
        <is>
          <t>V3/121/121</t>
        </is>
      </c>
      <c r="C127" s="5" t="inlineStr">
        <is>
          <t>wall</t>
        </is>
      </c>
      <c r="D127" s="5" t="inlineStr">
        <is>
          <t>shear_wall</t>
        </is>
      </c>
      <c r="E127" s="5" t="n">
        <v>4325</v>
      </c>
      <c r="F127" s="5" t="n">
        <v>2036.5</v>
      </c>
      <c r="G127" s="5" t="n">
        <v>142</v>
      </c>
      <c r="H127" s="5" t="n">
        <v>3</v>
      </c>
      <c r="I127" s="5" t="inlineStr">
        <is>
          <t>grade_beam</t>
        </is>
      </c>
      <c r="J127" s="5" t="inlineStr">
        <is>
          <t>no</t>
        </is>
      </c>
      <c r="K127" s="5" t="n">
        <v>93</v>
      </c>
      <c r="L127" s="5" t="n">
        <v>0.48</v>
      </c>
      <c r="M127" s="5" t="n">
        <v>0</v>
      </c>
      <c r="N127" s="5" t="inlineStr">
        <is>
          <t>yes</t>
        </is>
      </c>
    </row>
    <row r="128">
      <c r="A128" s="5" t="n">
        <v>127</v>
      </c>
      <c r="B128" s="5" t="inlineStr">
        <is>
          <t>V9/121/121</t>
        </is>
      </c>
      <c r="C128" s="5" t="inlineStr">
        <is>
          <t>wall</t>
        </is>
      </c>
      <c r="D128" s="5" t="inlineStr">
        <is>
          <t>shear_wall</t>
        </is>
      </c>
      <c r="E128" s="5" t="n">
        <v>4974</v>
      </c>
      <c r="F128" s="5" t="n">
        <v>1786.5</v>
      </c>
      <c r="G128" s="5" t="n">
        <v>115</v>
      </c>
      <c r="H128" s="5" t="n">
        <v>30</v>
      </c>
      <c r="I128" s="5" t="inlineStr">
        <is>
          <t>retaining_wall</t>
        </is>
      </c>
      <c r="J128" s="5" t="inlineStr">
        <is>
          <t>no</t>
        </is>
      </c>
      <c r="K128" s="5" t="n">
        <v>97</v>
      </c>
      <c r="L128" s="5" t="n">
        <v>0.25</v>
      </c>
      <c r="M128" s="5" t="n">
        <v>0.18</v>
      </c>
      <c r="N128" s="5" t="inlineStr">
        <is>
          <t>yes</t>
        </is>
      </c>
    </row>
    <row r="129">
      <c r="A129" s="5" t="n">
        <v>128</v>
      </c>
      <c r="B129" s="5" t="inlineStr">
        <is>
          <t>V1/122/122</t>
        </is>
      </c>
      <c r="C129" s="5" t="inlineStr">
        <is>
          <t>wall</t>
        </is>
      </c>
      <c r="D129" s="5" t="inlineStr">
        <is>
          <t>shear_wall</t>
        </is>
      </c>
      <c r="E129" s="5" t="n">
        <v>4539.6</v>
      </c>
      <c r="F129" s="5" t="n">
        <v>2154.2</v>
      </c>
      <c r="G129" s="5" t="n">
        <v>202</v>
      </c>
      <c r="H129" s="5" t="n">
        <v>33</v>
      </c>
      <c r="I129" s="5" t="inlineStr">
        <is>
          <t>shear_wall</t>
        </is>
      </c>
      <c r="J129" s="5" t="inlineStr">
        <is>
          <t>yes</t>
        </is>
      </c>
      <c r="K129" s="5" t="n">
        <v>202</v>
      </c>
      <c r="L129" s="5" t="n">
        <v>0.22</v>
      </c>
      <c r="M129" s="5" t="n">
        <v>0</v>
      </c>
      <c r="N129" s="5" t="inlineStr">
        <is>
          <t>yes</t>
        </is>
      </c>
    </row>
    <row r="130">
      <c r="A130" s="5" t="n">
        <v>129</v>
      </c>
      <c r="B130" s="5" t="inlineStr">
        <is>
          <t>V1/122/122</t>
        </is>
      </c>
      <c r="C130" s="5" t="inlineStr">
        <is>
          <t>wall</t>
        </is>
      </c>
      <c r="D130" s="5" t="inlineStr">
        <is>
          <t>shear_wall</t>
        </is>
      </c>
      <c r="E130" s="5" t="n">
        <v>4760.4</v>
      </c>
      <c r="F130" s="5" t="n">
        <v>2153.1</v>
      </c>
      <c r="G130" s="5" t="n">
        <v>201</v>
      </c>
      <c r="H130" s="5" t="n">
        <v>33</v>
      </c>
      <c r="I130" s="5" t="inlineStr">
        <is>
          <t>shear_wall</t>
        </is>
      </c>
      <c r="J130" s="5" t="inlineStr">
        <is>
          <t>yes</t>
        </is>
      </c>
      <c r="K130" s="5" t="n">
        <v>201</v>
      </c>
      <c r="L130" s="5" t="n">
        <v>0.21</v>
      </c>
      <c r="M130" s="5" t="n">
        <v>0</v>
      </c>
      <c r="N130" s="5" t="inlineStr">
        <is>
          <t>yes</t>
        </is>
      </c>
    </row>
    <row r="131">
      <c r="A131" s="5" t="n">
        <v>130</v>
      </c>
      <c r="B131" s="5" t="inlineStr">
        <is>
          <t>V1/122/122</t>
        </is>
      </c>
      <c r="C131" s="5" t="inlineStr">
        <is>
          <t>wall</t>
        </is>
      </c>
      <c r="D131" s="5" t="inlineStr">
        <is>
          <t>shear_wall</t>
        </is>
      </c>
      <c r="E131" s="5" t="n">
        <v>4996.9</v>
      </c>
      <c r="F131" s="5" t="n">
        <v>2934.4</v>
      </c>
      <c r="G131" s="5" t="n">
        <v>200</v>
      </c>
      <c r="H131" s="5" t="n">
        <v>33</v>
      </c>
      <c r="I131" s="5" t="inlineStr">
        <is>
          <t>shear_wall</t>
        </is>
      </c>
      <c r="J131" s="5" t="inlineStr">
        <is>
          <t>yes</t>
        </is>
      </c>
      <c r="K131" s="5" t="n">
        <v>200</v>
      </c>
      <c r="L131" s="5" t="n">
        <v>0.14</v>
      </c>
      <c r="M131" s="5" t="n">
        <v>0</v>
      </c>
      <c r="N131" s="5" t="inlineStr">
        <is>
          <t>yes</t>
        </is>
      </c>
    </row>
    <row r="132">
      <c r="A132" s="5" t="n">
        <v>131</v>
      </c>
      <c r="B132" s="5" t="inlineStr">
        <is>
          <t>V1/122/122</t>
        </is>
      </c>
      <c r="C132" s="5" t="inlineStr">
        <is>
          <t>wall</t>
        </is>
      </c>
      <c r="D132" s="5" t="inlineStr">
        <is>
          <t>shear_wall</t>
        </is>
      </c>
      <c r="E132" s="5" t="n">
        <v>4768.8</v>
      </c>
      <c r="F132" s="5" t="n">
        <v>2977.1</v>
      </c>
      <c r="G132" s="5" t="n">
        <v>203</v>
      </c>
      <c r="H132" s="5" t="n">
        <v>35</v>
      </c>
      <c r="I132" s="5" t="inlineStr">
        <is>
          <t>shear_wall</t>
        </is>
      </c>
      <c r="J132" s="5" t="inlineStr">
        <is>
          <t>yes</t>
        </is>
      </c>
      <c r="K132" s="5" t="n">
        <v>203</v>
      </c>
      <c r="L132" s="5" t="n">
        <v>0.14</v>
      </c>
      <c r="M132" s="5" t="n">
        <v>0</v>
      </c>
      <c r="N132" s="5" t="inlineStr">
        <is>
          <t>yes</t>
        </is>
      </c>
    </row>
    <row r="133">
      <c r="A133" s="5" t="n">
        <v>132</v>
      </c>
      <c r="B133" s="5" t="inlineStr">
        <is>
          <t>V2/122/122</t>
        </is>
      </c>
      <c r="C133" s="5" t="inlineStr">
        <is>
          <t>wall</t>
        </is>
      </c>
      <c r="D133" s="5" t="inlineStr">
        <is>
          <t>shear_wall</t>
        </is>
      </c>
      <c r="E133" s="5" t="n">
        <v>4538.5</v>
      </c>
      <c r="F133" s="5" t="n">
        <v>2320.8</v>
      </c>
      <c r="G133" s="5" t="n">
        <v>204</v>
      </c>
      <c r="H133" s="5" t="n">
        <v>38</v>
      </c>
      <c r="I133" s="5" t="inlineStr">
        <is>
          <t>shear_wall</t>
        </is>
      </c>
      <c r="J133" s="5" t="inlineStr">
        <is>
          <t>yes</t>
        </is>
      </c>
      <c r="K133" s="5" t="n">
        <v>204</v>
      </c>
      <c r="L133" s="5" t="n">
        <v>0.12</v>
      </c>
      <c r="M133" s="5" t="n">
        <v>0.01</v>
      </c>
      <c r="N133" s="5" t="inlineStr">
        <is>
          <t>yes</t>
        </is>
      </c>
    </row>
    <row r="134">
      <c r="A134" s="5" t="n">
        <v>133</v>
      </c>
      <c r="B134" s="5" t="inlineStr">
        <is>
          <t>V2/122/122</t>
        </is>
      </c>
      <c r="C134" s="5" t="inlineStr">
        <is>
          <t>wall</t>
        </is>
      </c>
      <c r="D134" s="5" t="inlineStr">
        <is>
          <t>shear_wall</t>
        </is>
      </c>
      <c r="E134" s="5" t="n">
        <v>4538.5</v>
      </c>
      <c r="F134" s="5" t="n">
        <v>2808.3</v>
      </c>
      <c r="G134" s="5" t="n">
        <v>205</v>
      </c>
      <c r="H134" s="5" t="n">
        <v>38</v>
      </c>
      <c r="I134" s="5" t="inlineStr">
        <is>
          <t>shear_wall</t>
        </is>
      </c>
      <c r="J134" s="5" t="inlineStr">
        <is>
          <t>yes</t>
        </is>
      </c>
      <c r="K134" s="5" t="n">
        <v>205</v>
      </c>
      <c r="L134" s="5" t="n">
        <v>0.12</v>
      </c>
      <c r="M134" s="5" t="n">
        <v>0.03</v>
      </c>
      <c r="N134" s="5" t="inlineStr">
        <is>
          <t>yes</t>
        </is>
      </c>
    </row>
    <row r="135">
      <c r="A135" s="5" t="n">
        <v>134</v>
      </c>
      <c r="B135" s="5" t="inlineStr">
        <is>
          <t>V3/122/122</t>
        </is>
      </c>
      <c r="C135" s="5" t="inlineStr">
        <is>
          <t>wall</t>
        </is>
      </c>
      <c r="D135" s="5" t="inlineStr">
        <is>
          <t>shear_wall</t>
        </is>
      </c>
      <c r="E135" s="5" t="n">
        <v>4538.5</v>
      </c>
      <c r="F135" s="5" t="n">
        <v>2490.6</v>
      </c>
      <c r="G135" s="5" t="n">
        <v>265</v>
      </c>
      <c r="H135" s="5" t="n">
        <v>3</v>
      </c>
      <c r="I135" s="5" t="inlineStr">
        <is>
          <t>grade_beam</t>
        </is>
      </c>
      <c r="J135" s="5" t="inlineStr">
        <is>
          <t>no</t>
        </is>
      </c>
      <c r="K135" s="5" t="n">
        <v>206</v>
      </c>
      <c r="L135" s="5" t="n">
        <v>0.13</v>
      </c>
      <c r="M135" s="5" t="n">
        <v>0.02</v>
      </c>
      <c r="N135" s="5" t="inlineStr">
        <is>
          <t>yes</t>
        </is>
      </c>
    </row>
    <row r="136">
      <c r="A136" s="5" t="n">
        <v>135</v>
      </c>
      <c r="B136" s="5" t="inlineStr">
        <is>
          <t>V4/122/122</t>
        </is>
      </c>
      <c r="C136" s="5" t="inlineStr">
        <is>
          <t>wall</t>
        </is>
      </c>
      <c r="D136" s="5" t="inlineStr">
        <is>
          <t>shear_wall</t>
        </is>
      </c>
      <c r="E136" s="5" t="n">
        <v>4538.5</v>
      </c>
      <c r="F136" s="5" t="n">
        <v>2607.3</v>
      </c>
      <c r="G136" s="5" t="n">
        <v>269</v>
      </c>
      <c r="H136" s="5" t="n">
        <v>3</v>
      </c>
      <c r="I136" s="5" t="inlineStr">
        <is>
          <t>grade_beam</t>
        </is>
      </c>
      <c r="J136" s="5" t="inlineStr">
        <is>
          <t>no</t>
        </is>
      </c>
      <c r="K136" s="5" t="n">
        <v>209</v>
      </c>
      <c r="L136" s="5" t="n">
        <v>0.12</v>
      </c>
      <c r="M136" s="5" t="n">
        <v>0.02</v>
      </c>
      <c r="N136" s="5" t="inlineStr">
        <is>
          <t>yes</t>
        </is>
      </c>
    </row>
    <row r="137">
      <c r="A137" s="5" t="n">
        <v>136</v>
      </c>
      <c r="B137" s="5" t="inlineStr">
        <is>
          <t>V4/122/122</t>
        </is>
      </c>
      <c r="C137" s="5" t="inlineStr">
        <is>
          <t>wall</t>
        </is>
      </c>
      <c r="D137" s="5" t="inlineStr">
        <is>
          <t>shear_wall</t>
        </is>
      </c>
      <c r="E137" s="5" t="n">
        <v>4605.2</v>
      </c>
      <c r="F137" s="5" t="n">
        <v>3008.3</v>
      </c>
      <c r="G137" s="5" t="n">
        <v>208</v>
      </c>
      <c r="H137" s="5" t="n">
        <v>38</v>
      </c>
      <c r="I137" s="5" t="inlineStr">
        <is>
          <t>shear_wall</t>
        </is>
      </c>
      <c r="J137" s="5" t="inlineStr">
        <is>
          <t>yes</t>
        </is>
      </c>
      <c r="K137" s="5" t="n">
        <v>208</v>
      </c>
      <c r="L137" s="5" t="n">
        <v>0.13</v>
      </c>
      <c r="M137" s="5" t="n">
        <v>0.14</v>
      </c>
      <c r="N137" s="5" t="inlineStr">
        <is>
          <t>yes</t>
        </is>
      </c>
    </row>
    <row r="138">
      <c r="A138" s="5" t="n">
        <v>137</v>
      </c>
      <c r="B138" s="5" t="inlineStr">
        <is>
          <t>V4/122/122</t>
        </is>
      </c>
      <c r="C138" s="5" t="inlineStr">
        <is>
          <t>wall</t>
        </is>
      </c>
      <c r="D138" s="5" t="inlineStr">
        <is>
          <t>shear_wall</t>
        </is>
      </c>
      <c r="E138" s="5" t="n">
        <v>4963.5</v>
      </c>
      <c r="F138" s="5" t="n">
        <v>2509.4</v>
      </c>
      <c r="G138" s="5" t="n">
        <v>207</v>
      </c>
      <c r="H138" s="5" t="n">
        <v>29</v>
      </c>
      <c r="I138" s="5" t="inlineStr">
        <is>
          <t>shear_wall</t>
        </is>
      </c>
      <c r="J138" s="5" t="inlineStr">
        <is>
          <t>yes</t>
        </is>
      </c>
      <c r="K138" s="5" t="n">
        <v>207</v>
      </c>
      <c r="L138" s="5" t="n">
        <v>0.23</v>
      </c>
      <c r="M138" s="5" t="n">
        <v>0.08</v>
      </c>
      <c r="N138" s="5" t="inlineStr">
        <is>
          <t>yes</t>
        </is>
      </c>
    </row>
    <row r="139">
      <c r="A139" s="5" t="n">
        <v>138</v>
      </c>
      <c r="B139" s="5" t="inlineStr">
        <is>
          <t>V5/122/122</t>
        </is>
      </c>
      <c r="C139" s="5" t="inlineStr">
        <is>
          <t>wall</t>
        </is>
      </c>
      <c r="D139" s="5" t="inlineStr">
        <is>
          <t>shear_wall</t>
        </is>
      </c>
      <c r="E139" s="5" t="n">
        <v>4761.5</v>
      </c>
      <c r="F139" s="5" t="n">
        <v>2574</v>
      </c>
      <c r="G139" s="5" t="n">
        <v>234</v>
      </c>
      <c r="H139" s="5" t="n">
        <v>12</v>
      </c>
      <c r="I139" s="5" t="inlineStr">
        <is>
          <t>isolated_footing</t>
        </is>
      </c>
      <c r="J139" s="5" t="inlineStr">
        <is>
          <t>no</t>
        </is>
      </c>
      <c r="K139" s="5" t="n">
        <v>210</v>
      </c>
      <c r="L139" s="5" t="n">
        <v>0.12</v>
      </c>
      <c r="M139" s="5" t="n">
        <v>1</v>
      </c>
      <c r="N139" s="5" t="inlineStr">
        <is>
          <t>yes</t>
        </is>
      </c>
    </row>
    <row r="140">
      <c r="A140" s="5" t="n">
        <v>139</v>
      </c>
      <c r="B140" s="5" t="inlineStr">
        <is>
          <t>V5/122/122</t>
        </is>
      </c>
      <c r="C140" s="5" t="inlineStr">
        <is>
          <t>wall</t>
        </is>
      </c>
      <c r="D140" s="5" t="inlineStr">
        <is>
          <t>shear_wall</t>
        </is>
      </c>
      <c r="E140" s="5" t="n">
        <v>4761.5</v>
      </c>
      <c r="F140" s="5" t="n">
        <v>2331.2</v>
      </c>
      <c r="G140" s="5" t="n">
        <v>264</v>
      </c>
      <c r="H140" s="5" t="n">
        <v>3</v>
      </c>
      <c r="I140" s="5" t="inlineStr">
        <is>
          <t>grade_beam</t>
        </is>
      </c>
      <c r="J140" s="5" t="inlineStr">
        <is>
          <t>no</t>
        </is>
      </c>
      <c r="K140" s="5" t="n">
        <v>211</v>
      </c>
      <c r="L140" s="5" t="n">
        <v>0.1</v>
      </c>
      <c r="M140" s="5" t="n">
        <v>1</v>
      </c>
      <c r="N140" s="5" t="inlineStr">
        <is>
          <t>yes</t>
        </is>
      </c>
    </row>
    <row r="141">
      <c r="A141" s="5" t="n">
        <v>140</v>
      </c>
      <c r="B141" s="5" t="inlineStr">
        <is>
          <t>V6/122/122</t>
        </is>
      </c>
      <c r="C141" s="5" t="inlineStr">
        <is>
          <t>wall</t>
        </is>
      </c>
      <c r="D141" s="5" t="inlineStr">
        <is>
          <t>shear_wall</t>
        </is>
      </c>
      <c r="E141" s="5" t="n">
        <v>4349</v>
      </c>
      <c r="F141" s="5" t="n">
        <v>2154.2</v>
      </c>
      <c r="G141" s="5" t="n">
        <v>216</v>
      </c>
      <c r="H141" s="5" t="n">
        <v>38</v>
      </c>
      <c r="I141" s="5" t="inlineStr">
        <is>
          <t>shear_wall</t>
        </is>
      </c>
      <c r="J141" s="5" t="inlineStr">
        <is>
          <t>yes</t>
        </is>
      </c>
      <c r="K141" s="5" t="n">
        <v>216</v>
      </c>
      <c r="L141" s="5" t="n">
        <v>0.35</v>
      </c>
      <c r="M141" s="5" t="n">
        <v>0</v>
      </c>
      <c r="N141" s="5" t="inlineStr">
        <is>
          <t>yes</t>
        </is>
      </c>
    </row>
    <row r="142">
      <c r="A142" s="5" t="n">
        <v>141</v>
      </c>
      <c r="B142" s="5" t="inlineStr">
        <is>
          <t>V6/122/122</t>
        </is>
      </c>
      <c r="C142" s="5" t="inlineStr">
        <is>
          <t>wall</t>
        </is>
      </c>
      <c r="D142" s="5" t="inlineStr">
        <is>
          <t>shear_wall</t>
        </is>
      </c>
      <c r="E142" s="5" t="n">
        <v>4350</v>
      </c>
      <c r="F142" s="5" t="n">
        <v>2269.8</v>
      </c>
      <c r="G142" s="5" t="n">
        <v>214</v>
      </c>
      <c r="H142" s="5" t="n">
        <v>38</v>
      </c>
      <c r="I142" s="5" t="inlineStr">
        <is>
          <t>shear_wall</t>
        </is>
      </c>
      <c r="J142" s="5" t="inlineStr">
        <is>
          <t>yes</t>
        </is>
      </c>
      <c r="K142" s="5" t="n">
        <v>214</v>
      </c>
      <c r="L142" s="5" t="n">
        <v>0.37</v>
      </c>
      <c r="M142" s="5" t="n">
        <v>0</v>
      </c>
      <c r="N142" s="5" t="inlineStr">
        <is>
          <t>yes</t>
        </is>
      </c>
    </row>
    <row r="143">
      <c r="A143" s="5" t="n">
        <v>142</v>
      </c>
      <c r="B143" s="5" t="inlineStr">
        <is>
          <t>V6/122/122</t>
        </is>
      </c>
      <c r="C143" s="5" t="inlineStr">
        <is>
          <t>wall</t>
        </is>
      </c>
      <c r="D143" s="5" t="inlineStr">
        <is>
          <t>shear_wall</t>
        </is>
      </c>
      <c r="E143" s="5" t="n">
        <v>4346.9</v>
      </c>
      <c r="F143" s="5" t="n">
        <v>2502.1</v>
      </c>
      <c r="G143" s="5" t="n">
        <v>265</v>
      </c>
      <c r="H143" s="5" t="n">
        <v>3</v>
      </c>
      <c r="I143" s="5" t="inlineStr">
        <is>
          <t>grade_beam</t>
        </is>
      </c>
      <c r="J143" s="5" t="inlineStr">
        <is>
          <t>no</t>
        </is>
      </c>
      <c r="K143" s="5" t="n">
        <v>213</v>
      </c>
      <c r="L143" s="5" t="n">
        <v>0.34</v>
      </c>
      <c r="M143" s="5" t="n">
        <v>0</v>
      </c>
      <c r="N143" s="5" t="inlineStr">
        <is>
          <t>yes</t>
        </is>
      </c>
    </row>
    <row r="144">
      <c r="A144" s="5" t="n">
        <v>143</v>
      </c>
      <c r="B144" s="5" t="inlineStr">
        <is>
          <t>V6/122/122</t>
        </is>
      </c>
      <c r="C144" s="5" t="inlineStr">
        <is>
          <t>wall</t>
        </is>
      </c>
      <c r="D144" s="5" t="inlineStr">
        <is>
          <t>shear_wall</t>
        </is>
      </c>
      <c r="E144" s="5" t="n">
        <v>4346.9</v>
      </c>
      <c r="F144" s="5" t="n">
        <v>2730.2</v>
      </c>
      <c r="G144" s="5" t="n">
        <v>267</v>
      </c>
      <c r="H144" s="5" t="n">
        <v>3</v>
      </c>
      <c r="I144" s="5" t="inlineStr">
        <is>
          <t>grade_beam</t>
        </is>
      </c>
      <c r="J144" s="5" t="inlineStr">
        <is>
          <t>no</t>
        </is>
      </c>
      <c r="K144" s="5" t="n">
        <v>215</v>
      </c>
      <c r="L144" s="5" t="n">
        <v>0.3</v>
      </c>
      <c r="M144" s="5" t="n">
        <v>0</v>
      </c>
      <c r="N144" s="5" t="inlineStr">
        <is>
          <t>yes</t>
        </is>
      </c>
    </row>
    <row r="145">
      <c r="A145" s="5" t="n">
        <v>144</v>
      </c>
      <c r="B145" s="5" t="inlineStr">
        <is>
          <t>V6/122/122</t>
        </is>
      </c>
      <c r="C145" s="5" t="inlineStr">
        <is>
          <t>wall</t>
        </is>
      </c>
      <c r="D145" s="5" t="inlineStr">
        <is>
          <t>shear_wall</t>
        </is>
      </c>
      <c r="E145" s="5" t="n">
        <v>4217.7</v>
      </c>
      <c r="F145" s="5" t="n">
        <v>2755.2</v>
      </c>
      <c r="G145" s="5" t="n">
        <v>217</v>
      </c>
      <c r="H145" s="5" t="n">
        <v>38</v>
      </c>
      <c r="I145" s="5" t="inlineStr">
        <is>
          <t>shear_wall</t>
        </is>
      </c>
      <c r="J145" s="5" t="inlineStr">
        <is>
          <t>yes</t>
        </is>
      </c>
      <c r="K145" s="5" t="n">
        <v>217</v>
      </c>
      <c r="L145" s="5" t="n">
        <v>0.76</v>
      </c>
      <c r="M145" s="5" t="n">
        <v>0</v>
      </c>
      <c r="N145" s="5" t="inlineStr">
        <is>
          <t>yes</t>
        </is>
      </c>
    </row>
    <row r="146">
      <c r="A146" s="5" t="n">
        <v>145</v>
      </c>
      <c r="B146" s="5" t="inlineStr">
        <is>
          <t>V6/122/122</t>
        </is>
      </c>
      <c r="C146" s="5" t="inlineStr">
        <is>
          <t>wall</t>
        </is>
      </c>
      <c r="D146" s="5" t="inlineStr">
        <is>
          <t>shear_wall</t>
        </is>
      </c>
      <c r="E146" s="5" t="n">
        <v>4240.6</v>
      </c>
      <c r="F146" s="5" t="n">
        <v>2879.2</v>
      </c>
      <c r="G146" s="5" t="n">
        <v>212</v>
      </c>
      <c r="H146" s="5" t="n">
        <v>38</v>
      </c>
      <c r="I146" s="5" t="inlineStr">
        <is>
          <t>shear_wall</t>
        </is>
      </c>
      <c r="J146" s="5" t="inlineStr">
        <is>
          <t>yes</t>
        </is>
      </c>
      <c r="K146" s="5" t="n">
        <v>212</v>
      </c>
      <c r="L146" s="5" t="n">
        <v>0.74</v>
      </c>
      <c r="M146" s="5" t="n">
        <v>0</v>
      </c>
      <c r="N146" s="5" t="inlineStr">
        <is>
          <t>yes</t>
        </is>
      </c>
    </row>
    <row r="147">
      <c r="A147" s="5" t="n">
        <v>146</v>
      </c>
      <c r="B147" s="5" t="inlineStr">
        <is>
          <t>V1/123/123</t>
        </is>
      </c>
      <c r="C147" s="5" t="inlineStr">
        <is>
          <t>wall</t>
        </is>
      </c>
      <c r="D147" s="5" t="inlineStr">
        <is>
          <t>shear_wall</t>
        </is>
      </c>
      <c r="E147" s="5" t="n">
        <v>4362.5</v>
      </c>
      <c r="F147" s="5" t="n">
        <v>3544.8</v>
      </c>
      <c r="G147" s="5" t="n">
        <v>326</v>
      </c>
      <c r="H147" s="5" t="n">
        <v>37</v>
      </c>
      <c r="I147" s="5" t="inlineStr">
        <is>
          <t>shear_wall</t>
        </is>
      </c>
      <c r="J147" s="5" t="inlineStr">
        <is>
          <t>yes</t>
        </is>
      </c>
      <c r="K147" s="5" t="n">
        <v>326</v>
      </c>
      <c r="L147" s="5" t="n">
        <v>0.67</v>
      </c>
      <c r="M147" s="5" t="n">
        <v>0</v>
      </c>
      <c r="N147" s="5" t="inlineStr">
        <is>
          <t>yes</t>
        </is>
      </c>
    </row>
    <row r="148">
      <c r="A148" s="5" t="n">
        <v>147</v>
      </c>
      <c r="B148" s="5" t="inlineStr">
        <is>
          <t>V6/123/123</t>
        </is>
      </c>
      <c r="C148" s="5" t="inlineStr">
        <is>
          <t>wall</t>
        </is>
      </c>
      <c r="D148" s="5" t="inlineStr">
        <is>
          <t>shear_wall</t>
        </is>
      </c>
      <c r="E148" s="5" t="n">
        <v>4999</v>
      </c>
      <c r="F148" s="5" t="n">
        <v>2965.6</v>
      </c>
      <c r="G148" s="5" t="n">
        <v>337</v>
      </c>
      <c r="H148" s="5" t="n">
        <v>33</v>
      </c>
      <c r="I148" s="5" t="inlineStr">
        <is>
          <t>shear_wall</t>
        </is>
      </c>
      <c r="J148" s="5" t="inlineStr">
        <is>
          <t>yes</t>
        </is>
      </c>
      <c r="K148" s="5" t="n">
        <v>337</v>
      </c>
      <c r="L148" s="5" t="n">
        <v>0.22</v>
      </c>
      <c r="M148" s="5" t="n">
        <v>0</v>
      </c>
      <c r="N148" s="5" t="inlineStr">
        <is>
          <t>yes</t>
        </is>
      </c>
    </row>
    <row r="149">
      <c r="A149" s="5" t="n">
        <v>148</v>
      </c>
      <c r="B149" s="5" t="inlineStr">
        <is>
          <t>V2/123/123</t>
        </is>
      </c>
      <c r="C149" s="5" t="inlineStr">
        <is>
          <t>wall</t>
        </is>
      </c>
      <c r="D149" s="5" t="inlineStr">
        <is>
          <t>shear_wall</t>
        </is>
      </c>
      <c r="E149" s="5" t="n">
        <v>4553.1</v>
      </c>
      <c r="F149" s="5" t="n">
        <v>3488.5</v>
      </c>
      <c r="G149" s="5" t="n">
        <v>380</v>
      </c>
      <c r="H149" s="5" t="n">
        <v>3</v>
      </c>
      <c r="I149" s="5" t="inlineStr">
        <is>
          <t>grade_beam</t>
        </is>
      </c>
      <c r="J149" s="5" t="inlineStr">
        <is>
          <t>no</t>
        </is>
      </c>
      <c r="K149" s="5" t="n">
        <v>329</v>
      </c>
      <c r="L149" s="5" t="n">
        <v>0.8100000000000001</v>
      </c>
      <c r="M149" s="5" t="n">
        <v>0.99</v>
      </c>
      <c r="N149" s="5" t="inlineStr">
        <is>
          <t>yes</t>
        </is>
      </c>
    </row>
    <row r="150">
      <c r="A150" s="5" t="n">
        <v>149</v>
      </c>
      <c r="B150" s="5" t="inlineStr">
        <is>
          <t>V2/123/123</t>
        </is>
      </c>
      <c r="C150" s="5" t="inlineStr">
        <is>
          <t>wall</t>
        </is>
      </c>
      <c r="D150" s="5" t="inlineStr">
        <is>
          <t>shear_wall</t>
        </is>
      </c>
      <c r="E150" s="5" t="n">
        <v>4734.4</v>
      </c>
      <c r="F150" s="5" t="n">
        <v>3431.3</v>
      </c>
      <c r="G150" s="5" t="n">
        <v>379</v>
      </c>
      <c r="H150" s="5" t="n">
        <v>3</v>
      </c>
      <c r="I150" s="5" t="inlineStr">
        <is>
          <t>grade_beam</t>
        </is>
      </c>
      <c r="J150" s="5" t="inlineStr">
        <is>
          <t>no</t>
        </is>
      </c>
      <c r="K150" s="5" t="n">
        <v>327</v>
      </c>
      <c r="L150" s="5" t="n">
        <v>0.72</v>
      </c>
      <c r="M150" s="5" t="n">
        <v>0.99</v>
      </c>
      <c r="N150" s="5" t="inlineStr">
        <is>
          <t>yes</t>
        </is>
      </c>
    </row>
    <row r="151">
      <c r="A151" s="5" t="n">
        <v>150</v>
      </c>
      <c r="B151" s="5" t="inlineStr">
        <is>
          <t>V2/123/123</t>
        </is>
      </c>
      <c r="C151" s="5" t="inlineStr">
        <is>
          <t>wall</t>
        </is>
      </c>
      <c r="D151" s="5" t="inlineStr">
        <is>
          <t>shear_wall</t>
        </is>
      </c>
      <c r="E151" s="5" t="n">
        <v>4453.1</v>
      </c>
      <c r="F151" s="5" t="n">
        <v>3110.4</v>
      </c>
      <c r="G151" s="5" t="n">
        <v>383</v>
      </c>
      <c r="H151" s="5" t="n">
        <v>3</v>
      </c>
      <c r="I151" s="5" t="inlineStr">
        <is>
          <t>grade_beam</t>
        </is>
      </c>
      <c r="J151" s="5" t="inlineStr">
        <is>
          <t>no</t>
        </is>
      </c>
      <c r="K151" s="5" t="n">
        <v>328</v>
      </c>
      <c r="L151" s="5" t="n">
        <v>0.78</v>
      </c>
      <c r="M151" s="5" t="n">
        <v>1</v>
      </c>
      <c r="N151" s="5" t="inlineStr">
        <is>
          <t>yes</t>
        </is>
      </c>
    </row>
    <row r="152">
      <c r="A152" s="5" t="n">
        <v>151</v>
      </c>
      <c r="B152" s="5" t="inlineStr">
        <is>
          <t>V3/123/123</t>
        </is>
      </c>
      <c r="C152" s="5" t="inlineStr">
        <is>
          <t>wall</t>
        </is>
      </c>
      <c r="D152" s="5" t="inlineStr">
        <is>
          <t>shear_wall</t>
        </is>
      </c>
      <c r="E152" s="5" t="n">
        <v>4330.2</v>
      </c>
      <c r="F152" s="5" t="n">
        <v>3360.4</v>
      </c>
      <c r="G152" s="5" t="n">
        <v>423</v>
      </c>
      <c r="H152" s="5" t="n">
        <v>34</v>
      </c>
      <c r="I152" s="5" t="inlineStr">
        <is>
          <t>retaining_wall</t>
        </is>
      </c>
      <c r="J152" s="5" t="inlineStr">
        <is>
          <t>no</t>
        </is>
      </c>
      <c r="K152" s="5" t="n">
        <v>333</v>
      </c>
      <c r="L152" s="5" t="n">
        <v>0.75</v>
      </c>
      <c r="M152" s="5" t="n">
        <v>1</v>
      </c>
      <c r="N152" s="5" t="inlineStr">
        <is>
          <t>yes</t>
        </is>
      </c>
    </row>
    <row r="153">
      <c r="A153" s="5" t="n">
        <v>152</v>
      </c>
      <c r="B153" s="5" t="inlineStr">
        <is>
          <t>V3/123/123</t>
        </is>
      </c>
      <c r="C153" s="5" t="inlineStr">
        <is>
          <t>wall</t>
        </is>
      </c>
      <c r="D153" s="5" t="inlineStr">
        <is>
          <t>shear_wall</t>
        </is>
      </c>
      <c r="E153" s="5" t="n">
        <v>4288.5</v>
      </c>
      <c r="F153" s="5" t="n">
        <v>3138.5</v>
      </c>
      <c r="G153" s="5" t="n">
        <v>449</v>
      </c>
      <c r="H153" s="5" t="n">
        <v>2</v>
      </c>
      <c r="I153" s="5" t="inlineStr">
        <is>
          <t>unidentified</t>
        </is>
      </c>
      <c r="J153" s="5" t="inlineStr">
        <is>
          <t>unidentified</t>
        </is>
      </c>
      <c r="K153" s="5" t="n">
        <v>332</v>
      </c>
      <c r="L153" s="5" t="n">
        <v>0.76</v>
      </c>
      <c r="M153" s="5" t="n">
        <v>0.99</v>
      </c>
      <c r="N153" s="5" t="inlineStr">
        <is>
          <t>yes</t>
        </is>
      </c>
    </row>
    <row r="154">
      <c r="A154" s="5" t="n">
        <v>153</v>
      </c>
      <c r="B154" s="5" t="inlineStr">
        <is>
          <t>V3/123/123</t>
        </is>
      </c>
      <c r="C154" s="5" t="inlineStr">
        <is>
          <t>wall</t>
        </is>
      </c>
      <c r="D154" s="5" t="inlineStr">
        <is>
          <t>shear_wall</t>
        </is>
      </c>
      <c r="E154" s="5" t="n">
        <v>4657.3</v>
      </c>
      <c r="F154" s="5" t="n">
        <v>3278.1</v>
      </c>
      <c r="G154" s="5" t="n">
        <v>330</v>
      </c>
      <c r="H154" s="5" t="n">
        <v>31</v>
      </c>
      <c r="I154" s="5" t="inlineStr">
        <is>
          <t>shear_wall</t>
        </is>
      </c>
      <c r="J154" s="5" t="inlineStr">
        <is>
          <t>yes</t>
        </is>
      </c>
      <c r="K154" s="5" t="n">
        <v>330</v>
      </c>
      <c r="L154" s="5" t="n">
        <v>0.2</v>
      </c>
      <c r="M154" s="5" t="n">
        <v>0.26</v>
      </c>
      <c r="N154" s="5" t="inlineStr">
        <is>
          <t>yes</t>
        </is>
      </c>
    </row>
    <row r="155">
      <c r="A155" s="5" t="n">
        <v>154</v>
      </c>
      <c r="B155" s="5" t="inlineStr">
        <is>
          <t>V3/123/123</t>
        </is>
      </c>
      <c r="C155" s="5" t="inlineStr">
        <is>
          <t>wall</t>
        </is>
      </c>
      <c r="D155" s="5" t="inlineStr">
        <is>
          <t>shear_wall</t>
        </is>
      </c>
      <c r="E155" s="5" t="n">
        <v>4863.5</v>
      </c>
      <c r="F155" s="5" t="n">
        <v>3238.5</v>
      </c>
      <c r="G155" s="5" t="n">
        <v>331</v>
      </c>
      <c r="H155" s="5" t="n">
        <v>31</v>
      </c>
      <c r="I155" s="5" t="inlineStr">
        <is>
          <t>shear_wall</t>
        </is>
      </c>
      <c r="J155" s="5" t="inlineStr">
        <is>
          <t>yes</t>
        </is>
      </c>
      <c r="K155" s="5" t="n">
        <v>331</v>
      </c>
      <c r="L155" s="5" t="n">
        <v>0.18</v>
      </c>
      <c r="M155" s="5" t="n">
        <v>0.09</v>
      </c>
      <c r="N155" s="5" t="inlineStr">
        <is>
          <t>yes</t>
        </is>
      </c>
    </row>
    <row r="156">
      <c r="A156" s="5" t="n">
        <v>155</v>
      </c>
      <c r="B156" s="5" t="inlineStr">
        <is>
          <t>V7/123/123</t>
        </is>
      </c>
      <c r="C156" s="5" t="inlineStr">
        <is>
          <t>wall</t>
        </is>
      </c>
      <c r="D156" s="5" t="inlineStr">
        <is>
          <t>shear_wall</t>
        </is>
      </c>
      <c r="E156" s="5" t="n">
        <v>5009.4</v>
      </c>
      <c r="F156" s="5" t="n">
        <v>3138.5</v>
      </c>
      <c r="G156" s="5" t="n">
        <v>338</v>
      </c>
      <c r="H156" s="5" t="n">
        <v>33</v>
      </c>
      <c r="I156" s="5" t="inlineStr">
        <is>
          <t>shear_wall</t>
        </is>
      </c>
      <c r="J156" s="5" t="inlineStr">
        <is>
          <t>yes</t>
        </is>
      </c>
      <c r="K156" s="5" t="n">
        <v>338</v>
      </c>
      <c r="L156" s="5" t="n">
        <v>0.16</v>
      </c>
      <c r="M156" s="5" t="n">
        <v>0.25</v>
      </c>
      <c r="N156" s="5" t="inlineStr">
        <is>
          <t>yes</t>
        </is>
      </c>
    </row>
    <row r="157">
      <c r="A157" s="5" t="n">
        <v>156</v>
      </c>
      <c r="B157" s="5" t="inlineStr">
        <is>
          <t>V4/123/123</t>
        </is>
      </c>
      <c r="C157" s="5" t="inlineStr">
        <is>
          <t>wall</t>
        </is>
      </c>
      <c r="D157" s="5" t="inlineStr">
        <is>
          <t>shear_wall</t>
        </is>
      </c>
      <c r="E157" s="5" t="n">
        <v>4524</v>
      </c>
      <c r="F157" s="5" t="n">
        <v>3345.8</v>
      </c>
      <c r="G157" s="5" t="n">
        <v>376</v>
      </c>
      <c r="H157" s="5" t="n">
        <v>3</v>
      </c>
      <c r="I157" s="5" t="inlineStr">
        <is>
          <t>grade_beam</t>
        </is>
      </c>
      <c r="J157" s="5" t="inlineStr">
        <is>
          <t>no</t>
        </is>
      </c>
      <c r="K157" s="5" t="n">
        <v>335</v>
      </c>
      <c r="L157" s="5" t="n">
        <v>0.74</v>
      </c>
      <c r="M157" s="5" t="n">
        <v>1</v>
      </c>
      <c r="N157" s="5" t="inlineStr">
        <is>
          <t>yes</t>
        </is>
      </c>
    </row>
    <row r="158">
      <c r="A158" s="5" t="n">
        <v>157</v>
      </c>
      <c r="B158" s="5" t="inlineStr">
        <is>
          <t>V4/123/123</t>
        </is>
      </c>
      <c r="C158" s="5" t="inlineStr">
        <is>
          <t>wall</t>
        </is>
      </c>
      <c r="D158" s="5" t="inlineStr">
        <is>
          <t>shear_wall</t>
        </is>
      </c>
      <c r="E158" s="5" t="n">
        <v>4921.9</v>
      </c>
      <c r="F158" s="5" t="n">
        <v>3418.8</v>
      </c>
      <c r="G158" s="5" t="n">
        <v>378</v>
      </c>
      <c r="H158" s="5" t="n">
        <v>3</v>
      </c>
      <c r="I158" s="5" t="inlineStr">
        <is>
          <t>grade_beam</t>
        </is>
      </c>
      <c r="J158" s="5" t="inlineStr">
        <is>
          <t>no</t>
        </is>
      </c>
      <c r="K158" s="5" t="n">
        <v>334</v>
      </c>
      <c r="L158" s="5" t="n">
        <v>0.6899999999999999</v>
      </c>
      <c r="M158" s="5" t="n">
        <v>1</v>
      </c>
      <c r="N158" s="5" t="inlineStr">
        <is>
          <t>yes</t>
        </is>
      </c>
    </row>
    <row r="159">
      <c r="A159" s="5" t="n">
        <v>158</v>
      </c>
      <c r="B159" s="5" t="inlineStr">
        <is>
          <t>V5/123/123</t>
        </is>
      </c>
      <c r="C159" s="5" t="inlineStr">
        <is>
          <t>wall</t>
        </is>
      </c>
      <c r="D159" s="5" t="inlineStr">
        <is>
          <t>shear_wall</t>
        </is>
      </c>
      <c r="E159" s="5" t="n">
        <v>5011.5</v>
      </c>
      <c r="F159" s="5" t="n">
        <v>3313.5</v>
      </c>
      <c r="G159" s="5" t="n">
        <v>336</v>
      </c>
      <c r="H159" s="5" t="n">
        <v>33</v>
      </c>
      <c r="I159" s="5" t="inlineStr">
        <is>
          <t>shear_wall</t>
        </is>
      </c>
      <c r="J159" s="5" t="inlineStr">
        <is>
          <t>yes</t>
        </is>
      </c>
      <c r="K159" s="5" t="n">
        <v>336</v>
      </c>
      <c r="L159" s="5" t="n">
        <v>0.18</v>
      </c>
      <c r="M159" s="5" t="n">
        <v>0</v>
      </c>
      <c r="N159" s="5" t="inlineStr">
        <is>
          <t>yes</t>
        </is>
      </c>
    </row>
    <row r="160">
      <c r="A160" s="5" t="n">
        <v>159</v>
      </c>
      <c r="B160" s="5" t="inlineStr">
        <is>
          <t>V1/124/124</t>
        </is>
      </c>
      <c r="C160" s="5" t="inlineStr">
        <is>
          <t>wall</t>
        </is>
      </c>
      <c r="D160" s="5" t="inlineStr">
        <is>
          <t>shear_wall</t>
        </is>
      </c>
      <c r="E160" s="5" t="n">
        <v>4322.9</v>
      </c>
      <c r="F160" s="5" t="n">
        <v>3553.1</v>
      </c>
      <c r="G160" s="5" t="n">
        <v>395</v>
      </c>
      <c r="H160" s="5" t="n">
        <v>31</v>
      </c>
      <c r="I160" s="5" t="inlineStr">
        <is>
          <t>shear_wall</t>
        </is>
      </c>
      <c r="J160" s="5" t="inlineStr">
        <is>
          <t>yes</t>
        </is>
      </c>
      <c r="K160" s="5" t="n">
        <v>395</v>
      </c>
      <c r="L160" s="5" t="n">
        <v>0.1</v>
      </c>
      <c r="M160" s="5" t="n">
        <v>0</v>
      </c>
      <c r="N160" s="5" t="inlineStr">
        <is>
          <t>yes</t>
        </is>
      </c>
    </row>
    <row r="161">
      <c r="A161" s="5" t="n">
        <v>160</v>
      </c>
      <c r="B161" s="5" t="inlineStr">
        <is>
          <t>V1/124/124</t>
        </is>
      </c>
      <c r="C161" s="5" t="inlineStr">
        <is>
          <t>wall</t>
        </is>
      </c>
      <c r="D161" s="5" t="inlineStr">
        <is>
          <t>shear_wall</t>
        </is>
      </c>
      <c r="E161" s="5" t="n">
        <v>3685.4</v>
      </c>
      <c r="F161" s="5" t="n">
        <v>3669.8</v>
      </c>
      <c r="G161" s="5" t="n">
        <v>394</v>
      </c>
      <c r="H161" s="5" t="n">
        <v>29</v>
      </c>
      <c r="I161" s="5" t="inlineStr">
        <is>
          <t>shear_wall</t>
        </is>
      </c>
      <c r="J161" s="5" t="inlineStr">
        <is>
          <t>yes</t>
        </is>
      </c>
      <c r="K161" s="5" t="n">
        <v>394</v>
      </c>
      <c r="L161" s="5" t="n">
        <v>0.7</v>
      </c>
      <c r="M161" s="5" t="n">
        <v>0</v>
      </c>
      <c r="N161" s="5" t="inlineStr">
        <is>
          <t>yes</t>
        </is>
      </c>
    </row>
    <row r="162">
      <c r="A162" s="5" t="n">
        <v>161</v>
      </c>
      <c r="B162" s="5" t="inlineStr">
        <is>
          <t>V1/124/124</t>
        </is>
      </c>
      <c r="C162" s="5" t="inlineStr">
        <is>
          <t>wall</t>
        </is>
      </c>
      <c r="D162" s="5" t="inlineStr">
        <is>
          <t>shear_wall</t>
        </is>
      </c>
      <c r="E162" s="5" t="n">
        <v>4288.5</v>
      </c>
      <c r="F162" s="5" t="n">
        <v>3367.7</v>
      </c>
      <c r="G162" s="5" t="n">
        <v>393</v>
      </c>
      <c r="H162" s="5" t="n">
        <v>33</v>
      </c>
      <c r="I162" s="5" t="inlineStr">
        <is>
          <t>shear_wall</t>
        </is>
      </c>
      <c r="J162" s="5" t="inlineStr">
        <is>
          <t>yes</t>
        </is>
      </c>
      <c r="K162" s="5" t="n">
        <v>393</v>
      </c>
      <c r="L162" s="5" t="n">
        <v>0.08</v>
      </c>
      <c r="M162" s="5" t="n">
        <v>0</v>
      </c>
      <c r="N162" s="5" t="inlineStr">
        <is>
          <t>yes</t>
        </is>
      </c>
    </row>
    <row r="163">
      <c r="A163" s="5" t="n">
        <v>162</v>
      </c>
      <c r="B163" s="5" t="inlineStr">
        <is>
          <t>V7/124/124</t>
        </is>
      </c>
      <c r="C163" s="5" t="inlineStr">
        <is>
          <t>wall</t>
        </is>
      </c>
      <c r="D163" s="5" t="inlineStr">
        <is>
          <t>shear_wall</t>
        </is>
      </c>
      <c r="E163" s="5" t="n">
        <v>3851</v>
      </c>
      <c r="F163" s="5" t="n">
        <v>3594.8</v>
      </c>
      <c r="G163" s="5" t="n">
        <v>439</v>
      </c>
      <c r="H163" s="5" t="n">
        <v>3</v>
      </c>
      <c r="I163" s="5" t="inlineStr">
        <is>
          <t>grade_beam</t>
        </is>
      </c>
      <c r="J163" s="5" t="inlineStr">
        <is>
          <t>no</t>
        </is>
      </c>
      <c r="K163" s="5" t="n">
        <v>405</v>
      </c>
      <c r="L163" s="5" t="n">
        <v>0.72</v>
      </c>
      <c r="M163" s="5" t="n">
        <v>1</v>
      </c>
      <c r="N163" s="5" t="inlineStr">
        <is>
          <t>yes</t>
        </is>
      </c>
    </row>
    <row r="164">
      <c r="A164" s="5" t="n">
        <v>163</v>
      </c>
      <c r="B164" s="5" t="inlineStr">
        <is>
          <t>V2/124/124</t>
        </is>
      </c>
      <c r="C164" s="5" t="inlineStr">
        <is>
          <t>wall</t>
        </is>
      </c>
      <c r="D164" s="5" t="inlineStr">
        <is>
          <t>shear_wall</t>
        </is>
      </c>
      <c r="E164" s="5" t="n">
        <v>4217.7</v>
      </c>
      <c r="F164" s="5" t="n">
        <v>3340.6</v>
      </c>
      <c r="G164" s="5" t="n">
        <v>396</v>
      </c>
      <c r="H164" s="5" t="n">
        <v>33</v>
      </c>
      <c r="I164" s="5" t="inlineStr">
        <is>
          <t>shear_wall</t>
        </is>
      </c>
      <c r="J164" s="5" t="inlineStr">
        <is>
          <t>yes</t>
        </is>
      </c>
      <c r="K164" s="5" t="n">
        <v>396</v>
      </c>
      <c r="L164" s="5" t="n">
        <v>0.19</v>
      </c>
      <c r="M164" s="5" t="n">
        <v>0.03</v>
      </c>
      <c r="N164" s="5" t="inlineStr">
        <is>
          <t>yes</t>
        </is>
      </c>
    </row>
    <row r="165">
      <c r="A165" s="5" t="n">
        <v>164</v>
      </c>
      <c r="B165" s="5" t="inlineStr">
        <is>
          <t>V3/124/124</t>
        </is>
      </c>
      <c r="C165" s="5" t="inlineStr">
        <is>
          <t>wall</t>
        </is>
      </c>
      <c r="D165" s="5" t="inlineStr">
        <is>
          <t>shear_wall</t>
        </is>
      </c>
      <c r="E165" s="5" t="n">
        <v>4235.4</v>
      </c>
      <c r="F165" s="5" t="n">
        <v>3096.9</v>
      </c>
      <c r="G165" s="5" t="n">
        <v>397</v>
      </c>
      <c r="H165" s="5" t="n">
        <v>31</v>
      </c>
      <c r="I165" s="5" t="inlineStr">
        <is>
          <t>shear_wall</t>
        </is>
      </c>
      <c r="J165" s="5" t="inlineStr">
        <is>
          <t>yes</t>
        </is>
      </c>
      <c r="K165" s="5" t="n">
        <v>397</v>
      </c>
      <c r="L165" s="5" t="n">
        <v>0.15</v>
      </c>
      <c r="M165" s="5" t="n">
        <v>0.99</v>
      </c>
      <c r="N165" s="5" t="inlineStr">
        <is>
          <t>yes</t>
        </is>
      </c>
    </row>
    <row r="166">
      <c r="A166" s="5" t="n">
        <v>165</v>
      </c>
      <c r="B166" s="5" t="inlineStr">
        <is>
          <t>V7/124/124</t>
        </is>
      </c>
      <c r="C166" s="5" t="inlineStr">
        <is>
          <t>wall</t>
        </is>
      </c>
      <c r="D166" s="5" t="inlineStr">
        <is>
          <t>shear_wall</t>
        </is>
      </c>
      <c r="E166" s="5" t="n">
        <v>3740.6</v>
      </c>
      <c r="F166" s="5" t="n">
        <v>3196.9</v>
      </c>
      <c r="G166" s="5" t="n">
        <v>438</v>
      </c>
      <c r="H166" s="5" t="n">
        <v>3</v>
      </c>
      <c r="I166" s="5" t="inlineStr">
        <is>
          <t>grade_beam</t>
        </is>
      </c>
      <c r="J166" s="5" t="inlineStr">
        <is>
          <t>no</t>
        </is>
      </c>
      <c r="K166" s="5" t="n">
        <v>404</v>
      </c>
      <c r="L166" s="5" t="n">
        <v>0.14</v>
      </c>
      <c r="M166" s="5" t="n">
        <v>1</v>
      </c>
      <c r="N166" s="5" t="inlineStr">
        <is>
          <t>yes</t>
        </is>
      </c>
    </row>
    <row r="167">
      <c r="A167" s="5" t="n">
        <v>166</v>
      </c>
      <c r="B167" s="5" t="inlineStr">
        <is>
          <t>V4/124/124</t>
        </is>
      </c>
      <c r="C167" s="5" t="inlineStr">
        <is>
          <t>wall</t>
        </is>
      </c>
      <c r="D167" s="5" t="inlineStr">
        <is>
          <t>shear_wall</t>
        </is>
      </c>
      <c r="E167" s="5" t="n">
        <v>3924</v>
      </c>
      <c r="F167" s="5" t="n">
        <v>3155.2</v>
      </c>
      <c r="G167" s="5" t="n">
        <v>266</v>
      </c>
      <c r="H167" s="5" t="n">
        <v>3</v>
      </c>
      <c r="I167" s="5" t="inlineStr">
        <is>
          <t>grade_beam</t>
        </is>
      </c>
      <c r="J167" s="5" t="inlineStr">
        <is>
          <t>no</t>
        </is>
      </c>
      <c r="K167" s="5" t="n">
        <v>398</v>
      </c>
      <c r="L167" s="5" t="n">
        <v>0.18</v>
      </c>
      <c r="M167" s="5" t="n">
        <v>0.96</v>
      </c>
      <c r="N167" s="5" t="inlineStr">
        <is>
          <t>yes</t>
        </is>
      </c>
    </row>
    <row r="168">
      <c r="A168" s="5" t="n">
        <v>167</v>
      </c>
      <c r="B168" s="5" t="inlineStr">
        <is>
          <t>V5/124/124</t>
        </is>
      </c>
      <c r="C168" s="5" t="inlineStr">
        <is>
          <t>wall</t>
        </is>
      </c>
      <c r="D168" s="5" t="inlineStr">
        <is>
          <t>shear_wall</t>
        </is>
      </c>
      <c r="E168" s="5" t="n">
        <v>3819.8</v>
      </c>
      <c r="F168" s="5" t="n">
        <v>3417.7</v>
      </c>
      <c r="G168" s="5" t="n">
        <v>399</v>
      </c>
      <c r="H168" s="5" t="n">
        <v>38</v>
      </c>
      <c r="I168" s="5" t="inlineStr">
        <is>
          <t>shear_wall</t>
        </is>
      </c>
      <c r="J168" s="5" t="inlineStr">
        <is>
          <t>yes</t>
        </is>
      </c>
      <c r="K168" s="5" t="n">
        <v>399</v>
      </c>
      <c r="L168" s="5" t="n">
        <v>0.13</v>
      </c>
      <c r="M168" s="5" t="n">
        <v>0.05</v>
      </c>
      <c r="N168" s="5" t="inlineStr">
        <is>
          <t>yes</t>
        </is>
      </c>
    </row>
    <row r="169">
      <c r="A169" s="5" t="n">
        <v>168</v>
      </c>
      <c r="B169" s="5" t="inlineStr">
        <is>
          <t>V6/124/124</t>
        </is>
      </c>
      <c r="C169" s="5" t="inlineStr">
        <is>
          <t>wall</t>
        </is>
      </c>
      <c r="D169" s="5" t="inlineStr">
        <is>
          <t>shear_wall</t>
        </is>
      </c>
      <c r="E169" s="5" t="n">
        <v>3561.5</v>
      </c>
      <c r="F169" s="5" t="n">
        <v>3001</v>
      </c>
      <c r="G169" s="5" t="n">
        <v>270</v>
      </c>
      <c r="H169" s="5" t="n">
        <v>3</v>
      </c>
      <c r="I169" s="5" t="inlineStr">
        <is>
          <t>grade_beam</t>
        </is>
      </c>
      <c r="J169" s="5" t="inlineStr">
        <is>
          <t>no</t>
        </is>
      </c>
      <c r="K169" s="5" t="n">
        <v>401</v>
      </c>
      <c r="L169" s="5" t="n">
        <v>0.76</v>
      </c>
      <c r="M169" s="5" t="n">
        <v>0</v>
      </c>
      <c r="N169" s="5" t="inlineStr">
        <is>
          <t>yes</t>
        </is>
      </c>
    </row>
    <row r="170">
      <c r="A170" s="5" t="n">
        <v>169</v>
      </c>
      <c r="B170" s="5" t="inlineStr">
        <is>
          <t>V6/124/124</t>
        </is>
      </c>
      <c r="C170" s="5" t="inlineStr">
        <is>
          <t>wall</t>
        </is>
      </c>
      <c r="D170" s="5" t="inlineStr">
        <is>
          <t>shear_wall</t>
        </is>
      </c>
      <c r="E170" s="5" t="n">
        <v>3786.5</v>
      </c>
      <c r="F170" s="5" t="n">
        <v>2944.8</v>
      </c>
      <c r="G170" s="5" t="n">
        <v>263</v>
      </c>
      <c r="H170" s="5" t="n">
        <v>3</v>
      </c>
      <c r="I170" s="5" t="inlineStr">
        <is>
          <t>grade_beam</t>
        </is>
      </c>
      <c r="J170" s="5" t="inlineStr">
        <is>
          <t>no</t>
        </is>
      </c>
      <c r="K170" s="5" t="n">
        <v>403</v>
      </c>
      <c r="L170" s="5" t="n">
        <v>0.83</v>
      </c>
      <c r="M170" s="5" t="n">
        <v>0</v>
      </c>
      <c r="N170" s="5" t="inlineStr">
        <is>
          <t>yes</t>
        </is>
      </c>
    </row>
    <row r="171">
      <c r="A171" s="5" t="n">
        <v>170</v>
      </c>
      <c r="B171" s="5" t="inlineStr">
        <is>
          <t>V6/124/124</t>
        </is>
      </c>
      <c r="C171" s="5" t="inlineStr">
        <is>
          <t>wall</t>
        </is>
      </c>
      <c r="D171" s="5" t="inlineStr">
        <is>
          <t>shear_wall</t>
        </is>
      </c>
      <c r="E171" s="5" t="n">
        <v>3976</v>
      </c>
      <c r="F171" s="5" t="n">
        <v>2918.8</v>
      </c>
      <c r="G171" s="5" t="n">
        <v>402</v>
      </c>
      <c r="H171" s="5" t="n">
        <v>31</v>
      </c>
      <c r="I171" s="5" t="inlineStr">
        <is>
          <t>shear_wall</t>
        </is>
      </c>
      <c r="J171" s="5" t="inlineStr">
        <is>
          <t>yes</t>
        </is>
      </c>
      <c r="K171" s="5" t="n">
        <v>402</v>
      </c>
      <c r="L171" s="5" t="n">
        <v>0.17</v>
      </c>
      <c r="M171" s="5" t="n">
        <v>0</v>
      </c>
      <c r="N171" s="5" t="inlineStr">
        <is>
          <t>yes</t>
        </is>
      </c>
    </row>
    <row r="172">
      <c r="A172" s="5" t="n">
        <v>171</v>
      </c>
      <c r="B172" s="5" t="inlineStr">
        <is>
          <t>V6/124/124</t>
        </is>
      </c>
      <c r="C172" s="5" t="inlineStr">
        <is>
          <t>wall</t>
        </is>
      </c>
      <c r="D172" s="5" t="inlineStr">
        <is>
          <t>shear_wall</t>
        </is>
      </c>
      <c r="E172" s="5" t="n">
        <v>4199</v>
      </c>
      <c r="F172" s="5" t="n">
        <v>2903.1</v>
      </c>
      <c r="G172" s="5" t="n">
        <v>263</v>
      </c>
      <c r="H172" s="5" t="n">
        <v>3</v>
      </c>
      <c r="I172" s="5" t="inlineStr">
        <is>
          <t>grade_beam</t>
        </is>
      </c>
      <c r="J172" s="5" t="inlineStr">
        <is>
          <t>no</t>
        </is>
      </c>
      <c r="K172" s="5" t="n">
        <v>400</v>
      </c>
      <c r="L172" s="5" t="n">
        <v>0.15</v>
      </c>
      <c r="M172" s="5" t="n">
        <v>0</v>
      </c>
      <c r="N172" s="5" t="inlineStr">
        <is>
          <t>yes</t>
        </is>
      </c>
    </row>
    <row r="173">
      <c r="A173" s="5" t="n">
        <v>172</v>
      </c>
      <c r="B173" s="5" t="inlineStr">
        <is>
          <t>V1/120/120</t>
        </is>
      </c>
      <c r="C173" s="5" t="inlineStr">
        <is>
          <t>wall</t>
        </is>
      </c>
      <c r="D173" s="5" t="inlineStr">
        <is>
          <t>shear_wall</t>
        </is>
      </c>
      <c r="E173" s="5" t="n">
        <v>4541.7</v>
      </c>
      <c r="F173" s="5" t="n">
        <v>513.5</v>
      </c>
      <c r="G173" s="5" t="n">
        <v>65</v>
      </c>
      <c r="H173" s="5" t="n">
        <v>3</v>
      </c>
      <c r="I173" s="5" t="inlineStr">
        <is>
          <t>grade_beam</t>
        </is>
      </c>
      <c r="J173" s="5" t="inlineStr">
        <is>
          <t>no</t>
        </is>
      </c>
      <c r="K173" s="5" t="n">
        <v>5</v>
      </c>
      <c r="L173" s="5" t="n">
        <v>0.13</v>
      </c>
      <c r="M173" s="5" t="n">
        <v>0.23</v>
      </c>
      <c r="N173" s="5" t="inlineStr">
        <is>
          <t>yes</t>
        </is>
      </c>
    </row>
    <row r="174">
      <c r="A174" s="5" t="n">
        <v>173</v>
      </c>
      <c r="B174" s="5" t="inlineStr">
        <is>
          <t>V1/126/126</t>
        </is>
      </c>
      <c r="C174" s="5" t="inlineStr">
        <is>
          <t>wall</t>
        </is>
      </c>
      <c r="D174" s="5" t="inlineStr">
        <is>
          <t>shear_wall</t>
        </is>
      </c>
      <c r="E174" s="5" t="n">
        <v>2430.2</v>
      </c>
      <c r="F174" s="5" t="n">
        <v>3333.3</v>
      </c>
      <c r="G174" s="5" t="n">
        <v>536</v>
      </c>
      <c r="H174" s="5" t="n">
        <v>30</v>
      </c>
      <c r="I174" s="5" t="inlineStr">
        <is>
          <t>retaining_wall</t>
        </is>
      </c>
      <c r="J174" s="5" t="inlineStr">
        <is>
          <t>no</t>
        </is>
      </c>
      <c r="K174" s="5" t="n">
        <v>530</v>
      </c>
      <c r="L174" s="5" t="n">
        <v>0.8</v>
      </c>
      <c r="M174" s="5" t="n">
        <v>0</v>
      </c>
      <c r="N174" s="5" t="inlineStr">
        <is>
          <t>no</t>
        </is>
      </c>
    </row>
    <row r="175">
      <c r="A175" s="5" t="n">
        <v>174</v>
      </c>
      <c r="B175" s="5" t="inlineStr">
        <is>
          <t>V1/126/126</t>
        </is>
      </c>
      <c r="C175" s="5" t="inlineStr">
        <is>
          <t>wall</t>
        </is>
      </c>
      <c r="D175" s="5" t="inlineStr">
        <is>
          <t>shear_wall</t>
        </is>
      </c>
      <c r="E175" s="5" t="n">
        <v>2549</v>
      </c>
      <c r="F175" s="5" t="n">
        <v>3091.7</v>
      </c>
      <c r="G175" s="5" t="n">
        <v>546</v>
      </c>
      <c r="H175" s="5" t="n">
        <v>3</v>
      </c>
      <c r="I175" s="5" t="inlineStr">
        <is>
          <t>grade_beam</t>
        </is>
      </c>
      <c r="J175" s="5" t="inlineStr">
        <is>
          <t>no</t>
        </is>
      </c>
      <c r="K175" s="5" t="n">
        <v>529</v>
      </c>
      <c r="L175" s="5" t="n">
        <v>0.72</v>
      </c>
      <c r="M175" s="5" t="n">
        <v>0</v>
      </c>
      <c r="N175" s="5" t="inlineStr">
        <is>
          <t>no</t>
        </is>
      </c>
    </row>
    <row r="176">
      <c r="A176" s="5" t="n">
        <v>175</v>
      </c>
      <c r="B176" s="5" t="inlineStr">
        <is>
          <t>V1/125/125</t>
        </is>
      </c>
      <c r="C176" s="5" t="inlineStr">
        <is>
          <t>wall</t>
        </is>
      </c>
      <c r="D176" s="5" t="inlineStr">
        <is>
          <t>shear_wall</t>
        </is>
      </c>
      <c r="E176" s="5" t="n">
        <v>3566.7</v>
      </c>
      <c r="F176" s="5" t="n">
        <v>3253.1</v>
      </c>
      <c r="G176" s="5" t="n">
        <v>454</v>
      </c>
      <c r="H176" s="5" t="n">
        <v>38</v>
      </c>
      <c r="I176" s="5" t="inlineStr">
        <is>
          <t>shear_wall</t>
        </is>
      </c>
      <c r="J176" s="5" t="inlineStr">
        <is>
          <t>yes</t>
        </is>
      </c>
      <c r="K176" s="5" t="n">
        <v>454</v>
      </c>
      <c r="L176" s="5" t="n">
        <v>0</v>
      </c>
      <c r="M176" s="5" t="n">
        <v>0</v>
      </c>
      <c r="N176" s="5" t="inlineStr">
        <is>
          <t>yes</t>
        </is>
      </c>
    </row>
    <row r="177">
      <c r="A177" s="5" t="n">
        <v>176</v>
      </c>
      <c r="B177" s="5" t="inlineStr">
        <is>
          <t>V1/125/125</t>
        </is>
      </c>
      <c r="C177" s="5" t="inlineStr">
        <is>
          <t>wall</t>
        </is>
      </c>
      <c r="D177" s="5" t="inlineStr">
        <is>
          <t>shear_wall</t>
        </is>
      </c>
      <c r="E177" s="5" t="n">
        <v>3611.5</v>
      </c>
      <c r="F177" s="5" t="n">
        <v>3494.8</v>
      </c>
      <c r="G177" s="5" t="n">
        <v>452</v>
      </c>
      <c r="H177" s="5" t="n">
        <v>33</v>
      </c>
      <c r="I177" s="5" t="inlineStr">
        <is>
          <t>shear_wall</t>
        </is>
      </c>
      <c r="J177" s="5" t="inlineStr">
        <is>
          <t>yes</t>
        </is>
      </c>
      <c r="K177" s="5" t="n">
        <v>452</v>
      </c>
      <c r="L177" s="5" t="n">
        <v>0.02</v>
      </c>
      <c r="M177" s="5" t="n">
        <v>0</v>
      </c>
      <c r="N177" s="5" t="inlineStr">
        <is>
          <t>yes</t>
        </is>
      </c>
    </row>
    <row r="178">
      <c r="A178" s="5" t="n">
        <v>177</v>
      </c>
      <c r="B178" s="5" t="inlineStr">
        <is>
          <t>V1/125/125</t>
        </is>
      </c>
      <c r="C178" s="5" t="inlineStr">
        <is>
          <t>wall</t>
        </is>
      </c>
      <c r="D178" s="5" t="inlineStr">
        <is>
          <t>shear_wall</t>
        </is>
      </c>
      <c r="E178" s="5" t="n">
        <v>3645.8</v>
      </c>
      <c r="F178" s="5" t="n">
        <v>3681.3</v>
      </c>
      <c r="G178" s="5" t="n">
        <v>453</v>
      </c>
      <c r="H178" s="5" t="n">
        <v>35</v>
      </c>
      <c r="I178" s="5" t="inlineStr">
        <is>
          <t>shear_wall</t>
        </is>
      </c>
      <c r="J178" s="5" t="inlineStr">
        <is>
          <t>yes</t>
        </is>
      </c>
      <c r="K178" s="5" t="n">
        <v>453</v>
      </c>
      <c r="L178" s="5" t="n">
        <v>0.04</v>
      </c>
      <c r="M178" s="5" t="n">
        <v>0</v>
      </c>
      <c r="N178" s="5" t="inlineStr">
        <is>
          <t>yes</t>
        </is>
      </c>
    </row>
    <row r="179">
      <c r="A179" s="5" t="n">
        <v>178</v>
      </c>
      <c r="B179" s="5" t="inlineStr">
        <is>
          <t>V3/125/125</t>
        </is>
      </c>
      <c r="C179" s="5" t="inlineStr">
        <is>
          <t>wall</t>
        </is>
      </c>
      <c r="D179" s="5" t="inlineStr">
        <is>
          <t>shear_wall</t>
        </is>
      </c>
      <c r="E179" s="5" t="n">
        <v>3421.9</v>
      </c>
      <c r="F179" s="5" t="n">
        <v>3310.4</v>
      </c>
      <c r="G179" s="5" t="n">
        <v>518</v>
      </c>
      <c r="H179" s="5" t="n">
        <v>3</v>
      </c>
      <c r="I179" s="5" t="inlineStr">
        <is>
          <t>grade_beam</t>
        </is>
      </c>
      <c r="J179" s="5" t="inlineStr">
        <is>
          <t>no</t>
        </is>
      </c>
      <c r="K179" s="5" t="n">
        <v>455</v>
      </c>
      <c r="L179" s="5" t="n">
        <v>0.77</v>
      </c>
      <c r="M179" s="5" t="n">
        <v>1</v>
      </c>
      <c r="N179" s="5" t="inlineStr">
        <is>
          <t>yes</t>
        </is>
      </c>
    </row>
    <row r="180">
      <c r="A180" s="5" t="n">
        <v>179</v>
      </c>
      <c r="B180" s="5" t="inlineStr">
        <is>
          <t>V3/126/126</t>
        </is>
      </c>
      <c r="C180" s="5" t="inlineStr">
        <is>
          <t>wall</t>
        </is>
      </c>
      <c r="D180" s="5" t="inlineStr">
        <is>
          <t>shear_wall</t>
        </is>
      </c>
      <c r="E180" s="5" t="n">
        <v>2691.7</v>
      </c>
      <c r="F180" s="5" t="n">
        <v>3222.9</v>
      </c>
      <c r="G180" s="5" t="n">
        <v>548</v>
      </c>
      <c r="H180" s="5" t="n">
        <v>3</v>
      </c>
      <c r="I180" s="5" t="inlineStr">
        <is>
          <t>grade_beam</t>
        </is>
      </c>
      <c r="J180" s="5" t="inlineStr">
        <is>
          <t>no</t>
        </is>
      </c>
      <c r="K180" s="5" t="n">
        <v>531</v>
      </c>
      <c r="L180" s="5" t="n">
        <v>0.76</v>
      </c>
      <c r="M180" s="5" t="n">
        <v>1</v>
      </c>
      <c r="N180" s="5" t="inlineStr">
        <is>
          <t>yes</t>
        </is>
      </c>
    </row>
    <row r="181">
      <c r="A181" s="5" t="n">
        <v>180</v>
      </c>
      <c r="B181" s="5" t="inlineStr">
        <is>
          <t>V4/126/126</t>
        </is>
      </c>
      <c r="C181" s="5" t="inlineStr">
        <is>
          <t>wall</t>
        </is>
      </c>
      <c r="D181" s="5" t="inlineStr">
        <is>
          <t>shear_wall</t>
        </is>
      </c>
      <c r="E181" s="5" t="n">
        <v>2856.2</v>
      </c>
      <c r="F181" s="5" t="n">
        <v>3300</v>
      </c>
      <c r="G181" s="5" t="n">
        <v>547</v>
      </c>
      <c r="H181" s="5" t="n">
        <v>3</v>
      </c>
      <c r="I181" s="5" t="inlineStr">
        <is>
          <t>grade_beam</t>
        </is>
      </c>
      <c r="J181" s="5" t="inlineStr">
        <is>
          <t>no</t>
        </is>
      </c>
      <c r="K181" s="5" t="n">
        <v>532</v>
      </c>
      <c r="L181" s="5" t="n">
        <v>0.71</v>
      </c>
      <c r="M181" s="5" t="n">
        <v>1</v>
      </c>
      <c r="N181" s="5" t="inlineStr">
        <is>
          <t>yes</t>
        </is>
      </c>
    </row>
    <row r="182">
      <c r="A182" s="5" t="n">
        <v>181</v>
      </c>
      <c r="B182" s="5" t="inlineStr">
        <is>
          <t>V4/125/125</t>
        </is>
      </c>
      <c r="C182" s="5" t="inlineStr">
        <is>
          <t>wall</t>
        </is>
      </c>
      <c r="D182" s="5" t="inlineStr">
        <is>
          <t>shear_wall</t>
        </is>
      </c>
      <c r="E182" s="5" t="n">
        <v>3040.6</v>
      </c>
      <c r="F182" s="5" t="n">
        <v>3379.2</v>
      </c>
      <c r="G182" s="5" t="n">
        <v>457</v>
      </c>
      <c r="H182" s="5" t="n">
        <v>38</v>
      </c>
      <c r="I182" s="5" t="inlineStr">
        <is>
          <t>shear_wall</t>
        </is>
      </c>
      <c r="J182" s="5" t="inlineStr">
        <is>
          <t>yes</t>
        </is>
      </c>
      <c r="K182" s="5" t="n">
        <v>457</v>
      </c>
      <c r="L182" s="5" t="n">
        <v>0.71</v>
      </c>
      <c r="M182" s="5" t="n">
        <v>1</v>
      </c>
      <c r="N182" s="5" t="inlineStr">
        <is>
          <t>yes</t>
        </is>
      </c>
    </row>
    <row r="183">
      <c r="A183" s="5" t="n">
        <v>182</v>
      </c>
      <c r="B183" s="5" t="inlineStr">
        <is>
          <t>V4/125/125</t>
        </is>
      </c>
      <c r="C183" s="5" t="inlineStr">
        <is>
          <t>wall</t>
        </is>
      </c>
      <c r="D183" s="5" t="inlineStr">
        <is>
          <t>shear_wall</t>
        </is>
      </c>
      <c r="E183" s="5" t="n">
        <v>3238.5</v>
      </c>
      <c r="F183" s="5" t="n">
        <v>3336.5</v>
      </c>
      <c r="G183" s="5" t="n">
        <v>517</v>
      </c>
      <c r="H183" s="5" t="n">
        <v>3</v>
      </c>
      <c r="I183" s="5" t="inlineStr">
        <is>
          <t>grade_beam</t>
        </is>
      </c>
      <c r="J183" s="5" t="inlineStr">
        <is>
          <t>no</t>
        </is>
      </c>
      <c r="K183" s="5" t="n">
        <v>456</v>
      </c>
      <c r="L183" s="5" t="n">
        <v>0.6899999999999999</v>
      </c>
      <c r="M183" s="5" t="n">
        <v>1</v>
      </c>
      <c r="N183" s="5" t="inlineStr">
        <is>
          <t>yes</t>
        </is>
      </c>
    </row>
    <row r="184">
      <c r="A184" s="5" t="n">
        <v>183</v>
      </c>
      <c r="B184" s="5" t="inlineStr">
        <is>
          <t>V4/125/125</t>
        </is>
      </c>
      <c r="C184" s="5" t="inlineStr">
        <is>
          <t>wall</t>
        </is>
      </c>
      <c r="D184" s="5" t="inlineStr">
        <is>
          <t>shear_wall</t>
        </is>
      </c>
      <c r="E184" s="5" t="n">
        <v>3016.7</v>
      </c>
      <c r="F184" s="5" t="n">
        <v>3553.1</v>
      </c>
      <c r="G184" s="5" t="n">
        <v>545</v>
      </c>
      <c r="H184" s="5" t="n">
        <v>3</v>
      </c>
      <c r="I184" s="5" t="inlineStr">
        <is>
          <t>grade_beam</t>
        </is>
      </c>
      <c r="J184" s="5" t="inlineStr">
        <is>
          <t>no</t>
        </is>
      </c>
      <c r="K184" s="5" t="n">
        <v>458</v>
      </c>
      <c r="L184" s="5" t="n">
        <v>0.73</v>
      </c>
      <c r="M184" s="5" t="n">
        <v>1</v>
      </c>
      <c r="N184" s="5" t="inlineStr">
        <is>
          <t>yes</t>
        </is>
      </c>
    </row>
    <row r="185">
      <c r="A185" s="5" t="n">
        <v>184</v>
      </c>
      <c r="B185" s="5" t="inlineStr">
        <is>
          <t>V5/126/126</t>
        </is>
      </c>
      <c r="C185" s="5" t="inlineStr">
        <is>
          <t>wall</t>
        </is>
      </c>
      <c r="D185" s="5" t="inlineStr">
        <is>
          <t>shear_wall</t>
        </is>
      </c>
      <c r="E185" s="5" t="n">
        <v>2531.2</v>
      </c>
      <c r="F185" s="5" t="n">
        <v>3343.8</v>
      </c>
      <c r="G185" s="5" t="n">
        <v>533</v>
      </c>
      <c r="H185" s="5" t="n">
        <v>29</v>
      </c>
      <c r="I185" s="5" t="inlineStr">
        <is>
          <t>shear_wall</t>
        </is>
      </c>
      <c r="J185" s="5" t="inlineStr">
        <is>
          <t>yes</t>
        </is>
      </c>
      <c r="K185" s="5" t="n">
        <v>533</v>
      </c>
      <c r="L185" s="5" t="n">
        <v>0.16</v>
      </c>
      <c r="M185" s="5" t="n">
        <v>0</v>
      </c>
      <c r="N185" s="5" t="inlineStr">
        <is>
          <t>no</t>
        </is>
      </c>
    </row>
    <row r="186">
      <c r="A186" s="5" t="n">
        <v>185</v>
      </c>
      <c r="B186" s="5" t="inlineStr">
        <is>
          <t>V3/121/121</t>
        </is>
      </c>
      <c r="C186" s="5" t="inlineStr">
        <is>
          <t>wall</t>
        </is>
      </c>
      <c r="D186" s="5" t="inlineStr">
        <is>
          <t>shear_wall</t>
        </is>
      </c>
      <c r="E186" s="5" t="n">
        <v>4312.5</v>
      </c>
      <c r="F186" s="5" t="n">
        <v>2127.1</v>
      </c>
      <c r="G186" s="5" t="n">
        <v>90</v>
      </c>
      <c r="H186" s="5" t="n">
        <v>31</v>
      </c>
      <c r="I186" s="5" t="inlineStr">
        <is>
          <t>shear_wall</t>
        </is>
      </c>
      <c r="J186" s="5" t="inlineStr">
        <is>
          <t>yes</t>
        </is>
      </c>
      <c r="K186" s="5" t="n">
        <v>90</v>
      </c>
      <c r="L186" s="5" t="n">
        <v>0.06</v>
      </c>
      <c r="M186" s="5" t="n">
        <v>0</v>
      </c>
      <c r="N186" s="5" t="inlineStr">
        <is>
          <t>yes</t>
        </is>
      </c>
    </row>
    <row r="187">
      <c r="A187" s="5" t="n">
        <v>186</v>
      </c>
      <c r="B187" s="5" t="inlineStr">
        <is>
          <t>V3/121/121</t>
        </is>
      </c>
      <c r="C187" s="5" t="inlineStr">
        <is>
          <t>wall</t>
        </is>
      </c>
      <c r="D187" s="5" t="inlineStr">
        <is>
          <t>shear_wall</t>
        </is>
      </c>
      <c r="E187" s="5" t="n">
        <v>4272.9</v>
      </c>
      <c r="F187" s="5" t="n">
        <v>1346.9</v>
      </c>
      <c r="G187" s="5" t="n">
        <v>91</v>
      </c>
      <c r="H187" s="5" t="n">
        <v>31</v>
      </c>
      <c r="I187" s="5" t="inlineStr">
        <is>
          <t>shear_wall</t>
        </is>
      </c>
      <c r="J187" s="5" t="inlineStr">
        <is>
          <t>yes</t>
        </is>
      </c>
      <c r="K187" s="5" t="n">
        <v>91</v>
      </c>
      <c r="L187" s="5" t="n">
        <v>0.2</v>
      </c>
      <c r="M187" s="5" t="n">
        <v>0</v>
      </c>
      <c r="N187" s="5" t="inlineStr">
        <is>
          <t>yes</t>
        </is>
      </c>
    </row>
    <row r="188">
      <c r="A188" s="5" t="n">
        <v>187</v>
      </c>
      <c r="B188" s="5" t="inlineStr">
        <is>
          <t>V5/125/125</t>
        </is>
      </c>
      <c r="C188" s="5" t="inlineStr">
        <is>
          <t>wall</t>
        </is>
      </c>
      <c r="D188" s="5" t="inlineStr">
        <is>
          <t>shear_wall</t>
        </is>
      </c>
      <c r="E188" s="5" t="n">
        <v>3503.1</v>
      </c>
      <c r="F188" s="5" t="n">
        <v>3478.1</v>
      </c>
      <c r="G188" s="5" t="n">
        <v>459</v>
      </c>
      <c r="H188" s="5" t="n">
        <v>29</v>
      </c>
      <c r="I188" s="5" t="inlineStr">
        <is>
          <t>shear_wall</t>
        </is>
      </c>
      <c r="J188" s="5" t="inlineStr">
        <is>
          <t>yes</t>
        </is>
      </c>
      <c r="K188" s="5" t="n">
        <v>459</v>
      </c>
      <c r="L188" s="5" t="n">
        <v>0.09</v>
      </c>
      <c r="M188" s="5" t="n">
        <v>0.09</v>
      </c>
      <c r="N188" s="5" t="inlineStr">
        <is>
          <t>yes</t>
        </is>
      </c>
    </row>
    <row r="189">
      <c r="A189" s="5" t="n">
        <v>188</v>
      </c>
      <c r="B189" s="5" t="inlineStr">
        <is>
          <t>V8/125/125</t>
        </is>
      </c>
      <c r="C189" s="5" t="inlineStr">
        <is>
          <t>wall</t>
        </is>
      </c>
      <c r="D189" s="5" t="inlineStr">
        <is>
          <t>shear_wall</t>
        </is>
      </c>
      <c r="E189" s="5" t="n">
        <v>3517.7</v>
      </c>
      <c r="F189" s="5" t="n">
        <v>3009.4</v>
      </c>
      <c r="G189" s="5" t="n">
        <v>460</v>
      </c>
      <c r="H189" s="5" t="n">
        <v>31</v>
      </c>
      <c r="I189" s="5" t="inlineStr">
        <is>
          <t>shear_wall</t>
        </is>
      </c>
      <c r="J189" s="5" t="inlineStr">
        <is>
          <t>yes</t>
        </is>
      </c>
      <c r="K189" s="5" t="n">
        <v>460</v>
      </c>
      <c r="L189" s="5" t="n">
        <v>0.14</v>
      </c>
      <c r="M189" s="5" t="n">
        <v>0</v>
      </c>
      <c r="N189" s="5" t="inlineStr">
        <is>
          <t>yes</t>
        </is>
      </c>
    </row>
    <row r="190">
      <c r="A190" s="5" t="n">
        <v>189</v>
      </c>
      <c r="B190" s="5" t="inlineStr">
        <is>
          <t>V8/125/125</t>
        </is>
      </c>
      <c r="C190" s="5" t="inlineStr">
        <is>
          <t>wall</t>
        </is>
      </c>
      <c r="D190" s="5" t="inlineStr">
        <is>
          <t>shear_wall</t>
        </is>
      </c>
      <c r="E190" s="5" t="n">
        <v>3326</v>
      </c>
      <c r="F190" s="5" t="n">
        <v>3055.2</v>
      </c>
      <c r="G190" s="5" t="n">
        <v>521</v>
      </c>
      <c r="H190" s="5" t="n">
        <v>3</v>
      </c>
      <c r="I190" s="5" t="inlineStr">
        <is>
          <t>grade_beam</t>
        </is>
      </c>
      <c r="J190" s="5" t="inlineStr">
        <is>
          <t>no</t>
        </is>
      </c>
      <c r="K190" s="5" t="n">
        <v>461</v>
      </c>
      <c r="L190" s="5" t="n">
        <v>0.75</v>
      </c>
      <c r="M190" s="5" t="n">
        <v>0</v>
      </c>
      <c r="N190" s="5" t="inlineStr">
        <is>
          <t>yes</t>
        </is>
      </c>
    </row>
    <row r="191">
      <c r="A191" s="5" t="n">
        <v>190</v>
      </c>
      <c r="B191" s="5" t="inlineStr">
        <is>
          <t>V8/125/125</t>
        </is>
      </c>
      <c r="C191" s="5" t="inlineStr">
        <is>
          <t>wall</t>
        </is>
      </c>
      <c r="D191" s="5" t="inlineStr">
        <is>
          <t>shear_wall</t>
        </is>
      </c>
      <c r="E191" s="5" t="n">
        <v>3079.2</v>
      </c>
      <c r="F191" s="5" t="n">
        <v>3093.8</v>
      </c>
      <c r="G191" s="5" t="n">
        <v>519</v>
      </c>
      <c r="H191" s="5" t="n">
        <v>3</v>
      </c>
      <c r="I191" s="5" t="inlineStr">
        <is>
          <t>grade_beam</t>
        </is>
      </c>
      <c r="J191" s="5" t="inlineStr">
        <is>
          <t>no</t>
        </is>
      </c>
      <c r="K191" s="5" t="n">
        <v>462</v>
      </c>
      <c r="L191" s="5" t="n">
        <v>0.72</v>
      </c>
      <c r="M191" s="5" t="n">
        <v>0</v>
      </c>
      <c r="N191" s="5" t="inlineStr">
        <is>
          <t>yes</t>
        </is>
      </c>
    </row>
    <row r="192">
      <c r="A192" s="5" t="n">
        <v>191</v>
      </c>
      <c r="B192" s="5" t="inlineStr">
        <is>
          <t>V8/126/126</t>
        </is>
      </c>
      <c r="C192" s="5" t="inlineStr">
        <is>
          <t>wall</t>
        </is>
      </c>
      <c r="D192" s="5" t="inlineStr">
        <is>
          <t>shear_wall</t>
        </is>
      </c>
      <c r="E192" s="5" t="n">
        <v>2850</v>
      </c>
      <c r="F192" s="5" t="n">
        <v>3014.6</v>
      </c>
      <c r="G192" s="5" t="n">
        <v>549</v>
      </c>
      <c r="H192" s="5" t="n">
        <v>3</v>
      </c>
      <c r="I192" s="5" t="inlineStr">
        <is>
          <t>grade_beam</t>
        </is>
      </c>
      <c r="J192" s="5" t="inlineStr">
        <is>
          <t>no</t>
        </is>
      </c>
      <c r="K192" s="5" t="n">
        <v>534</v>
      </c>
      <c r="L192" s="5" t="n">
        <v>0.78</v>
      </c>
      <c r="M192" s="5" t="n">
        <v>0</v>
      </c>
      <c r="N192" s="5" t="inlineStr">
        <is>
          <t>yes</t>
        </is>
      </c>
    </row>
    <row r="193">
      <c r="A193" s="5" t="n">
        <v>192</v>
      </c>
      <c r="B193" s="5" t="inlineStr">
        <is>
          <t>V8/126/126</t>
        </is>
      </c>
      <c r="C193" s="5" t="inlineStr">
        <is>
          <t>wall</t>
        </is>
      </c>
      <c r="D193" s="5" t="inlineStr">
        <is>
          <t>shear_wall</t>
        </is>
      </c>
      <c r="E193" s="5" t="n">
        <v>2658.3</v>
      </c>
      <c r="F193" s="5" t="n">
        <v>2871.9</v>
      </c>
      <c r="G193" s="5" t="n">
        <v>543</v>
      </c>
      <c r="H193" s="5" t="n">
        <v>15</v>
      </c>
      <c r="I193" s="5" t="inlineStr">
        <is>
          <t>combined_footing</t>
        </is>
      </c>
      <c r="J193" s="5" t="inlineStr">
        <is>
          <t>no</t>
        </is>
      </c>
      <c r="K193" s="5" t="n">
        <v>535</v>
      </c>
      <c r="L193" s="5" t="n">
        <v>0.75</v>
      </c>
      <c r="M193" s="5" t="n">
        <v>0</v>
      </c>
      <c r="N193" s="5" t="inlineStr">
        <is>
          <t>no</t>
        </is>
      </c>
    </row>
    <row r="194">
      <c r="A194" s="5" t="n">
        <v>193</v>
      </c>
      <c r="B194" s="5" t="inlineStr">
        <is>
          <t>V8/124/124</t>
        </is>
      </c>
      <c r="C194" s="5" t="inlineStr">
        <is>
          <t>wall</t>
        </is>
      </c>
      <c r="D194" s="5" t="inlineStr">
        <is>
          <t>shear_wall</t>
        </is>
      </c>
      <c r="E194" s="5" t="n">
        <v>3653.1</v>
      </c>
      <c r="F194" s="5" t="n">
        <v>3484.4</v>
      </c>
      <c r="G194" s="5" t="n">
        <v>407</v>
      </c>
      <c r="H194" s="5" t="n">
        <v>33</v>
      </c>
      <c r="I194" s="5" t="inlineStr">
        <is>
          <t>shear_wall</t>
        </is>
      </c>
      <c r="J194" s="5" t="inlineStr">
        <is>
          <t>yes</t>
        </is>
      </c>
      <c r="K194" s="5" t="n">
        <v>407</v>
      </c>
      <c r="L194" s="5" t="n">
        <v>0.73</v>
      </c>
      <c r="M194" s="5" t="n">
        <v>0</v>
      </c>
      <c r="N194" s="5" t="inlineStr">
        <is>
          <t>yes</t>
        </is>
      </c>
    </row>
    <row r="195">
      <c r="A195" s="5" t="n">
        <v>194</v>
      </c>
      <c r="B195" s="5" t="inlineStr">
        <is>
          <t>V8/124/124</t>
        </is>
      </c>
      <c r="C195" s="5" t="inlineStr">
        <is>
          <t>wall</t>
        </is>
      </c>
      <c r="D195" s="5" t="inlineStr">
        <is>
          <t>shear_wall</t>
        </is>
      </c>
      <c r="E195" s="5" t="n">
        <v>3605.2</v>
      </c>
      <c r="F195" s="5" t="n">
        <v>3244.8</v>
      </c>
      <c r="G195" s="5" t="n">
        <v>440</v>
      </c>
      <c r="H195" s="5" t="n">
        <v>3</v>
      </c>
      <c r="I195" s="5" t="inlineStr">
        <is>
          <t>grade_beam</t>
        </is>
      </c>
      <c r="J195" s="5" t="inlineStr">
        <is>
          <t>no</t>
        </is>
      </c>
      <c r="K195" s="5" t="n">
        <v>406</v>
      </c>
      <c r="L195" s="5" t="n">
        <v>0.64</v>
      </c>
      <c r="M195" s="5" t="n">
        <v>0</v>
      </c>
      <c r="N195" s="5" t="inlineStr">
        <is>
          <t>yes</t>
        </is>
      </c>
    </row>
    <row r="196">
      <c r="A196" s="5" t="n">
        <v>195</v>
      </c>
      <c r="B196" s="5" t="inlineStr">
        <is>
          <t>V1/127/127</t>
        </is>
      </c>
      <c r="C196" s="5" t="inlineStr">
        <is>
          <t>wall</t>
        </is>
      </c>
      <c r="D196" s="5" t="inlineStr">
        <is>
          <t>shear_wall</t>
        </is>
      </c>
      <c r="E196" s="5" t="n">
        <v>2389.6</v>
      </c>
      <c r="F196" s="5" t="n">
        <v>3313.5</v>
      </c>
      <c r="G196" s="5" t="n">
        <v>559</v>
      </c>
      <c r="H196" s="5" t="n">
        <v>33</v>
      </c>
      <c r="I196" s="5" t="inlineStr">
        <is>
          <t>shear_wall</t>
        </is>
      </c>
      <c r="J196" s="5" t="inlineStr">
        <is>
          <t>yes</t>
        </is>
      </c>
      <c r="K196" s="5" t="n">
        <v>559</v>
      </c>
      <c r="L196" s="5" t="n">
        <v>0.09</v>
      </c>
      <c r="M196" s="5" t="n">
        <v>0</v>
      </c>
      <c r="N196" s="5" t="inlineStr">
        <is>
          <t>no</t>
        </is>
      </c>
    </row>
    <row r="197">
      <c r="A197" s="5" t="n">
        <v>196</v>
      </c>
      <c r="B197" s="5" t="inlineStr">
        <is>
          <t>V1/127/127</t>
        </is>
      </c>
      <c r="C197" s="5" t="inlineStr">
        <is>
          <t>wall</t>
        </is>
      </c>
      <c r="D197" s="5" t="inlineStr">
        <is>
          <t>shear_wall</t>
        </is>
      </c>
      <c r="E197" s="5" t="n">
        <v>1762.5</v>
      </c>
      <c r="F197" s="5" t="n">
        <v>2994.8</v>
      </c>
      <c r="G197" s="5" t="n">
        <v>579</v>
      </c>
      <c r="H197" s="5" t="n">
        <v>30</v>
      </c>
      <c r="I197" s="5" t="inlineStr">
        <is>
          <t>retaining_wall</t>
        </is>
      </c>
      <c r="J197" s="5" t="inlineStr">
        <is>
          <t>no</t>
        </is>
      </c>
      <c r="K197" s="5" t="n">
        <v>558</v>
      </c>
      <c r="L197" s="5" t="n">
        <v>0.72</v>
      </c>
      <c r="M197" s="5" t="n">
        <v>0</v>
      </c>
      <c r="N197" s="5" t="inlineStr">
        <is>
          <t>no</t>
        </is>
      </c>
    </row>
    <row r="198">
      <c r="A198" s="5" t="n">
        <v>197</v>
      </c>
      <c r="B198" s="5" t="inlineStr">
        <is>
          <t>V3/127/127</t>
        </is>
      </c>
      <c r="C198" s="5" t="inlineStr">
        <is>
          <t>wall</t>
        </is>
      </c>
      <c r="D198" s="5" t="inlineStr">
        <is>
          <t>shear_wall</t>
        </is>
      </c>
      <c r="E198" s="5" t="n">
        <v>1863.5</v>
      </c>
      <c r="F198" s="5" t="n">
        <v>2800</v>
      </c>
      <c r="G198" s="5" t="n">
        <v>598</v>
      </c>
      <c r="H198" s="5" t="n">
        <v>3</v>
      </c>
      <c r="I198" s="5" t="inlineStr">
        <is>
          <t>grade_beam</t>
        </is>
      </c>
      <c r="J198" s="5" t="inlineStr">
        <is>
          <t>no</t>
        </is>
      </c>
      <c r="K198" s="5" t="n">
        <v>560</v>
      </c>
      <c r="L198" s="5" t="n">
        <v>0.82</v>
      </c>
      <c r="M198" s="5" t="n">
        <v>1</v>
      </c>
      <c r="N198" s="5" t="inlineStr">
        <is>
          <t>yes</t>
        </is>
      </c>
    </row>
    <row r="199">
      <c r="A199" s="5" t="n">
        <v>198</v>
      </c>
      <c r="B199" s="5" t="inlineStr">
        <is>
          <t>V3/127/127</t>
        </is>
      </c>
      <c r="C199" s="5" t="inlineStr">
        <is>
          <t>wall</t>
        </is>
      </c>
      <c r="D199" s="5" t="inlineStr">
        <is>
          <t>shear_wall</t>
        </is>
      </c>
      <c r="E199" s="5" t="n">
        <v>2489.6</v>
      </c>
      <c r="F199" s="5" t="n">
        <v>3114.6</v>
      </c>
      <c r="G199" s="5" t="n">
        <v>561</v>
      </c>
      <c r="H199" s="5" t="n">
        <v>31</v>
      </c>
      <c r="I199" s="5" t="inlineStr">
        <is>
          <t>shear_wall</t>
        </is>
      </c>
      <c r="J199" s="5" t="inlineStr">
        <is>
          <t>yes</t>
        </is>
      </c>
      <c r="K199" s="5" t="n">
        <v>561</v>
      </c>
      <c r="L199" s="5" t="n">
        <v>0.08</v>
      </c>
      <c r="M199" s="5" t="n">
        <v>0</v>
      </c>
      <c r="N199" s="5" t="inlineStr">
        <is>
          <t>no</t>
        </is>
      </c>
    </row>
    <row r="200">
      <c r="A200" s="5" t="n">
        <v>199</v>
      </c>
      <c r="B200" s="5" t="inlineStr">
        <is>
          <t>V4/127/127</t>
        </is>
      </c>
      <c r="C200" s="5" t="inlineStr">
        <is>
          <t>wall</t>
        </is>
      </c>
      <c r="D200" s="5" t="inlineStr">
        <is>
          <t>shear_wall</t>
        </is>
      </c>
      <c r="E200" s="5" t="n">
        <v>1913.5</v>
      </c>
      <c r="F200" s="5" t="n">
        <v>3033.3</v>
      </c>
      <c r="G200" s="5" t="n">
        <v>563</v>
      </c>
      <c r="H200" s="5" t="n">
        <v>29</v>
      </c>
      <c r="I200" s="5" t="inlineStr">
        <is>
          <t>shear_wall</t>
        </is>
      </c>
      <c r="J200" s="5" t="inlineStr">
        <is>
          <t>yes</t>
        </is>
      </c>
      <c r="K200" s="5" t="n">
        <v>563</v>
      </c>
      <c r="L200" s="5" t="n">
        <v>0.24</v>
      </c>
      <c r="M200" s="5" t="n">
        <v>0</v>
      </c>
      <c r="N200" s="5" t="inlineStr">
        <is>
          <t>no</t>
        </is>
      </c>
    </row>
    <row r="201">
      <c r="A201" s="5" t="n">
        <v>200</v>
      </c>
      <c r="B201" s="5" t="inlineStr">
        <is>
          <t>V4/127/127</t>
        </is>
      </c>
      <c r="C201" s="5" t="inlineStr">
        <is>
          <t>wall</t>
        </is>
      </c>
      <c r="D201" s="5" t="inlineStr">
        <is>
          <t>shear_wall</t>
        </is>
      </c>
      <c r="E201" s="5" t="n">
        <v>2068.8</v>
      </c>
      <c r="F201" s="5" t="n">
        <v>3111.5</v>
      </c>
      <c r="G201" s="5" t="n">
        <v>562</v>
      </c>
      <c r="H201" s="5" t="n">
        <v>29</v>
      </c>
      <c r="I201" s="5" t="inlineStr">
        <is>
          <t>shear_wall</t>
        </is>
      </c>
      <c r="J201" s="5" t="inlineStr">
        <is>
          <t>yes</t>
        </is>
      </c>
      <c r="K201" s="5" t="n">
        <v>562</v>
      </c>
      <c r="L201" s="5" t="n">
        <v>0.18</v>
      </c>
      <c r="M201" s="5" t="n">
        <v>0</v>
      </c>
      <c r="N201" s="5" t="inlineStr">
        <is>
          <t>yes</t>
        </is>
      </c>
    </row>
    <row r="202">
      <c r="A202" s="5" t="n">
        <v>201</v>
      </c>
      <c r="B202" s="5" t="inlineStr">
        <is>
          <t>V5/127/127</t>
        </is>
      </c>
      <c r="C202" s="5" t="inlineStr">
        <is>
          <t>wall</t>
        </is>
      </c>
      <c r="D202" s="5" t="inlineStr">
        <is>
          <t>shear_wall</t>
        </is>
      </c>
      <c r="E202" s="5" t="n">
        <v>2253.1</v>
      </c>
      <c r="F202" s="5" t="n">
        <v>3012.5</v>
      </c>
      <c r="G202" s="5" t="n">
        <v>589</v>
      </c>
      <c r="H202" s="5" t="n">
        <v>13</v>
      </c>
      <c r="I202" s="5" t="inlineStr">
        <is>
          <t>isolated_footing</t>
        </is>
      </c>
      <c r="J202" s="5" t="inlineStr">
        <is>
          <t>no</t>
        </is>
      </c>
      <c r="K202" s="5" t="n">
        <v>564</v>
      </c>
      <c r="L202" s="5" t="n">
        <v>0.78</v>
      </c>
      <c r="M202" s="5" t="n">
        <v>1</v>
      </c>
      <c r="N202" s="5" t="inlineStr">
        <is>
          <t>yes</t>
        </is>
      </c>
    </row>
    <row r="203">
      <c r="A203" s="5" t="n">
        <v>202</v>
      </c>
      <c r="B203" s="5" t="inlineStr">
        <is>
          <t>V5/127/127</t>
        </is>
      </c>
      <c r="C203" s="5" t="inlineStr">
        <is>
          <t>wall</t>
        </is>
      </c>
      <c r="D203" s="5" t="inlineStr">
        <is>
          <t>shear_wall</t>
        </is>
      </c>
      <c r="E203" s="5" t="n">
        <v>2032.3</v>
      </c>
      <c r="F203" s="5" t="n">
        <v>2909.4</v>
      </c>
      <c r="G203" s="5" t="n">
        <v>590</v>
      </c>
      <c r="H203" s="5" t="n">
        <v>13</v>
      </c>
      <c r="I203" s="5" t="inlineStr">
        <is>
          <t>isolated_footing</t>
        </is>
      </c>
      <c r="J203" s="5" t="inlineStr">
        <is>
          <t>no</t>
        </is>
      </c>
      <c r="K203" s="5" t="n">
        <v>565</v>
      </c>
      <c r="L203" s="5" t="n">
        <v>0.87</v>
      </c>
      <c r="M203" s="5" t="n">
        <v>1</v>
      </c>
      <c r="N203" s="5" t="inlineStr">
        <is>
          <t>yes</t>
        </is>
      </c>
    </row>
    <row r="204">
      <c r="A204" s="5" t="n">
        <v>203</v>
      </c>
      <c r="B204" s="5" t="inlineStr">
        <is>
          <t>V6/127/127</t>
        </is>
      </c>
      <c r="C204" s="5" t="inlineStr">
        <is>
          <t>wall</t>
        </is>
      </c>
      <c r="D204" s="5" t="inlineStr">
        <is>
          <t>shear_wall</t>
        </is>
      </c>
      <c r="E204" s="5" t="n">
        <v>1982.3</v>
      </c>
      <c r="F204" s="5" t="n">
        <v>2560.4</v>
      </c>
      <c r="G204" s="5" t="n">
        <v>594</v>
      </c>
      <c r="H204" s="5" t="n">
        <v>15</v>
      </c>
      <c r="I204" s="5" t="inlineStr">
        <is>
          <t>combined_footing</t>
        </is>
      </c>
      <c r="J204" s="5" t="inlineStr">
        <is>
          <t>no</t>
        </is>
      </c>
      <c r="K204" s="5" t="n">
        <v>568</v>
      </c>
      <c r="L204" s="5" t="n">
        <v>0.77</v>
      </c>
      <c r="M204" s="5" t="n">
        <v>0</v>
      </c>
      <c r="N204" s="5" t="inlineStr">
        <is>
          <t>yes</t>
        </is>
      </c>
    </row>
    <row r="205">
      <c r="A205" s="5" t="n">
        <v>204</v>
      </c>
      <c r="B205" s="5" t="inlineStr">
        <is>
          <t>V6/127/127</t>
        </is>
      </c>
      <c r="C205" s="5" t="inlineStr">
        <is>
          <t>wall</t>
        </is>
      </c>
      <c r="D205" s="5" t="inlineStr">
        <is>
          <t>shear_wall</t>
        </is>
      </c>
      <c r="E205" s="5" t="n">
        <v>2201</v>
      </c>
      <c r="F205" s="5" t="n">
        <v>2670.8</v>
      </c>
      <c r="G205" s="5" t="n">
        <v>609</v>
      </c>
      <c r="H205" s="5" t="n">
        <v>11</v>
      </c>
      <c r="I205" s="5" t="inlineStr">
        <is>
          <t>unidentified</t>
        </is>
      </c>
      <c r="J205" s="5" t="inlineStr">
        <is>
          <t>unidentified</t>
        </is>
      </c>
      <c r="K205" s="5" t="n">
        <v>569</v>
      </c>
      <c r="L205" s="5" t="n">
        <v>0.78</v>
      </c>
      <c r="M205" s="5" t="n">
        <v>0</v>
      </c>
      <c r="N205" s="5" t="inlineStr">
        <is>
          <t>no</t>
        </is>
      </c>
    </row>
    <row r="206">
      <c r="A206" s="5" t="n">
        <v>205</v>
      </c>
      <c r="B206" s="5" t="inlineStr">
        <is>
          <t>V6/127/127</t>
        </is>
      </c>
      <c r="C206" s="5" t="inlineStr">
        <is>
          <t>wall</t>
        </is>
      </c>
      <c r="D206" s="5" t="inlineStr">
        <is>
          <t>shear_wall</t>
        </is>
      </c>
      <c r="E206" s="5" t="n">
        <v>2376</v>
      </c>
      <c r="F206" s="5" t="n">
        <v>2761.5</v>
      </c>
      <c r="G206" s="5" t="n">
        <v>602</v>
      </c>
      <c r="H206" s="5" t="n">
        <v>3</v>
      </c>
      <c r="I206" s="5" t="inlineStr">
        <is>
          <t>grade_beam</t>
        </is>
      </c>
      <c r="J206" s="5" t="inlineStr">
        <is>
          <t>no</t>
        </is>
      </c>
      <c r="K206" s="5" t="n">
        <v>567</v>
      </c>
      <c r="L206" s="5" t="n">
        <v>0.09</v>
      </c>
      <c r="M206" s="5" t="n">
        <v>0</v>
      </c>
      <c r="N206" s="5" t="inlineStr">
        <is>
          <t>no</t>
        </is>
      </c>
    </row>
    <row r="207">
      <c r="A207" s="5" t="n">
        <v>206</v>
      </c>
      <c r="B207" s="5" t="inlineStr">
        <is>
          <t>V6/127/127</t>
        </is>
      </c>
      <c r="C207" s="5" t="inlineStr">
        <is>
          <t>wall</t>
        </is>
      </c>
      <c r="D207" s="5" t="inlineStr">
        <is>
          <t>shear_wall</t>
        </is>
      </c>
      <c r="E207" s="5" t="n">
        <v>2609.4</v>
      </c>
      <c r="F207" s="5" t="n">
        <v>2877.1</v>
      </c>
      <c r="G207" s="5" t="n">
        <v>566</v>
      </c>
      <c r="H207" s="5" t="n">
        <v>35</v>
      </c>
      <c r="I207" s="5" t="inlineStr">
        <is>
          <t>shear_wall</t>
        </is>
      </c>
      <c r="J207" s="5" t="inlineStr">
        <is>
          <t>yes</t>
        </is>
      </c>
      <c r="K207" s="5" t="n">
        <v>566</v>
      </c>
      <c r="L207" s="5" t="n">
        <v>0.06</v>
      </c>
      <c r="M207" s="5" t="n">
        <v>0</v>
      </c>
      <c r="N207" s="5" t="inlineStr">
        <is>
          <t>yes</t>
        </is>
      </c>
    </row>
    <row r="208">
      <c r="A208" s="5" t="n">
        <v>207</v>
      </c>
      <c r="B208" s="5" t="inlineStr">
        <is>
          <t>V1/128/128</t>
        </is>
      </c>
      <c r="C208" s="5" t="inlineStr">
        <is>
          <t>wall</t>
        </is>
      </c>
      <c r="D208" s="5" t="inlineStr">
        <is>
          <t>shear_wall</t>
        </is>
      </c>
      <c r="E208" s="5" t="n">
        <v>1728.1</v>
      </c>
      <c r="F208" s="5" t="n">
        <v>2976</v>
      </c>
      <c r="G208" s="5" t="n">
        <v>616</v>
      </c>
      <c r="H208" s="5" t="n">
        <v>33</v>
      </c>
      <c r="I208" s="5" t="inlineStr">
        <is>
          <t>shear_wall</t>
        </is>
      </c>
      <c r="J208" s="5" t="inlineStr">
        <is>
          <t>yes</t>
        </is>
      </c>
      <c r="K208" s="5" t="n">
        <v>616</v>
      </c>
      <c r="L208" s="5" t="n">
        <v>0.01</v>
      </c>
      <c r="M208" s="5" t="n">
        <v>0</v>
      </c>
      <c r="N208" s="5" t="inlineStr">
        <is>
          <t>no</t>
        </is>
      </c>
    </row>
    <row r="209">
      <c r="A209" s="5" t="n">
        <v>208</v>
      </c>
      <c r="B209" s="5" t="inlineStr">
        <is>
          <t>V1/128/128</t>
        </is>
      </c>
      <c r="C209" s="5" t="inlineStr">
        <is>
          <t>wall</t>
        </is>
      </c>
      <c r="D209" s="5" t="inlineStr">
        <is>
          <t>shear_wall</t>
        </is>
      </c>
      <c r="E209" s="5" t="n">
        <v>852.1</v>
      </c>
      <c r="F209" s="5" t="n">
        <v>2772.9</v>
      </c>
      <c r="G209" s="5" t="n">
        <v>653</v>
      </c>
      <c r="H209" s="5" t="n">
        <v>27</v>
      </c>
      <c r="I209" s="5" t="inlineStr">
        <is>
          <t>retaining_wall</t>
        </is>
      </c>
      <c r="J209" s="5" t="inlineStr">
        <is>
          <t>no</t>
        </is>
      </c>
      <c r="K209" s="5" t="n">
        <v>617</v>
      </c>
      <c r="L209" s="5" t="n">
        <v>0.73</v>
      </c>
      <c r="M209" s="5" t="n">
        <v>0</v>
      </c>
      <c r="N209" s="5" t="inlineStr">
        <is>
          <t>yes</t>
        </is>
      </c>
    </row>
    <row r="210">
      <c r="A210" s="5" t="n">
        <v>209</v>
      </c>
      <c r="B210" s="5" t="inlineStr">
        <is>
          <t>V7/128/128</t>
        </is>
      </c>
      <c r="C210" s="5" t="inlineStr">
        <is>
          <t>wall</t>
        </is>
      </c>
      <c r="D210" s="5" t="inlineStr">
        <is>
          <t>shear_wall</t>
        </is>
      </c>
      <c r="E210" s="5" t="n">
        <v>1011.5</v>
      </c>
      <c r="F210" s="5" t="n">
        <v>2647.9</v>
      </c>
      <c r="G210" s="5" t="n">
        <v>686</v>
      </c>
      <c r="H210" s="5" t="n">
        <v>2</v>
      </c>
      <c r="I210" s="5" t="inlineStr">
        <is>
          <t>unidentified</t>
        </is>
      </c>
      <c r="J210" s="5" t="inlineStr">
        <is>
          <t>unidentified</t>
        </is>
      </c>
      <c r="K210" s="5" t="inlineStr">
        <is>
          <t>unmatched</t>
        </is>
      </c>
      <c r="L210" s="5" t="n"/>
      <c r="M210" s="5" t="n"/>
      <c r="N210" s="5" t="inlineStr">
        <is>
          <t>yes</t>
        </is>
      </c>
    </row>
    <row r="211">
      <c r="A211" s="5" t="n">
        <v>210</v>
      </c>
      <c r="B211" s="5" t="inlineStr">
        <is>
          <t>V3/128/128</t>
        </is>
      </c>
      <c r="C211" s="5" t="inlineStr">
        <is>
          <t>wall</t>
        </is>
      </c>
      <c r="D211" s="5" t="inlineStr">
        <is>
          <t>shear_wall</t>
        </is>
      </c>
      <c r="E211" s="5" t="n">
        <v>1822.9</v>
      </c>
      <c r="F211" s="5" t="n">
        <v>2779.2</v>
      </c>
      <c r="G211" s="5" t="n">
        <v>618</v>
      </c>
      <c r="H211" s="5" t="n">
        <v>31</v>
      </c>
      <c r="I211" s="5" t="inlineStr">
        <is>
          <t>shear_wall</t>
        </is>
      </c>
      <c r="J211" s="5" t="inlineStr">
        <is>
          <t>yes</t>
        </is>
      </c>
      <c r="K211" s="5" t="n">
        <v>618</v>
      </c>
      <c r="L211" s="5" t="n">
        <v>0.13</v>
      </c>
      <c r="M211" s="5" t="n">
        <v>1</v>
      </c>
      <c r="N211" s="5" t="inlineStr">
        <is>
          <t>yes</t>
        </is>
      </c>
    </row>
    <row r="212">
      <c r="A212" s="5" t="n">
        <v>211</v>
      </c>
      <c r="B212" s="5" t="inlineStr">
        <is>
          <t>V4/128/128</t>
        </is>
      </c>
      <c r="C212" s="5" t="inlineStr">
        <is>
          <t>wall</t>
        </is>
      </c>
      <c r="D212" s="5" t="inlineStr">
        <is>
          <t>shear_wall</t>
        </is>
      </c>
      <c r="E212" s="5" t="n">
        <v>1213.5</v>
      </c>
      <c r="F212" s="5" t="n">
        <v>2481.2</v>
      </c>
      <c r="G212" s="5" t="n">
        <v>713</v>
      </c>
      <c r="H212" s="5" t="n">
        <v>2</v>
      </c>
      <c r="I212" s="5" t="inlineStr">
        <is>
          <t>unidentified</t>
        </is>
      </c>
      <c r="J212" s="5" t="inlineStr">
        <is>
          <t>unidentified</t>
        </is>
      </c>
      <c r="K212" s="5" t="n">
        <v>619</v>
      </c>
      <c r="L212" s="5" t="n">
        <v>0.75</v>
      </c>
      <c r="M212" s="5" t="n">
        <v>0</v>
      </c>
      <c r="N212" s="5" t="inlineStr">
        <is>
          <t>no</t>
        </is>
      </c>
    </row>
    <row r="213">
      <c r="A213" s="5" t="n">
        <v>212</v>
      </c>
      <c r="B213" s="5" t="inlineStr">
        <is>
          <t>V5/128/128</t>
        </is>
      </c>
      <c r="C213" s="5" t="inlineStr">
        <is>
          <t>wall</t>
        </is>
      </c>
      <c r="D213" s="5" t="inlineStr">
        <is>
          <t>shear_wall</t>
        </is>
      </c>
      <c r="E213" s="5" t="n">
        <v>1644.8</v>
      </c>
      <c r="F213" s="5" t="n">
        <v>2899</v>
      </c>
      <c r="G213" s="5" t="n">
        <v>620</v>
      </c>
      <c r="H213" s="5" t="n">
        <v>29</v>
      </c>
      <c r="I213" s="5" t="inlineStr">
        <is>
          <t>shear_wall</t>
        </is>
      </c>
      <c r="J213" s="5" t="inlineStr">
        <is>
          <t>yes</t>
        </is>
      </c>
      <c r="K213" s="5" t="n">
        <v>620</v>
      </c>
      <c r="L213" s="5" t="n">
        <v>0.17</v>
      </c>
      <c r="M213" s="5" t="n">
        <v>0</v>
      </c>
      <c r="N213" s="5" t="inlineStr">
        <is>
          <t>no</t>
        </is>
      </c>
    </row>
    <row r="214">
      <c r="A214" s="5" t="n">
        <v>213</v>
      </c>
      <c r="B214" s="5" t="inlineStr">
        <is>
          <t>V6/128/128</t>
        </is>
      </c>
      <c r="C214" s="5" t="inlineStr">
        <is>
          <t>wall</t>
        </is>
      </c>
      <c r="D214" s="5" t="inlineStr">
        <is>
          <t>shear_wall</t>
        </is>
      </c>
      <c r="E214" s="5" t="n">
        <v>1942.7</v>
      </c>
      <c r="F214" s="5" t="n">
        <v>2542.7</v>
      </c>
      <c r="G214" s="5" t="n">
        <v>621</v>
      </c>
      <c r="H214" s="5" t="n">
        <v>31</v>
      </c>
      <c r="I214" s="5" t="inlineStr">
        <is>
          <t>shear_wall</t>
        </is>
      </c>
      <c r="J214" s="5" t="inlineStr">
        <is>
          <t>yes</t>
        </is>
      </c>
      <c r="K214" s="5" t="n">
        <v>621</v>
      </c>
      <c r="L214" s="5" t="n">
        <v>0.09</v>
      </c>
      <c r="M214" s="5" t="n">
        <v>0</v>
      </c>
      <c r="N214" s="5" t="inlineStr">
        <is>
          <t>yes</t>
        </is>
      </c>
    </row>
    <row r="215">
      <c r="A215" s="5" t="n">
        <v>214</v>
      </c>
      <c r="B215" s="5" t="inlineStr">
        <is>
          <t>V6/128/128</t>
        </is>
      </c>
      <c r="C215" s="5" t="inlineStr">
        <is>
          <t>wall</t>
        </is>
      </c>
      <c r="D215" s="5" t="inlineStr">
        <is>
          <t>shear_wall</t>
        </is>
      </c>
      <c r="E215" s="5" t="n">
        <v>1766.7</v>
      </c>
      <c r="F215" s="5" t="n">
        <v>2455.2</v>
      </c>
      <c r="G215" s="5" t="n">
        <v>655</v>
      </c>
      <c r="H215" s="5" t="n">
        <v>12</v>
      </c>
      <c r="I215" s="5" t="inlineStr">
        <is>
          <t>isolated_footing</t>
        </is>
      </c>
      <c r="J215" s="5" t="inlineStr">
        <is>
          <t>no</t>
        </is>
      </c>
      <c r="K215" s="5" t="n">
        <v>623</v>
      </c>
      <c r="L215" s="5" t="n">
        <v>0.76</v>
      </c>
      <c r="M215" s="5" t="n">
        <v>0</v>
      </c>
      <c r="N215" s="5" t="inlineStr">
        <is>
          <t>yes</t>
        </is>
      </c>
    </row>
    <row r="216">
      <c r="A216" s="5" t="n">
        <v>215</v>
      </c>
      <c r="B216" s="5" t="inlineStr">
        <is>
          <t>V6/128/128</t>
        </is>
      </c>
      <c r="C216" s="5" t="inlineStr">
        <is>
          <t>wall</t>
        </is>
      </c>
      <c r="D216" s="5" t="inlineStr">
        <is>
          <t>shear_wall</t>
        </is>
      </c>
      <c r="E216" s="5" t="n">
        <v>1465.6</v>
      </c>
      <c r="F216" s="5" t="n">
        <v>2275</v>
      </c>
      <c r="G216" s="5" t="n">
        <v>664</v>
      </c>
      <c r="H216" s="5" t="n">
        <v>3</v>
      </c>
      <c r="I216" s="5" t="inlineStr">
        <is>
          <t>grade_beam</t>
        </is>
      </c>
      <c r="J216" s="5" t="inlineStr">
        <is>
          <t>no</t>
        </is>
      </c>
      <c r="K216" s="5" t="n">
        <v>622</v>
      </c>
      <c r="L216" s="5" t="n">
        <v>0.75</v>
      </c>
      <c r="M216" s="5" t="n">
        <v>0</v>
      </c>
      <c r="N216" s="5" t="inlineStr">
        <is>
          <t>no</t>
        </is>
      </c>
    </row>
    <row r="217">
      <c r="A217" s="5" t="n">
        <v>216</v>
      </c>
      <c r="B217" s="5" t="inlineStr">
        <is>
          <t>V7a/128/128</t>
        </is>
      </c>
      <c r="C217" s="5" t="inlineStr">
        <is>
          <t>wall</t>
        </is>
      </c>
      <c r="D217" s="5" t="inlineStr">
        <is>
          <t>shear_wall</t>
        </is>
      </c>
      <c r="E217" s="5" t="n">
        <v>1681.3</v>
      </c>
      <c r="F217" s="5" t="n">
        <v>2708.3</v>
      </c>
      <c r="G217" s="5" t="n">
        <v>638</v>
      </c>
      <c r="H217" s="5" t="n">
        <v>26</v>
      </c>
      <c r="I217" s="5" t="inlineStr">
        <is>
          <t>core_wall</t>
        </is>
      </c>
      <c r="J217" s="5" t="inlineStr">
        <is>
          <t>no</t>
        </is>
      </c>
      <c r="K217" s="5" t="inlineStr">
        <is>
          <t>unmatched</t>
        </is>
      </c>
      <c r="L217" s="5" t="n"/>
      <c r="M217" s="5" t="n"/>
      <c r="N217" s="5" t="inlineStr">
        <is>
          <t>no</t>
        </is>
      </c>
    </row>
    <row r="218">
      <c r="A218" s="5" t="n">
        <v>217</v>
      </c>
      <c r="B218" s="5" t="inlineStr">
        <is>
          <t>V6/130/130</t>
        </is>
      </c>
      <c r="C218" s="5" t="inlineStr">
        <is>
          <t>wall</t>
        </is>
      </c>
      <c r="D218" s="5" t="inlineStr">
        <is>
          <t>shear_wall</t>
        </is>
      </c>
      <c r="E218" s="5" t="n">
        <v>1260.4</v>
      </c>
      <c r="F218" s="5" t="n">
        <v>1726</v>
      </c>
      <c r="G218" s="5" t="n">
        <v>888</v>
      </c>
      <c r="H218" s="5" t="n">
        <v>31</v>
      </c>
      <c r="I218" s="5" t="inlineStr">
        <is>
          <t>shear_wall</t>
        </is>
      </c>
      <c r="J218" s="5" t="inlineStr">
        <is>
          <t>yes</t>
        </is>
      </c>
      <c r="K218" s="5" t="n">
        <v>888</v>
      </c>
      <c r="L218" s="5" t="n">
        <v>0.08</v>
      </c>
      <c r="M218" s="5" t="n">
        <v>0</v>
      </c>
      <c r="N218" s="5" t="inlineStr">
        <is>
          <t>yes</t>
        </is>
      </c>
    </row>
    <row r="219">
      <c r="A219" s="5" t="n">
        <v>218</v>
      </c>
      <c r="B219" s="5" t="inlineStr">
        <is>
          <t>V6/130/130</t>
        </is>
      </c>
      <c r="C219" s="5" t="inlineStr">
        <is>
          <t>wall</t>
        </is>
      </c>
      <c r="D219" s="5" t="inlineStr">
        <is>
          <t>shear_wall</t>
        </is>
      </c>
      <c r="E219" s="5" t="n">
        <v>1202.1</v>
      </c>
      <c r="F219" s="5" t="n">
        <v>1515.6</v>
      </c>
      <c r="G219" s="5" t="n">
        <v>886</v>
      </c>
      <c r="H219" s="5" t="n">
        <v>31</v>
      </c>
      <c r="I219" s="5" t="inlineStr">
        <is>
          <t>shear_wall</t>
        </is>
      </c>
      <c r="J219" s="5" t="inlineStr">
        <is>
          <t>yes</t>
        </is>
      </c>
      <c r="K219" s="5" t="n">
        <v>886</v>
      </c>
      <c r="L219" s="5" t="n">
        <v>0.05</v>
      </c>
      <c r="M219" s="5" t="n">
        <v>0</v>
      </c>
      <c r="N219" s="5" t="inlineStr">
        <is>
          <t>yes</t>
        </is>
      </c>
    </row>
    <row r="220">
      <c r="A220" s="5" t="n">
        <v>219</v>
      </c>
      <c r="B220" s="5" t="inlineStr">
        <is>
          <t>V6/130/130</t>
        </is>
      </c>
      <c r="C220" s="5" t="inlineStr">
        <is>
          <t>wall</t>
        </is>
      </c>
      <c r="D220" s="5" t="inlineStr">
        <is>
          <t>shear_wall</t>
        </is>
      </c>
      <c r="E220" s="5" t="n">
        <v>1143.8</v>
      </c>
      <c r="F220" s="5" t="n">
        <v>1290.6</v>
      </c>
      <c r="G220" s="5" t="n">
        <v>887</v>
      </c>
      <c r="H220" s="5" t="n">
        <v>31</v>
      </c>
      <c r="I220" s="5" t="inlineStr">
        <is>
          <t>shear_wall</t>
        </is>
      </c>
      <c r="J220" s="5" t="inlineStr">
        <is>
          <t>yes</t>
        </is>
      </c>
      <c r="K220" s="5" t="n">
        <v>887</v>
      </c>
      <c r="L220" s="5" t="n">
        <v>0.17</v>
      </c>
      <c r="M220" s="5" t="n">
        <v>0</v>
      </c>
      <c r="N220" s="5" t="inlineStr">
        <is>
          <t>yes</t>
        </is>
      </c>
    </row>
    <row r="221">
      <c r="A221" s="5" t="n">
        <v>220</v>
      </c>
      <c r="B221" s="5" t="inlineStr">
        <is>
          <t>V1/130/130</t>
        </is>
      </c>
      <c r="C221" s="5" t="inlineStr">
        <is>
          <t>wall</t>
        </is>
      </c>
      <c r="D221" s="5" t="inlineStr">
        <is>
          <t>shear_wall</t>
        </is>
      </c>
      <c r="E221" s="5" t="n">
        <v>1032.3</v>
      </c>
      <c r="F221" s="5" t="n">
        <v>1787.5</v>
      </c>
      <c r="G221" s="5" t="n">
        <v>882</v>
      </c>
      <c r="H221" s="5" t="n">
        <v>31</v>
      </c>
      <c r="I221" s="5" t="inlineStr">
        <is>
          <t>shear_wall</t>
        </is>
      </c>
      <c r="J221" s="5" t="inlineStr">
        <is>
          <t>yes</t>
        </is>
      </c>
      <c r="K221" s="5" t="n">
        <v>882</v>
      </c>
      <c r="L221" s="5" t="n">
        <v>0.03</v>
      </c>
      <c r="M221" s="5" t="n">
        <v>0</v>
      </c>
      <c r="N221" s="5" t="inlineStr">
        <is>
          <t>yes</t>
        </is>
      </c>
    </row>
    <row r="222">
      <c r="A222" s="5" t="n">
        <v>221</v>
      </c>
      <c r="B222" s="5" t="inlineStr">
        <is>
          <t>V1/130/130</t>
        </is>
      </c>
      <c r="C222" s="5" t="inlineStr">
        <is>
          <t>wall</t>
        </is>
      </c>
      <c r="D222" s="5" t="inlineStr">
        <is>
          <t>shear_wall</t>
        </is>
      </c>
      <c r="E222" s="5" t="n">
        <v>800</v>
      </c>
      <c r="F222" s="5" t="n">
        <v>1847.9</v>
      </c>
      <c r="G222" s="5" t="n">
        <v>879</v>
      </c>
      <c r="H222" s="5" t="n">
        <v>33</v>
      </c>
      <c r="I222" s="5" t="inlineStr">
        <is>
          <t>shear_wall</t>
        </is>
      </c>
      <c r="J222" s="5" t="inlineStr">
        <is>
          <t>yes</t>
        </is>
      </c>
      <c r="K222" s="5" t="n">
        <v>879</v>
      </c>
      <c r="L222" s="5" t="n">
        <v>0.06</v>
      </c>
      <c r="M222" s="5" t="n">
        <v>0</v>
      </c>
      <c r="N222" s="5" t="inlineStr">
        <is>
          <t>yes</t>
        </is>
      </c>
    </row>
    <row r="223">
      <c r="A223" s="5" t="n">
        <v>222</v>
      </c>
      <c r="B223" s="5" t="inlineStr">
        <is>
          <t>V1/130/130</t>
        </is>
      </c>
      <c r="C223" s="5" t="inlineStr">
        <is>
          <t>wall</t>
        </is>
      </c>
      <c r="D223" s="5" t="inlineStr">
        <is>
          <t>shear_wall</t>
        </is>
      </c>
      <c r="E223" s="5" t="n">
        <v>884.4</v>
      </c>
      <c r="F223" s="5" t="n">
        <v>1258.3</v>
      </c>
      <c r="G223" s="5" t="n">
        <v>932</v>
      </c>
      <c r="H223" s="5" t="n">
        <v>3</v>
      </c>
      <c r="I223" s="5" t="inlineStr">
        <is>
          <t>grade_beam</t>
        </is>
      </c>
      <c r="J223" s="5" t="inlineStr">
        <is>
          <t>no</t>
        </is>
      </c>
      <c r="K223" s="5" t="n">
        <v>880</v>
      </c>
      <c r="L223" s="5" t="n">
        <v>0.78</v>
      </c>
      <c r="M223" s="5" t="n">
        <v>0</v>
      </c>
      <c r="N223" s="5" t="inlineStr">
        <is>
          <t>yes</t>
        </is>
      </c>
    </row>
    <row r="224">
      <c r="A224" s="5" t="n">
        <v>223</v>
      </c>
      <c r="B224" s="5" t="inlineStr">
        <is>
          <t>V1/130/130</t>
        </is>
      </c>
      <c r="C224" s="5" t="inlineStr">
        <is>
          <t>wall</t>
        </is>
      </c>
      <c r="D224" s="5" t="inlineStr">
        <is>
          <t>shear_wall</t>
        </is>
      </c>
      <c r="E224" s="5" t="n">
        <v>634.4</v>
      </c>
      <c r="F224" s="5" t="n">
        <v>1245.8</v>
      </c>
      <c r="G224" s="5" t="n">
        <v>914</v>
      </c>
      <c r="H224" s="5" t="n">
        <v>12</v>
      </c>
      <c r="I224" s="5" t="inlineStr">
        <is>
          <t>isolated_footing</t>
        </is>
      </c>
      <c r="J224" s="5" t="inlineStr">
        <is>
          <t>no</t>
        </is>
      </c>
      <c r="K224" s="5" t="n">
        <v>881</v>
      </c>
      <c r="L224" s="5" t="n">
        <v>0.78</v>
      </c>
      <c r="M224" s="5" t="n">
        <v>0</v>
      </c>
      <c r="N224" s="5" t="inlineStr">
        <is>
          <t>yes</t>
        </is>
      </c>
    </row>
    <row r="225">
      <c r="A225" s="5" t="n">
        <v>224</v>
      </c>
      <c r="B225" s="5" t="inlineStr">
        <is>
          <t>V3/130/130</t>
        </is>
      </c>
      <c r="C225" s="5" t="inlineStr">
        <is>
          <t>wall</t>
        </is>
      </c>
      <c r="D225" s="5" t="inlineStr">
        <is>
          <t>shear_wall</t>
        </is>
      </c>
      <c r="E225" s="5" t="n">
        <v>954.2</v>
      </c>
      <c r="F225" s="5" t="n">
        <v>1605.2</v>
      </c>
      <c r="G225" s="5" t="n">
        <v>935</v>
      </c>
      <c r="H225" s="5" t="n">
        <v>3</v>
      </c>
      <c r="I225" s="5" t="inlineStr">
        <is>
          <t>grade_beam</t>
        </is>
      </c>
      <c r="J225" s="5" t="inlineStr">
        <is>
          <t>no</t>
        </is>
      </c>
      <c r="K225" s="5" t="n">
        <v>884</v>
      </c>
      <c r="L225" s="5" t="n">
        <v>0.1</v>
      </c>
      <c r="M225" s="5" t="n">
        <v>1</v>
      </c>
      <c r="N225" s="5" t="inlineStr">
        <is>
          <t>yes</t>
        </is>
      </c>
    </row>
    <row r="226">
      <c r="A226" s="5" t="n">
        <v>225</v>
      </c>
      <c r="B226" s="5" t="inlineStr">
        <is>
          <t>V3/130/130</t>
        </is>
      </c>
      <c r="C226" s="5" t="inlineStr">
        <is>
          <t>wall</t>
        </is>
      </c>
      <c r="D226" s="5" t="inlineStr">
        <is>
          <t>shear_wall</t>
        </is>
      </c>
      <c r="E226" s="5" t="n">
        <v>912.5</v>
      </c>
      <c r="F226" s="5" t="n">
        <v>1421.9</v>
      </c>
      <c r="G226" s="5" t="n">
        <v>883</v>
      </c>
      <c r="H226" s="5" t="n">
        <v>38</v>
      </c>
      <c r="I226" s="5" t="inlineStr">
        <is>
          <t>shear_wall</t>
        </is>
      </c>
      <c r="J226" s="5" t="inlineStr">
        <is>
          <t>yes</t>
        </is>
      </c>
      <c r="K226" s="5" t="n">
        <v>883</v>
      </c>
      <c r="L226" s="5" t="n">
        <v>0.12</v>
      </c>
      <c r="M226" s="5" t="n">
        <v>1</v>
      </c>
      <c r="N226" s="5" t="inlineStr">
        <is>
          <t>yes</t>
        </is>
      </c>
    </row>
    <row r="227">
      <c r="A227" s="5" t="n">
        <v>226</v>
      </c>
      <c r="B227" s="5" t="inlineStr">
        <is>
          <t>V4/130/130</t>
        </is>
      </c>
      <c r="C227" s="5" t="inlineStr">
        <is>
          <t>wall</t>
        </is>
      </c>
      <c r="D227" s="5" t="inlineStr">
        <is>
          <t>shear_wall</t>
        </is>
      </c>
      <c r="E227" s="5" t="n">
        <v>789.6</v>
      </c>
      <c r="F227" s="5" t="n">
        <v>1690.6</v>
      </c>
      <c r="G227" s="5" t="n">
        <v>885</v>
      </c>
      <c r="H227" s="5" t="n">
        <v>29</v>
      </c>
      <c r="I227" s="5" t="inlineStr">
        <is>
          <t>shear_wall</t>
        </is>
      </c>
      <c r="J227" s="5" t="inlineStr">
        <is>
          <t>yes</t>
        </is>
      </c>
      <c r="K227" s="5" t="n">
        <v>885</v>
      </c>
      <c r="L227" s="5" t="n">
        <v>0.13</v>
      </c>
      <c r="M227" s="5" t="n">
        <v>0.06</v>
      </c>
      <c r="N227" s="5" t="inlineStr">
        <is>
          <t>yes</t>
        </is>
      </c>
    </row>
    <row r="228">
      <c r="A228" s="5" t="n">
        <v>227</v>
      </c>
      <c r="B228" s="5" t="inlineStr">
        <is>
          <t>V1/129/129</t>
        </is>
      </c>
      <c r="C228" s="5" t="inlineStr">
        <is>
          <t>wall</t>
        </is>
      </c>
      <c r="D228" s="5" t="inlineStr">
        <is>
          <t>shear_wall</t>
        </is>
      </c>
      <c r="E228" s="5" t="n">
        <v>809.4</v>
      </c>
      <c r="F228" s="5" t="n">
        <v>1887.5</v>
      </c>
      <c r="G228" s="5" t="n">
        <v>787</v>
      </c>
      <c r="H228" s="5" t="n">
        <v>5</v>
      </c>
      <c r="I228" s="5" t="inlineStr">
        <is>
          <t>strip_footing</t>
        </is>
      </c>
      <c r="J228" s="5" t="inlineStr">
        <is>
          <t>no</t>
        </is>
      </c>
      <c r="K228" s="5" t="n">
        <v>750</v>
      </c>
      <c r="L228" s="5" t="n">
        <v>0.72</v>
      </c>
      <c r="M228" s="5" t="n">
        <v>0</v>
      </c>
      <c r="N228" s="5" t="inlineStr">
        <is>
          <t>yes</t>
        </is>
      </c>
    </row>
    <row r="229">
      <c r="A229" s="5" t="n">
        <v>228</v>
      </c>
      <c r="B229" s="5" t="inlineStr">
        <is>
          <t>V1/129/129</t>
        </is>
      </c>
      <c r="C229" s="5" t="inlineStr">
        <is>
          <t>wall</t>
        </is>
      </c>
      <c r="D229" s="5" t="inlineStr">
        <is>
          <t>shear_wall</t>
        </is>
      </c>
      <c r="E229" s="5" t="n">
        <v>1042.7</v>
      </c>
      <c r="F229" s="5" t="n">
        <v>1827.1</v>
      </c>
      <c r="G229" s="5" t="n">
        <v>799</v>
      </c>
      <c r="H229" s="5" t="n">
        <v>3</v>
      </c>
      <c r="I229" s="5" t="inlineStr">
        <is>
          <t>grade_beam</t>
        </is>
      </c>
      <c r="J229" s="5" t="inlineStr">
        <is>
          <t>no</t>
        </is>
      </c>
      <c r="K229" s="5" t="n">
        <v>752</v>
      </c>
      <c r="L229" s="5" t="n">
        <v>0.75</v>
      </c>
      <c r="M229" s="5" t="n">
        <v>0</v>
      </c>
      <c r="N229" s="5" t="inlineStr">
        <is>
          <t>yes</t>
        </is>
      </c>
    </row>
    <row r="230">
      <c r="A230" s="5" t="n">
        <v>229</v>
      </c>
      <c r="B230" s="5" t="inlineStr">
        <is>
          <t>V1/129/129</t>
        </is>
      </c>
      <c r="C230" s="5" t="inlineStr">
        <is>
          <t>wall</t>
        </is>
      </c>
      <c r="D230" s="5" t="inlineStr">
        <is>
          <t>shear_wall</t>
        </is>
      </c>
      <c r="E230" s="5" t="n">
        <v>826</v>
      </c>
      <c r="F230" s="5" t="n">
        <v>2740.6</v>
      </c>
      <c r="G230" s="5" t="n">
        <v>751</v>
      </c>
      <c r="H230" s="5" t="n">
        <v>37</v>
      </c>
      <c r="I230" s="5" t="inlineStr">
        <is>
          <t>shear_wall</t>
        </is>
      </c>
      <c r="J230" s="5" t="inlineStr">
        <is>
          <t>yes</t>
        </is>
      </c>
      <c r="K230" s="5" t="n">
        <v>751</v>
      </c>
      <c r="L230" s="5" t="n">
        <v>0.08</v>
      </c>
      <c r="M230" s="5" t="n">
        <v>0</v>
      </c>
      <c r="N230" s="5" t="inlineStr">
        <is>
          <t>no</t>
        </is>
      </c>
    </row>
    <row r="231">
      <c r="A231" s="5" t="n">
        <v>230</v>
      </c>
      <c r="B231" s="5" t="inlineStr">
        <is>
          <t>V3/129/129</t>
        </is>
      </c>
      <c r="C231" s="5" t="inlineStr">
        <is>
          <t>wall</t>
        </is>
      </c>
      <c r="D231" s="5" t="inlineStr">
        <is>
          <t>shear_wall</t>
        </is>
      </c>
      <c r="E231" s="5" t="n">
        <v>1064.6</v>
      </c>
      <c r="F231" s="5" t="n">
        <v>2016.7</v>
      </c>
      <c r="G231" s="5" t="n">
        <v>796</v>
      </c>
      <c r="H231" s="5" t="n">
        <v>3</v>
      </c>
      <c r="I231" s="5" t="inlineStr">
        <is>
          <t>grade_beam</t>
        </is>
      </c>
      <c r="J231" s="5" t="inlineStr">
        <is>
          <t>no</t>
        </is>
      </c>
      <c r="K231" s="5" t="n">
        <v>753</v>
      </c>
      <c r="L231" s="5" t="n">
        <v>0.74</v>
      </c>
      <c r="M231" s="5" t="n">
        <v>1</v>
      </c>
      <c r="N231" s="5" t="inlineStr">
        <is>
          <t>yes</t>
        </is>
      </c>
    </row>
    <row r="232">
      <c r="A232" s="5" t="n">
        <v>231</v>
      </c>
      <c r="B232" s="5" t="inlineStr">
        <is>
          <t>V5/129/129</t>
        </is>
      </c>
      <c r="C232" s="5" t="inlineStr">
        <is>
          <t>wall</t>
        </is>
      </c>
      <c r="D232" s="5" t="inlineStr">
        <is>
          <t>shear_wall</t>
        </is>
      </c>
      <c r="E232" s="5" t="n">
        <v>1107.3</v>
      </c>
      <c r="F232" s="5" t="n">
        <v>2163.5</v>
      </c>
      <c r="G232" s="5" t="n">
        <v>754</v>
      </c>
      <c r="H232" s="5" t="n">
        <v>38</v>
      </c>
      <c r="I232" s="5" t="inlineStr">
        <is>
          <t>shear_wall</t>
        </is>
      </c>
      <c r="J232" s="5" t="inlineStr">
        <is>
          <t>yes</t>
        </is>
      </c>
      <c r="K232" s="5" t="n">
        <v>754</v>
      </c>
      <c r="L232" s="5" t="n">
        <v>0.08</v>
      </c>
      <c r="M232" s="5" t="n">
        <v>1</v>
      </c>
      <c r="N232" s="5" t="inlineStr">
        <is>
          <t>yes</t>
        </is>
      </c>
    </row>
    <row r="233">
      <c r="A233" s="5" t="n">
        <v>232</v>
      </c>
      <c r="B233" s="5" t="inlineStr">
        <is>
          <t>V6/129/129</t>
        </is>
      </c>
      <c r="C233" s="5" t="inlineStr">
        <is>
          <t>wall</t>
        </is>
      </c>
      <c r="D233" s="5" t="inlineStr">
        <is>
          <t>shear_wall</t>
        </is>
      </c>
      <c r="E233" s="5" t="n">
        <v>870.8</v>
      </c>
      <c r="F233" s="5" t="n">
        <v>1989.6</v>
      </c>
      <c r="G233" s="5" t="n">
        <v>755</v>
      </c>
      <c r="H233" s="5" t="n">
        <v>29</v>
      </c>
      <c r="I233" s="5" t="inlineStr">
        <is>
          <t>shear_wall</t>
        </is>
      </c>
      <c r="J233" s="5" t="inlineStr">
        <is>
          <t>yes</t>
        </is>
      </c>
      <c r="K233" s="5" t="n">
        <v>755</v>
      </c>
      <c r="L233" s="5" t="n">
        <v>0.21</v>
      </c>
      <c r="M233" s="5" t="n">
        <v>0.15</v>
      </c>
      <c r="N233" s="5" t="inlineStr">
        <is>
          <t>yes</t>
        </is>
      </c>
    </row>
    <row r="234">
      <c r="A234" s="5" t="n">
        <v>233</v>
      </c>
      <c r="B234" s="5" t="inlineStr">
        <is>
          <t>V7/128/128</t>
        </is>
      </c>
      <c r="C234" s="5" t="inlineStr">
        <is>
          <t>wall</t>
        </is>
      </c>
      <c r="D234" s="5" t="inlineStr">
        <is>
          <t>shear_wall</t>
        </is>
      </c>
      <c r="E234" s="5" t="n">
        <v>1185.4</v>
      </c>
      <c r="F234" s="5" t="n">
        <v>2447.9</v>
      </c>
      <c r="G234" s="5" t="n">
        <v>830</v>
      </c>
      <c r="H234" s="5" t="n">
        <v>2</v>
      </c>
      <c r="I234" s="5" t="inlineStr">
        <is>
          <t>unidentified</t>
        </is>
      </c>
      <c r="J234" s="5" t="inlineStr">
        <is>
          <t>unidentified</t>
        </is>
      </c>
      <c r="K234" s="5" t="n">
        <v>624</v>
      </c>
      <c r="L234" s="5" t="n">
        <v>0.09</v>
      </c>
      <c r="M234" s="5" t="n">
        <v>0</v>
      </c>
      <c r="N234" s="5" t="inlineStr">
        <is>
          <t>no</t>
        </is>
      </c>
    </row>
    <row r="235">
      <c r="A235" s="5" t="n">
        <v>234</v>
      </c>
      <c r="B235" s="5" t="inlineStr">
        <is>
          <t>V8/129/129</t>
        </is>
      </c>
      <c r="C235" s="5" t="inlineStr">
        <is>
          <t>wall</t>
        </is>
      </c>
      <c r="D235" s="5" t="inlineStr">
        <is>
          <t>shear_wall</t>
        </is>
      </c>
      <c r="E235" s="5" t="n">
        <v>981.3</v>
      </c>
      <c r="F235" s="5" t="n">
        <v>2613.5</v>
      </c>
      <c r="G235" s="5" t="n">
        <v>819</v>
      </c>
      <c r="H235" s="5" t="n">
        <v>2</v>
      </c>
      <c r="I235" s="5" t="inlineStr">
        <is>
          <t>unidentified</t>
        </is>
      </c>
      <c r="J235" s="5" t="inlineStr">
        <is>
          <t>unidentified</t>
        </is>
      </c>
      <c r="K235" s="5" t="n">
        <v>756</v>
      </c>
      <c r="L235" s="5" t="n">
        <v>0.1</v>
      </c>
      <c r="M235" s="5" t="n">
        <v>0</v>
      </c>
      <c r="N235" s="5" t="inlineStr">
        <is>
          <t>no</t>
        </is>
      </c>
    </row>
    <row r="236">
      <c r="A236" s="5" t="n">
        <v>235</v>
      </c>
      <c r="B236" s="5" t="inlineStr">
        <is>
          <t>V9/128/128</t>
        </is>
      </c>
      <c r="C236" s="5" t="inlineStr">
        <is>
          <t>wall</t>
        </is>
      </c>
      <c r="D236" s="5" t="inlineStr">
        <is>
          <t>shear_wall</t>
        </is>
      </c>
      <c r="E236" s="5" t="n">
        <v>1438.5</v>
      </c>
      <c r="F236" s="5" t="n">
        <v>2241.7</v>
      </c>
      <c r="G236" s="5" t="n">
        <v>797</v>
      </c>
      <c r="H236" s="5" t="n">
        <v>3</v>
      </c>
      <c r="I236" s="5" t="inlineStr">
        <is>
          <t>grade_beam</t>
        </is>
      </c>
      <c r="J236" s="5" t="inlineStr">
        <is>
          <t>no</t>
        </is>
      </c>
      <c r="K236" s="5" t="n">
        <v>625</v>
      </c>
      <c r="L236" s="5" t="n">
        <v>0.1</v>
      </c>
      <c r="M236" s="5" t="n">
        <v>0</v>
      </c>
      <c r="N236" s="5" t="inlineStr">
        <is>
          <t>no</t>
        </is>
      </c>
    </row>
    <row r="237">
      <c r="A237" s="5" t="n">
        <v>236</v>
      </c>
      <c r="B237" s="5" t="inlineStr">
        <is>
          <t>V9/128/128</t>
        </is>
      </c>
      <c r="C237" s="5" t="inlineStr">
        <is>
          <t>wall</t>
        </is>
      </c>
      <c r="D237" s="5" t="inlineStr">
        <is>
          <t>shear_wall</t>
        </is>
      </c>
      <c r="E237" s="5" t="n">
        <v>1351</v>
      </c>
      <c r="F237" s="5" t="n">
        <v>2078.1</v>
      </c>
      <c r="G237" s="5" t="n">
        <v>782</v>
      </c>
      <c r="H237" s="5" t="n">
        <v>12</v>
      </c>
      <c r="I237" s="5" t="inlineStr">
        <is>
          <t>isolated_footing</t>
        </is>
      </c>
      <c r="J237" s="5" t="inlineStr">
        <is>
          <t>no</t>
        </is>
      </c>
      <c r="K237" s="5" t="n">
        <v>627</v>
      </c>
      <c r="L237" s="5" t="n">
        <v>0.87</v>
      </c>
      <c r="M237" s="5" t="n">
        <v>0</v>
      </c>
      <c r="N237" s="5" t="inlineStr">
        <is>
          <t>yes</t>
        </is>
      </c>
    </row>
    <row r="238">
      <c r="A238" s="5" t="n">
        <v>237</v>
      </c>
      <c r="B238" s="5" t="inlineStr">
        <is>
          <t>V9/128/128</t>
        </is>
      </c>
      <c r="C238" s="5" t="inlineStr">
        <is>
          <t>wall</t>
        </is>
      </c>
      <c r="D238" s="5" t="inlineStr">
        <is>
          <t>shear_wall</t>
        </is>
      </c>
      <c r="E238" s="5" t="n">
        <v>1291.7</v>
      </c>
      <c r="F238" s="5" t="n">
        <v>1855.2</v>
      </c>
      <c r="G238" s="5" t="n">
        <v>795</v>
      </c>
      <c r="H238" s="5" t="n">
        <v>3</v>
      </c>
      <c r="I238" s="5" t="inlineStr">
        <is>
          <t>grade_beam</t>
        </is>
      </c>
      <c r="J238" s="5" t="inlineStr">
        <is>
          <t>no</t>
        </is>
      </c>
      <c r="K238" s="5" t="n">
        <v>626</v>
      </c>
      <c r="L238" s="5" t="n">
        <v>0.79</v>
      </c>
      <c r="M238" s="5" t="n">
        <v>0</v>
      </c>
      <c r="N238" s="5" t="inlineStr">
        <is>
          <t>yes</t>
        </is>
      </c>
    </row>
    <row r="239">
      <c r="A239" s="5" t="n">
        <v>238</v>
      </c>
      <c r="B239" s="5" t="inlineStr">
        <is>
          <t>V9/128/128</t>
        </is>
      </c>
      <c r="C239" s="5" t="inlineStr">
        <is>
          <t>wall</t>
        </is>
      </c>
      <c r="D239" s="5" t="inlineStr">
        <is>
          <t>shear_wall</t>
        </is>
      </c>
      <c r="E239" s="5" t="n">
        <v>1267.7</v>
      </c>
      <c r="F239" s="5" t="n">
        <v>1769.8</v>
      </c>
      <c r="G239" s="5" t="n">
        <v>795</v>
      </c>
      <c r="H239" s="5" t="n">
        <v>3</v>
      </c>
      <c r="I239" s="5" t="inlineStr">
        <is>
          <t>grade_beam</t>
        </is>
      </c>
      <c r="J239" s="5" t="inlineStr">
        <is>
          <t>no</t>
        </is>
      </c>
      <c r="K239" s="5" t="n">
        <v>628</v>
      </c>
      <c r="L239" s="5" t="n">
        <v>0.82</v>
      </c>
      <c r="M239" s="5" t="n">
        <v>0</v>
      </c>
      <c r="N239" s="5" t="inlineStr">
        <is>
          <t>yes</t>
        </is>
      </c>
    </row>
    <row r="240">
      <c r="A240" s="5" t="n">
        <v>239</v>
      </c>
      <c r="B240" s="5" t="inlineStr">
        <is>
          <t>S0 (240x240x60)</t>
        </is>
      </c>
      <c r="C240" s="5" t="inlineStr">
        <is>
          <t>footing:S</t>
        </is>
      </c>
      <c r="D240" s="5" t="inlineStr">
        <is>
          <t>isolated_footing</t>
        </is>
      </c>
      <c r="E240" s="5" t="n">
        <v>2266.7</v>
      </c>
      <c r="F240" s="5" t="n">
        <v>2557.3</v>
      </c>
      <c r="G240" s="5" t="n">
        <v>596</v>
      </c>
      <c r="H240" s="5" t="n">
        <v>5</v>
      </c>
      <c r="I240" s="5" t="inlineStr">
        <is>
          <t>strip_footing</t>
        </is>
      </c>
      <c r="J240" s="5" t="inlineStr">
        <is>
          <t>no</t>
        </is>
      </c>
      <c r="K240" s="5" t="n">
        <v>585</v>
      </c>
      <c r="L240" s="5" t="n">
        <v>0.09</v>
      </c>
      <c r="M240" s="5" t="n">
        <v>0</v>
      </c>
      <c r="N240" s="5" t="inlineStr">
        <is>
          <t>no</t>
        </is>
      </c>
    </row>
    <row r="241">
      <c r="A241" s="5" t="n">
        <v>240</v>
      </c>
      <c r="B241" s="5" t="inlineStr">
        <is>
          <t>S0 (240x240x60)</t>
        </is>
      </c>
      <c r="C241" s="5" t="inlineStr">
        <is>
          <t>footing:S</t>
        </is>
      </c>
      <c r="D241" s="5" t="inlineStr">
        <is>
          <t>isolated_footing</t>
        </is>
      </c>
      <c r="E241" s="5" t="n">
        <v>2425</v>
      </c>
      <c r="F241" s="5" t="n">
        <v>2636.5</v>
      </c>
      <c r="G241" s="5" t="n">
        <v>596</v>
      </c>
      <c r="H241" s="5" t="n">
        <v>5</v>
      </c>
      <c r="I241" s="5" t="inlineStr">
        <is>
          <t>strip_footing</t>
        </is>
      </c>
      <c r="J241" s="5" t="inlineStr">
        <is>
          <t>no</t>
        </is>
      </c>
      <c r="K241" s="5" t="n">
        <v>587</v>
      </c>
      <c r="L241" s="5" t="n">
        <v>0.1</v>
      </c>
      <c r="M241" s="5" t="n">
        <v>0</v>
      </c>
      <c r="N241" s="5" t="inlineStr">
        <is>
          <t>no</t>
        </is>
      </c>
    </row>
    <row r="242">
      <c r="A242" s="5" t="n">
        <v>241</v>
      </c>
      <c r="B242" s="5" t="inlineStr">
        <is>
          <t>S0 (240x240x60)</t>
        </is>
      </c>
      <c r="C242" s="5" t="inlineStr">
        <is>
          <t>footing:S</t>
        </is>
      </c>
      <c r="D242" s="5" t="inlineStr">
        <is>
          <t>isolated_footing</t>
        </is>
      </c>
      <c r="E242" s="5" t="n">
        <v>2309.4</v>
      </c>
      <c r="F242" s="5" t="n">
        <v>2867.7</v>
      </c>
      <c r="G242" s="5" t="n">
        <v>584</v>
      </c>
      <c r="H242" s="5" t="n">
        <v>19</v>
      </c>
      <c r="I242" s="5" t="inlineStr">
        <is>
          <t>isolated_footing</t>
        </is>
      </c>
      <c r="J242" s="5" t="inlineStr">
        <is>
          <t>yes</t>
        </is>
      </c>
      <c r="K242" s="5" t="n">
        <v>584</v>
      </c>
      <c r="L242" s="5" t="n">
        <v>0.26</v>
      </c>
      <c r="M242" s="5" t="n">
        <v>0</v>
      </c>
      <c r="N242" s="5" t="inlineStr">
        <is>
          <t>no</t>
        </is>
      </c>
    </row>
    <row r="243">
      <c r="A243" s="5" t="n">
        <v>242</v>
      </c>
      <c r="B243" s="5" t="inlineStr">
        <is>
          <t>S0 (240x240x60)</t>
        </is>
      </c>
      <c r="C243" s="5" t="inlineStr">
        <is>
          <t>footing:S</t>
        </is>
      </c>
      <c r="D243" s="5" t="inlineStr">
        <is>
          <t>isolated_footing</t>
        </is>
      </c>
      <c r="E243" s="5" t="n">
        <v>2151</v>
      </c>
      <c r="F243" s="5" t="n">
        <v>2788.5</v>
      </c>
      <c r="G243" s="5" t="n">
        <v>586</v>
      </c>
      <c r="H243" s="5" t="n">
        <v>19</v>
      </c>
      <c r="I243" s="5" t="inlineStr">
        <is>
          <t>isolated_footing</t>
        </is>
      </c>
      <c r="J243" s="5" t="inlineStr">
        <is>
          <t>yes</t>
        </is>
      </c>
      <c r="K243" s="5" t="n">
        <v>586</v>
      </c>
      <c r="L243" s="5" t="n">
        <v>0.27</v>
      </c>
      <c r="M243" s="5" t="n">
        <v>0</v>
      </c>
      <c r="N243" s="5" t="inlineStr">
        <is>
          <t>yes</t>
        </is>
      </c>
    </row>
    <row r="244">
      <c r="A244" s="5" t="n">
        <v>243</v>
      </c>
      <c r="B244" s="5" t="inlineStr">
        <is>
          <t>P1/120/120</t>
        </is>
      </c>
      <c r="C244" s="5" t="inlineStr">
        <is>
          <t>column</t>
        </is>
      </c>
      <c r="D244" s="5" t="inlineStr">
        <is>
          <t>column</t>
        </is>
      </c>
      <c r="E244" s="5" t="n">
        <v>4616.7</v>
      </c>
      <c r="F244" s="5" t="n">
        <v>788.5</v>
      </c>
      <c r="G244" s="5" t="n">
        <v>1</v>
      </c>
      <c r="H244" s="5" t="n">
        <v>25</v>
      </c>
      <c r="I244" s="5" t="inlineStr">
        <is>
          <t>column</t>
        </is>
      </c>
      <c r="J244" s="5" t="inlineStr">
        <is>
          <t>yes</t>
        </is>
      </c>
      <c r="K244" s="5" t="n">
        <v>1</v>
      </c>
      <c r="L244" s="5" t="n">
        <v>0.12</v>
      </c>
      <c r="M244" s="5" t="n">
        <v>0</v>
      </c>
      <c r="N244" s="5" t="inlineStr">
        <is>
          <t>yes</t>
        </is>
      </c>
    </row>
    <row r="245">
      <c r="A245" s="5" t="n">
        <v>244</v>
      </c>
      <c r="B245" s="5" t="inlineStr">
        <is>
          <t>P1/120/120</t>
        </is>
      </c>
      <c r="C245" s="5" t="inlineStr">
        <is>
          <t>column</t>
        </is>
      </c>
      <c r="D245" s="5" t="inlineStr">
        <is>
          <t>column</t>
        </is>
      </c>
      <c r="E245" s="5" t="n">
        <v>4725</v>
      </c>
      <c r="F245" s="5" t="n">
        <v>788.5</v>
      </c>
      <c r="G245" s="5" t="n">
        <v>4</v>
      </c>
      <c r="H245" s="5" t="n">
        <v>25</v>
      </c>
      <c r="I245" s="5" t="inlineStr">
        <is>
          <t>column</t>
        </is>
      </c>
      <c r="J245" s="5" t="inlineStr">
        <is>
          <t>yes</t>
        </is>
      </c>
      <c r="K245" s="5" t="n">
        <v>4</v>
      </c>
      <c r="L245" s="5" t="n">
        <v>0.12</v>
      </c>
      <c r="M245" s="5" t="n">
        <v>0</v>
      </c>
      <c r="N245" s="5" t="inlineStr">
        <is>
          <t>yes</t>
        </is>
      </c>
    </row>
    <row r="246">
      <c r="A246" s="5" t="n">
        <v>245</v>
      </c>
      <c r="B246" s="5" t="inlineStr">
        <is>
          <t>P1/120/120</t>
        </is>
      </c>
      <c r="C246" s="5" t="inlineStr">
        <is>
          <t>column</t>
        </is>
      </c>
      <c r="D246" s="5" t="inlineStr">
        <is>
          <t>column</t>
        </is>
      </c>
      <c r="E246" s="5" t="n">
        <v>4720.8</v>
      </c>
      <c r="F246" s="5" t="n">
        <v>859.4</v>
      </c>
      <c r="G246" s="5" t="n">
        <v>2</v>
      </c>
      <c r="H246" s="5" t="n">
        <v>25</v>
      </c>
      <c r="I246" s="5" t="inlineStr">
        <is>
          <t>column</t>
        </is>
      </c>
      <c r="J246" s="5" t="inlineStr">
        <is>
          <t>yes</t>
        </is>
      </c>
      <c r="K246" s="5" t="n">
        <v>2</v>
      </c>
      <c r="L246" s="5" t="n">
        <v>0.07000000000000001</v>
      </c>
      <c r="M246" s="5" t="n">
        <v>0</v>
      </c>
      <c r="N246" s="5" t="inlineStr">
        <is>
          <t>yes</t>
        </is>
      </c>
    </row>
    <row r="247">
      <c r="A247" s="5" t="n">
        <v>246</v>
      </c>
      <c r="B247" s="5" t="inlineStr">
        <is>
          <t>P1/120/120</t>
        </is>
      </c>
      <c r="C247" s="5" t="inlineStr">
        <is>
          <t>column</t>
        </is>
      </c>
      <c r="D247" s="5" t="inlineStr">
        <is>
          <t>column</t>
        </is>
      </c>
      <c r="E247" s="5" t="n">
        <v>4624</v>
      </c>
      <c r="F247" s="5" t="n">
        <v>858.3</v>
      </c>
      <c r="G247" s="5" t="n">
        <v>3</v>
      </c>
      <c r="H247" s="5" t="n">
        <v>25</v>
      </c>
      <c r="I247" s="5" t="inlineStr">
        <is>
          <t>column</t>
        </is>
      </c>
      <c r="J247" s="5" t="inlineStr">
        <is>
          <t>yes</t>
        </is>
      </c>
      <c r="K247" s="5" t="n">
        <v>3</v>
      </c>
      <c r="L247" s="5" t="n">
        <v>0.16</v>
      </c>
      <c r="M247" s="5" t="n">
        <v>0</v>
      </c>
      <c r="N247" s="5" t="inlineStr">
        <is>
          <t>yes</t>
        </is>
      </c>
    </row>
    <row r="248">
      <c r="A248" s="5" t="n">
        <v>247</v>
      </c>
      <c r="B248" s="5" t="inlineStr">
        <is>
          <t>P2/121/121</t>
        </is>
      </c>
      <c r="C248" s="5" t="inlineStr">
        <is>
          <t>column</t>
        </is>
      </c>
      <c r="D248" s="5" t="inlineStr">
        <is>
          <t>column</t>
        </is>
      </c>
      <c r="E248" s="5" t="n">
        <v>4731.2</v>
      </c>
      <c r="F248" s="5" t="n">
        <v>1524</v>
      </c>
      <c r="G248" s="5" t="n">
        <v>83</v>
      </c>
      <c r="H248" s="5" t="n">
        <v>25</v>
      </c>
      <c r="I248" s="5" t="inlineStr">
        <is>
          <t>column</t>
        </is>
      </c>
      <c r="J248" s="5" t="inlineStr">
        <is>
          <t>yes</t>
        </is>
      </c>
      <c r="K248" s="5" t="n">
        <v>83</v>
      </c>
      <c r="L248" s="5" t="n">
        <v>0.1</v>
      </c>
      <c r="M248" s="5" t="n">
        <v>0</v>
      </c>
      <c r="N248" s="5" t="inlineStr">
        <is>
          <t>yes</t>
        </is>
      </c>
    </row>
    <row r="249">
      <c r="A249" s="5" t="n">
        <v>248</v>
      </c>
      <c r="B249" s="5" t="inlineStr">
        <is>
          <t>P2/121/121</t>
        </is>
      </c>
      <c r="C249" s="5" t="inlineStr">
        <is>
          <t>column</t>
        </is>
      </c>
      <c r="D249" s="5" t="inlineStr">
        <is>
          <t>column</t>
        </is>
      </c>
      <c r="E249" s="5" t="n">
        <v>4732.3</v>
      </c>
      <c r="F249" s="5" t="n">
        <v>1609.4</v>
      </c>
      <c r="G249" s="5" t="n">
        <v>82</v>
      </c>
      <c r="H249" s="5" t="n">
        <v>25</v>
      </c>
      <c r="I249" s="5" t="inlineStr">
        <is>
          <t>column</t>
        </is>
      </c>
      <c r="J249" s="5" t="inlineStr">
        <is>
          <t>yes</t>
        </is>
      </c>
      <c r="K249" s="5" t="n">
        <v>82</v>
      </c>
      <c r="L249" s="5" t="n">
        <v>0.16</v>
      </c>
      <c r="M249" s="5" t="n">
        <v>0</v>
      </c>
      <c r="N249" s="5" t="inlineStr">
        <is>
          <t>yes</t>
        </is>
      </c>
    </row>
    <row r="250">
      <c r="A250" s="5" t="n">
        <v>249</v>
      </c>
      <c r="B250" s="5" t="inlineStr">
        <is>
          <t>P2/121/121</t>
        </is>
      </c>
      <c r="C250" s="5" t="inlineStr">
        <is>
          <t>column</t>
        </is>
      </c>
      <c r="D250" s="5" t="inlineStr">
        <is>
          <t>column</t>
        </is>
      </c>
      <c r="E250" s="5" t="n">
        <v>4601</v>
      </c>
      <c r="F250" s="5" t="n">
        <v>1609.4</v>
      </c>
      <c r="G250" s="5" t="n">
        <v>80</v>
      </c>
      <c r="H250" s="5" t="n">
        <v>25</v>
      </c>
      <c r="I250" s="5" t="inlineStr">
        <is>
          <t>column</t>
        </is>
      </c>
      <c r="J250" s="5" t="inlineStr">
        <is>
          <t>yes</t>
        </is>
      </c>
      <c r="K250" s="5" t="n">
        <v>80</v>
      </c>
      <c r="L250" s="5" t="n">
        <v>0.12</v>
      </c>
      <c r="M250" s="5" t="n">
        <v>0</v>
      </c>
      <c r="N250" s="5" t="inlineStr">
        <is>
          <t>yes</t>
        </is>
      </c>
    </row>
    <row r="251">
      <c r="A251" s="5" t="n">
        <v>250</v>
      </c>
      <c r="B251" s="5" t="inlineStr">
        <is>
          <t>P2/121/121</t>
        </is>
      </c>
      <c r="C251" s="5" t="inlineStr">
        <is>
          <t>column</t>
        </is>
      </c>
      <c r="D251" s="5" t="inlineStr">
        <is>
          <t>column</t>
        </is>
      </c>
      <c r="E251" s="5" t="n">
        <v>4600</v>
      </c>
      <c r="F251" s="5" t="n">
        <v>1522.9</v>
      </c>
      <c r="G251" s="5" t="n">
        <v>81</v>
      </c>
      <c r="H251" s="5" t="n">
        <v>25</v>
      </c>
      <c r="I251" s="5" t="inlineStr">
        <is>
          <t>column</t>
        </is>
      </c>
      <c r="J251" s="5" t="inlineStr">
        <is>
          <t>yes</t>
        </is>
      </c>
      <c r="K251" s="5" t="n">
        <v>81</v>
      </c>
      <c r="L251" s="5" t="n">
        <v>0.1</v>
      </c>
      <c r="M251" s="5" t="n">
        <v>0</v>
      </c>
      <c r="N251" s="5" t="inlineStr">
        <is>
          <t>yes</t>
        </is>
      </c>
    </row>
    <row r="252">
      <c r="A252" s="5" t="n">
        <v>251</v>
      </c>
      <c r="B252" s="5" t="inlineStr">
        <is>
          <t>P2/122/122</t>
        </is>
      </c>
      <c r="C252" s="5" t="inlineStr">
        <is>
          <t>column</t>
        </is>
      </c>
      <c r="D252" s="5" t="inlineStr">
        <is>
          <t>column</t>
        </is>
      </c>
      <c r="E252" s="5" t="n">
        <v>4617.7</v>
      </c>
      <c r="F252" s="5" t="n">
        <v>2693.8</v>
      </c>
      <c r="G252" s="5" t="n">
        <v>194</v>
      </c>
      <c r="H252" s="5" t="n">
        <v>25</v>
      </c>
      <c r="I252" s="5" t="inlineStr">
        <is>
          <t>column</t>
        </is>
      </c>
      <c r="J252" s="5" t="inlineStr">
        <is>
          <t>yes</t>
        </is>
      </c>
      <c r="K252" s="5" t="n">
        <v>194</v>
      </c>
      <c r="L252" s="5" t="n">
        <v>0.25</v>
      </c>
      <c r="M252" s="5" t="n">
        <v>0</v>
      </c>
      <c r="N252" s="5" t="inlineStr">
        <is>
          <t>yes</t>
        </is>
      </c>
    </row>
    <row r="253">
      <c r="A253" s="5" t="n">
        <v>252</v>
      </c>
      <c r="B253" s="5" t="inlineStr">
        <is>
          <t>P3/122/122</t>
        </is>
      </c>
      <c r="C253" s="5" t="inlineStr">
        <is>
          <t>column</t>
        </is>
      </c>
      <c r="D253" s="5" t="inlineStr">
        <is>
          <t>column</t>
        </is>
      </c>
      <c r="E253" s="5" t="n">
        <v>4267.7</v>
      </c>
      <c r="F253" s="5" t="n">
        <v>3065.6</v>
      </c>
      <c r="G253" s="5" t="n">
        <v>197</v>
      </c>
      <c r="H253" s="5" t="n">
        <v>25</v>
      </c>
      <c r="I253" s="5" t="inlineStr">
        <is>
          <t>column</t>
        </is>
      </c>
      <c r="J253" s="5" t="inlineStr">
        <is>
          <t>yes</t>
        </is>
      </c>
      <c r="K253" s="5" t="n">
        <v>197</v>
      </c>
      <c r="L253" s="5" t="n">
        <v>0.49</v>
      </c>
      <c r="M253" s="5" t="n">
        <v>0</v>
      </c>
      <c r="N253" s="5" t="inlineStr">
        <is>
          <t>yes</t>
        </is>
      </c>
    </row>
    <row r="254">
      <c r="A254" s="5" t="n">
        <v>253</v>
      </c>
      <c r="B254" s="5" t="inlineStr">
        <is>
          <t>P4/122/122</t>
        </is>
      </c>
      <c r="C254" s="5" t="inlineStr">
        <is>
          <t>column</t>
        </is>
      </c>
      <c r="D254" s="5" t="inlineStr">
        <is>
          <t>column</t>
        </is>
      </c>
      <c r="E254" s="5" t="n">
        <v>4441.7</v>
      </c>
      <c r="F254" s="5" t="n">
        <v>3038.5</v>
      </c>
      <c r="G254" s="5" t="n">
        <v>199</v>
      </c>
      <c r="H254" s="5" t="n">
        <v>25</v>
      </c>
      <c r="I254" s="5" t="inlineStr">
        <is>
          <t>column</t>
        </is>
      </c>
      <c r="J254" s="5" t="inlineStr">
        <is>
          <t>yes</t>
        </is>
      </c>
      <c r="K254" s="5" t="n">
        <v>199</v>
      </c>
      <c r="L254" s="5" t="n">
        <v>0.21</v>
      </c>
      <c r="M254" s="5" t="n">
        <v>0</v>
      </c>
      <c r="N254" s="5" t="inlineStr">
        <is>
          <t>yes</t>
        </is>
      </c>
    </row>
    <row r="255">
      <c r="A255" s="5" t="n">
        <v>254</v>
      </c>
      <c r="B255" s="5" t="inlineStr">
        <is>
          <t>P4/122/122</t>
        </is>
      </c>
      <c r="C255" s="5" t="inlineStr">
        <is>
          <t>column</t>
        </is>
      </c>
      <c r="D255" s="5" t="inlineStr">
        <is>
          <t>column</t>
        </is>
      </c>
      <c r="E255" s="5" t="n">
        <v>4334.4</v>
      </c>
      <c r="F255" s="5" t="n">
        <v>2877.1</v>
      </c>
      <c r="G255" s="5" t="n">
        <v>198</v>
      </c>
      <c r="H255" s="5" t="n">
        <v>25</v>
      </c>
      <c r="I255" s="5" t="inlineStr">
        <is>
          <t>column</t>
        </is>
      </c>
      <c r="J255" s="5" t="inlineStr">
        <is>
          <t>yes</t>
        </is>
      </c>
      <c r="K255" s="5" t="n">
        <v>198</v>
      </c>
      <c r="L255" s="5" t="n">
        <v>0.71</v>
      </c>
      <c r="M255" s="5" t="n">
        <v>0</v>
      </c>
      <c r="N255" s="5" t="inlineStr">
        <is>
          <t>yes</t>
        </is>
      </c>
    </row>
    <row r="256">
      <c r="A256" s="5" t="n">
        <v>255</v>
      </c>
      <c r="B256" s="5" t="inlineStr">
        <is>
          <t>P1/124/124</t>
        </is>
      </c>
      <c r="C256" s="5" t="inlineStr">
        <is>
          <t>column</t>
        </is>
      </c>
      <c r="D256" s="5" t="inlineStr">
        <is>
          <t>column</t>
        </is>
      </c>
      <c r="E256" s="5" t="n">
        <v>4101</v>
      </c>
      <c r="F256" s="5" t="n">
        <v>3199</v>
      </c>
      <c r="G256" s="5" t="n">
        <v>441</v>
      </c>
      <c r="H256" s="5" t="n">
        <v>3</v>
      </c>
      <c r="I256" s="5" t="inlineStr">
        <is>
          <t>grade_beam</t>
        </is>
      </c>
      <c r="J256" s="5" t="inlineStr">
        <is>
          <t>no</t>
        </is>
      </c>
      <c r="K256" s="5" t="n">
        <v>389</v>
      </c>
      <c r="L256" s="5" t="n">
        <v>0.74</v>
      </c>
      <c r="M256" s="5" t="n">
        <v>0</v>
      </c>
      <c r="N256" s="5" t="inlineStr">
        <is>
          <t>yes</t>
        </is>
      </c>
    </row>
    <row r="257">
      <c r="A257" s="5" t="n">
        <v>256</v>
      </c>
      <c r="B257" s="5" t="inlineStr">
        <is>
          <t>P1/124/124</t>
        </is>
      </c>
      <c r="C257" s="5" t="inlineStr">
        <is>
          <t>column</t>
        </is>
      </c>
      <c r="D257" s="5" t="inlineStr">
        <is>
          <t>column</t>
        </is>
      </c>
      <c r="E257" s="5" t="n">
        <v>4036.5</v>
      </c>
      <c r="F257" s="5" t="n">
        <v>3341.7</v>
      </c>
      <c r="G257" s="5" t="n">
        <v>414</v>
      </c>
      <c r="H257" s="5" t="n">
        <v>10</v>
      </c>
      <c r="I257" s="5" t="inlineStr">
        <is>
          <t>core_wall</t>
        </is>
      </c>
      <c r="J257" s="5" t="inlineStr">
        <is>
          <t>no</t>
        </is>
      </c>
      <c r="K257" s="5" t="n">
        <v>390</v>
      </c>
      <c r="L257" s="5" t="n">
        <v>0.6899999999999999</v>
      </c>
      <c r="M257" s="5" t="n">
        <v>0</v>
      </c>
      <c r="N257" s="5" t="inlineStr">
        <is>
          <t>yes</t>
        </is>
      </c>
    </row>
    <row r="258">
      <c r="A258" s="5" t="n">
        <v>257</v>
      </c>
      <c r="B258" s="5" t="inlineStr">
        <is>
          <t>P1/124/124</t>
        </is>
      </c>
      <c r="C258" s="5" t="inlineStr">
        <is>
          <t>column</t>
        </is>
      </c>
      <c r="D258" s="5" t="inlineStr">
        <is>
          <t>column</t>
        </is>
      </c>
      <c r="E258" s="5" t="n">
        <v>4122.9</v>
      </c>
      <c r="F258" s="5" t="n">
        <v>3326</v>
      </c>
      <c r="G258" s="5" t="n">
        <v>391</v>
      </c>
      <c r="H258" s="5" t="n">
        <v>25</v>
      </c>
      <c r="I258" s="5" t="inlineStr">
        <is>
          <t>column</t>
        </is>
      </c>
      <c r="J258" s="5" t="inlineStr">
        <is>
          <t>yes</t>
        </is>
      </c>
      <c r="K258" s="5" t="n">
        <v>391</v>
      </c>
      <c r="L258" s="5" t="n">
        <v>0.67</v>
      </c>
      <c r="M258" s="5" t="n">
        <v>0</v>
      </c>
      <c r="N258" s="5" t="inlineStr">
        <is>
          <t>yes</t>
        </is>
      </c>
    </row>
    <row r="259">
      <c r="A259" s="5" t="n">
        <v>258</v>
      </c>
      <c r="B259" s="5" t="inlineStr">
        <is>
          <t>P1/126/126</t>
        </is>
      </c>
      <c r="C259" s="5" t="inlineStr">
        <is>
          <t>column</t>
        </is>
      </c>
      <c r="D259" s="5" t="inlineStr">
        <is>
          <t>column</t>
        </is>
      </c>
      <c r="E259" s="5" t="n">
        <v>2780.2</v>
      </c>
      <c r="F259" s="5" t="n">
        <v>3381.3</v>
      </c>
      <c r="G259" s="5" t="n">
        <v>528</v>
      </c>
      <c r="H259" s="5" t="n">
        <v>25</v>
      </c>
      <c r="I259" s="5" t="inlineStr">
        <is>
          <t>column</t>
        </is>
      </c>
      <c r="J259" s="5" t="inlineStr">
        <is>
          <t>yes</t>
        </is>
      </c>
      <c r="K259" s="5" t="n">
        <v>528</v>
      </c>
      <c r="L259" s="5" t="n">
        <v>0.05</v>
      </c>
      <c r="M259" s="5" t="n">
        <v>0</v>
      </c>
      <c r="N259" s="5" t="inlineStr">
        <is>
          <t>no</t>
        </is>
      </c>
    </row>
    <row r="260">
      <c r="A260" s="5" t="n">
        <v>259</v>
      </c>
      <c r="B260" s="5" t="inlineStr">
        <is>
          <t>P1/126/126</t>
        </is>
      </c>
      <c r="C260" s="5" t="inlineStr">
        <is>
          <t>column</t>
        </is>
      </c>
      <c r="D260" s="5" t="inlineStr">
        <is>
          <t>column</t>
        </is>
      </c>
      <c r="E260" s="5" t="n">
        <v>2869.8</v>
      </c>
      <c r="F260" s="5" t="n">
        <v>3425</v>
      </c>
      <c r="G260" s="5" t="n">
        <v>527</v>
      </c>
      <c r="H260" s="5" t="n">
        <v>25</v>
      </c>
      <c r="I260" s="5" t="inlineStr">
        <is>
          <t>column</t>
        </is>
      </c>
      <c r="J260" s="5" t="inlineStr">
        <is>
          <t>yes</t>
        </is>
      </c>
      <c r="K260" s="5" t="n">
        <v>527</v>
      </c>
      <c r="L260" s="5" t="n">
        <v>0.72</v>
      </c>
      <c r="M260" s="5" t="n">
        <v>0</v>
      </c>
      <c r="N260" s="5" t="inlineStr">
        <is>
          <t>no</t>
        </is>
      </c>
    </row>
    <row r="261">
      <c r="A261" s="5" t="n">
        <v>260</v>
      </c>
      <c r="B261" s="5" t="inlineStr">
        <is>
          <t>P1/127/127</t>
        </is>
      </c>
      <c r="C261" s="5" t="inlineStr">
        <is>
          <t>column</t>
        </is>
      </c>
      <c r="D261" s="5" t="inlineStr">
        <is>
          <t>column</t>
        </is>
      </c>
      <c r="E261" s="5" t="n">
        <v>2278.1</v>
      </c>
      <c r="F261" s="5" t="n">
        <v>3156.2</v>
      </c>
      <c r="G261" s="5" t="n">
        <v>556</v>
      </c>
      <c r="H261" s="5" t="n">
        <v>25</v>
      </c>
      <c r="I261" s="5" t="inlineStr">
        <is>
          <t>column</t>
        </is>
      </c>
      <c r="J261" s="5" t="inlineStr">
        <is>
          <t>yes</t>
        </is>
      </c>
      <c r="K261" s="5" t="n">
        <v>556</v>
      </c>
      <c r="L261" s="5" t="n">
        <v>0.78</v>
      </c>
      <c r="M261" s="5" t="n">
        <v>0</v>
      </c>
      <c r="N261" s="5" t="inlineStr">
        <is>
          <t>no</t>
        </is>
      </c>
    </row>
    <row r="262">
      <c r="A262" s="5" t="n">
        <v>261</v>
      </c>
      <c r="B262" s="5" t="inlineStr">
        <is>
          <t>P1/127/127</t>
        </is>
      </c>
      <c r="C262" s="5" t="inlineStr">
        <is>
          <t>column</t>
        </is>
      </c>
      <c r="D262" s="5" t="inlineStr">
        <is>
          <t>column</t>
        </is>
      </c>
      <c r="E262" s="5" t="n">
        <v>2168.8</v>
      </c>
      <c r="F262" s="5" t="n">
        <v>3102.1</v>
      </c>
      <c r="G262" s="5" t="n">
        <v>557</v>
      </c>
      <c r="H262" s="5" t="n">
        <v>25</v>
      </c>
      <c r="I262" s="5" t="inlineStr">
        <is>
          <t>column</t>
        </is>
      </c>
      <c r="J262" s="5" t="inlineStr">
        <is>
          <t>yes</t>
        </is>
      </c>
      <c r="K262" s="5" t="n">
        <v>557</v>
      </c>
      <c r="L262" s="5" t="n">
        <v>0.16</v>
      </c>
      <c r="M262" s="5" t="n">
        <v>0</v>
      </c>
      <c r="N262" s="5" t="inlineStr">
        <is>
          <t>no</t>
        </is>
      </c>
    </row>
    <row r="263">
      <c r="A263" s="5" t="n">
        <v>262</v>
      </c>
      <c r="B263" s="5" t="inlineStr">
        <is>
          <t>P1/127/127</t>
        </is>
      </c>
      <c r="C263" s="5" t="inlineStr">
        <is>
          <t>column</t>
        </is>
      </c>
      <c r="D263" s="5" t="inlineStr">
        <is>
          <t>column</t>
        </is>
      </c>
      <c r="E263" s="5" t="n">
        <v>2324</v>
      </c>
      <c r="F263" s="5" t="n">
        <v>3061.5</v>
      </c>
      <c r="G263" s="5" t="n">
        <v>592</v>
      </c>
      <c r="H263" s="5" t="n">
        <v>12</v>
      </c>
      <c r="I263" s="5" t="inlineStr">
        <is>
          <t>isolated_footing</t>
        </is>
      </c>
      <c r="J263" s="5" t="inlineStr">
        <is>
          <t>no</t>
        </is>
      </c>
      <c r="K263" s="5" t="n">
        <v>555</v>
      </c>
      <c r="L263" s="5" t="n">
        <v>0.72</v>
      </c>
      <c r="M263" s="5" t="n">
        <v>0</v>
      </c>
      <c r="N263" s="5" t="inlineStr">
        <is>
          <t>no</t>
        </is>
      </c>
    </row>
    <row r="264">
      <c r="A264" s="5" t="n">
        <v>263</v>
      </c>
      <c r="B264" s="5" t="inlineStr">
        <is>
          <t>P1/128/128</t>
        </is>
      </c>
      <c r="C264" s="5" t="inlineStr">
        <is>
          <t>column</t>
        </is>
      </c>
      <c r="D264" s="5" t="inlineStr">
        <is>
          <t>column</t>
        </is>
      </c>
      <c r="E264" s="5" t="n">
        <v>1328.1</v>
      </c>
      <c r="F264" s="5" t="n">
        <v>2679.2</v>
      </c>
      <c r="G264" s="5" t="n">
        <v>614</v>
      </c>
      <c r="H264" s="5" t="n">
        <v>25</v>
      </c>
      <c r="I264" s="5" t="inlineStr">
        <is>
          <t>column</t>
        </is>
      </c>
      <c r="J264" s="5" t="inlineStr">
        <is>
          <t>yes</t>
        </is>
      </c>
      <c r="K264" s="5" t="n">
        <v>614</v>
      </c>
      <c r="L264" s="5" t="n">
        <v>0.08</v>
      </c>
      <c r="M264" s="5" t="n">
        <v>0</v>
      </c>
      <c r="N264" s="5" t="inlineStr">
        <is>
          <t>no</t>
        </is>
      </c>
    </row>
    <row r="265">
      <c r="A265" s="5" t="n">
        <v>264</v>
      </c>
      <c r="B265" s="5" t="inlineStr">
        <is>
          <t>P1/128/128</t>
        </is>
      </c>
      <c r="C265" s="5" t="inlineStr">
        <is>
          <t>column</t>
        </is>
      </c>
      <c r="D265" s="5" t="inlineStr">
        <is>
          <t>column</t>
        </is>
      </c>
      <c r="E265" s="5" t="n">
        <v>1434.4</v>
      </c>
      <c r="F265" s="5" t="n">
        <v>2733.3</v>
      </c>
      <c r="G265" s="5" t="n">
        <v>613</v>
      </c>
      <c r="H265" s="5" t="n">
        <v>25</v>
      </c>
      <c r="I265" s="5" t="inlineStr">
        <is>
          <t>column</t>
        </is>
      </c>
      <c r="J265" s="5" t="inlineStr">
        <is>
          <t>yes</t>
        </is>
      </c>
      <c r="K265" s="5" t="n">
        <v>613</v>
      </c>
      <c r="L265" s="5" t="n">
        <v>0.76</v>
      </c>
      <c r="M265" s="5" t="n">
        <v>0</v>
      </c>
      <c r="N265" s="5" t="inlineStr">
        <is>
          <t>no</t>
        </is>
      </c>
    </row>
    <row r="266">
      <c r="A266" s="5" t="n">
        <v>265</v>
      </c>
      <c r="B266" s="5" t="inlineStr">
        <is>
          <t>P2/128/128</t>
        </is>
      </c>
      <c r="C266" s="5" t="inlineStr">
        <is>
          <t>column</t>
        </is>
      </c>
      <c r="D266" s="5" t="inlineStr">
        <is>
          <t>column</t>
        </is>
      </c>
      <c r="E266" s="5" t="n">
        <v>978.1</v>
      </c>
      <c r="F266" s="5" t="n">
        <v>2835.4</v>
      </c>
      <c r="G266" s="5" t="n">
        <v>615</v>
      </c>
      <c r="H266" s="5" t="n">
        <v>36</v>
      </c>
      <c r="I266" s="5" t="inlineStr">
        <is>
          <t>column</t>
        </is>
      </c>
      <c r="J266" s="5" t="inlineStr">
        <is>
          <t>yes</t>
        </is>
      </c>
      <c r="K266" s="5" t="n">
        <v>615</v>
      </c>
      <c r="L266" s="5" t="n">
        <v>0.16</v>
      </c>
      <c r="M266" s="5" t="n">
        <v>0</v>
      </c>
      <c r="N266" s="5" t="inlineStr">
        <is>
          <t>yes</t>
        </is>
      </c>
    </row>
    <row r="267">
      <c r="A267" s="5" t="n">
        <v>266</v>
      </c>
      <c r="B267" s="5" t="inlineStr">
        <is>
          <t>P2/129/129</t>
        </is>
      </c>
      <c r="C267" s="5" t="inlineStr">
        <is>
          <t>column</t>
        </is>
      </c>
      <c r="D267" s="5" t="inlineStr">
        <is>
          <t>column</t>
        </is>
      </c>
      <c r="E267" s="5" t="n">
        <v>783.3</v>
      </c>
      <c r="F267" s="5" t="n">
        <v>2617.7</v>
      </c>
      <c r="G267" s="5" t="n">
        <v>749</v>
      </c>
      <c r="H267" s="5" t="n">
        <v>36</v>
      </c>
      <c r="I267" s="5" t="inlineStr">
        <is>
          <t>column</t>
        </is>
      </c>
      <c r="J267" s="5" t="inlineStr">
        <is>
          <t>yes</t>
        </is>
      </c>
      <c r="K267" s="5" t="n">
        <v>749</v>
      </c>
      <c r="L267" s="5" t="n">
        <v>0.46</v>
      </c>
      <c r="M267" s="5" t="n">
        <v>0</v>
      </c>
      <c r="N267" s="5" t="inlineStr">
        <is>
          <t>yes</t>
        </is>
      </c>
    </row>
    <row r="268">
      <c r="A268" s="5" t="n">
        <v>267</v>
      </c>
      <c r="B268" s="5" t="inlineStr">
        <is>
          <t>P1/129/129</t>
        </is>
      </c>
      <c r="C268" s="5" t="inlineStr">
        <is>
          <t>column</t>
        </is>
      </c>
      <c r="D268" s="5" t="inlineStr">
        <is>
          <t>column</t>
        </is>
      </c>
      <c r="E268" s="5" t="n">
        <v>1047.9</v>
      </c>
      <c r="F268" s="5" t="n">
        <v>2286.5</v>
      </c>
      <c r="G268" s="5" t="n">
        <v>747</v>
      </c>
      <c r="H268" s="5" t="n">
        <v>25</v>
      </c>
      <c r="I268" s="5" t="inlineStr">
        <is>
          <t>column</t>
        </is>
      </c>
      <c r="J268" s="5" t="inlineStr">
        <is>
          <t>yes</t>
        </is>
      </c>
      <c r="K268" s="5" t="n">
        <v>747</v>
      </c>
      <c r="L268" s="5" t="n">
        <v>0.79</v>
      </c>
      <c r="M268" s="5" t="n">
        <v>0</v>
      </c>
      <c r="N268" s="5" t="inlineStr">
        <is>
          <t>yes</t>
        </is>
      </c>
    </row>
    <row r="269">
      <c r="A269" s="5" t="n">
        <v>268</v>
      </c>
      <c r="B269" s="5" t="inlineStr">
        <is>
          <t>P1/129/129</t>
        </is>
      </c>
      <c r="C269" s="5" t="inlineStr">
        <is>
          <t>column</t>
        </is>
      </c>
      <c r="D269" s="5" t="inlineStr">
        <is>
          <t>column</t>
        </is>
      </c>
      <c r="E269" s="5" t="n">
        <v>986.5</v>
      </c>
      <c r="F269" s="5" t="n">
        <v>2200</v>
      </c>
      <c r="G269" s="5" t="n">
        <v>748</v>
      </c>
      <c r="H269" s="5" t="n">
        <v>25</v>
      </c>
      <c r="I269" s="5" t="inlineStr">
        <is>
          <t>column</t>
        </is>
      </c>
      <c r="J269" s="5" t="inlineStr">
        <is>
          <t>yes</t>
        </is>
      </c>
      <c r="K269" s="5" t="n">
        <v>748</v>
      </c>
      <c r="L269" s="5" t="n">
        <v>0</v>
      </c>
      <c r="M269" s="5" t="n">
        <v>0</v>
      </c>
      <c r="N269" s="5" t="inlineStr">
        <is>
          <t>yes</t>
        </is>
      </c>
    </row>
    <row r="270">
      <c r="A270" s="5" t="n">
        <v>269</v>
      </c>
      <c r="B270" s="5" t="inlineStr">
        <is>
          <t>P1/130/130</t>
        </is>
      </c>
      <c r="C270" s="5" t="inlineStr">
        <is>
          <t>column</t>
        </is>
      </c>
      <c r="D270" s="5" t="inlineStr">
        <is>
          <t>column</t>
        </is>
      </c>
      <c r="E270" s="5" t="n">
        <v>795.8</v>
      </c>
      <c r="F270" s="5" t="n">
        <v>1382.3</v>
      </c>
      <c r="G270" s="5" t="n">
        <v>876</v>
      </c>
      <c r="H270" s="5" t="n">
        <v>25</v>
      </c>
      <c r="I270" s="5" t="inlineStr">
        <is>
          <t>column</t>
        </is>
      </c>
      <c r="J270" s="5" t="inlineStr">
        <is>
          <t>yes</t>
        </is>
      </c>
      <c r="K270" s="5" t="n">
        <v>876</v>
      </c>
      <c r="L270" s="5" t="n">
        <v>0.08</v>
      </c>
      <c r="M270" s="5" t="n">
        <v>0</v>
      </c>
      <c r="N270" s="5" t="inlineStr">
        <is>
          <t>no</t>
        </is>
      </c>
    </row>
    <row r="271">
      <c r="A271" s="5" t="n">
        <v>270</v>
      </c>
      <c r="B271" s="5" t="inlineStr">
        <is>
          <t>P1/130/130</t>
        </is>
      </c>
      <c r="C271" s="5" t="inlineStr">
        <is>
          <t>column</t>
        </is>
      </c>
      <c r="D271" s="5" t="inlineStr">
        <is>
          <t>column</t>
        </is>
      </c>
      <c r="E271" s="5" t="n">
        <v>788.5</v>
      </c>
      <c r="F271" s="5" t="n">
        <v>1489.6</v>
      </c>
      <c r="G271" s="5" t="n">
        <v>875</v>
      </c>
      <c r="H271" s="5" t="n">
        <v>25</v>
      </c>
      <c r="I271" s="5" t="inlineStr">
        <is>
          <t>column</t>
        </is>
      </c>
      <c r="J271" s="5" t="inlineStr">
        <is>
          <t>yes</t>
        </is>
      </c>
      <c r="K271" s="5" t="n">
        <v>875</v>
      </c>
      <c r="L271" s="5" t="n">
        <v>0.77</v>
      </c>
      <c r="M271" s="5" t="n">
        <v>0</v>
      </c>
      <c r="N271" s="5" t="inlineStr">
        <is>
          <t>yes</t>
        </is>
      </c>
    </row>
    <row r="272">
      <c r="A272" s="5" t="n">
        <v>271</v>
      </c>
      <c r="B272" s="5" t="inlineStr">
        <is>
          <t>P1/125/125</t>
        </is>
      </c>
      <c r="C272" s="5" t="inlineStr">
        <is>
          <t>column</t>
        </is>
      </c>
      <c r="D272" s="5" t="inlineStr">
        <is>
          <t>column</t>
        </is>
      </c>
      <c r="E272" s="5" t="n">
        <v>3161.5</v>
      </c>
      <c r="F272" s="5" t="n">
        <v>3459.4</v>
      </c>
      <c r="G272" s="5" t="n">
        <v>451</v>
      </c>
      <c r="H272" s="5" t="n">
        <v>25</v>
      </c>
      <c r="I272" s="5" t="inlineStr">
        <is>
          <t>column</t>
        </is>
      </c>
      <c r="J272" s="5" t="inlineStr">
        <is>
          <t>yes</t>
        </is>
      </c>
      <c r="K272" s="5" t="n">
        <v>451</v>
      </c>
      <c r="L272" s="5" t="n">
        <v>0.07000000000000001</v>
      </c>
      <c r="M272" s="5" t="n">
        <v>0</v>
      </c>
      <c r="N272" s="5" t="inlineStr">
        <is>
          <t>yes</t>
        </is>
      </c>
    </row>
    <row r="273">
      <c r="A273" s="5" t="n">
        <v>272</v>
      </c>
      <c r="B273" s="5" t="inlineStr">
        <is>
          <t>P1/125/125</t>
        </is>
      </c>
      <c r="C273" s="5" t="inlineStr">
        <is>
          <t>column</t>
        </is>
      </c>
      <c r="D273" s="5" t="inlineStr">
        <is>
          <t>column</t>
        </is>
      </c>
      <c r="E273" s="5" t="n">
        <v>3259.4</v>
      </c>
      <c r="F273" s="5" t="n">
        <v>3440.6</v>
      </c>
      <c r="G273" s="5" t="n">
        <v>450</v>
      </c>
      <c r="H273" s="5" t="n">
        <v>25</v>
      </c>
      <c r="I273" s="5" t="inlineStr">
        <is>
          <t>column</t>
        </is>
      </c>
      <c r="J273" s="5" t="inlineStr">
        <is>
          <t>yes</t>
        </is>
      </c>
      <c r="K273" s="5" t="n">
        <v>450</v>
      </c>
      <c r="L273" s="5" t="n">
        <v>0.71</v>
      </c>
      <c r="M273" s="5" t="n">
        <v>0</v>
      </c>
      <c r="N273" s="5" t="inlineStr">
        <is>
          <t>yes</t>
        </is>
      </c>
    </row>
    <row r="274">
      <c r="A274" s="5" t="n">
        <v>273</v>
      </c>
      <c r="B274" s="5" t="inlineStr">
        <is>
          <t>S20-130</t>
        </is>
      </c>
      <c r="C274" s="5" t="inlineStr">
        <is>
          <t>footing:S</t>
        </is>
      </c>
      <c r="D274" s="5" t="inlineStr">
        <is>
          <t>isolated_footing</t>
        </is>
      </c>
      <c r="E274" s="5" t="n">
        <v>754.2</v>
      </c>
      <c r="F274" s="5" t="n">
        <v>1320.8</v>
      </c>
      <c r="G274" s="5" t="n">
        <v>890</v>
      </c>
      <c r="H274" s="5" t="n">
        <v>26</v>
      </c>
      <c r="I274" s="5" t="inlineStr">
        <is>
          <t>core_wall</t>
        </is>
      </c>
      <c r="J274" s="5" t="inlineStr">
        <is>
          <t>no</t>
        </is>
      </c>
      <c r="K274" s="5" t="n">
        <v>917</v>
      </c>
      <c r="L274" s="5" t="n">
        <v>0.82</v>
      </c>
      <c r="M274" s="5" t="n">
        <v>0</v>
      </c>
      <c r="N274" s="5" t="inlineStr">
        <is>
          <t>yes</t>
        </is>
      </c>
    </row>
    <row r="275">
      <c r="A275" s="5" t="n">
        <v>274</v>
      </c>
      <c r="B275" s="5" t="inlineStr">
        <is>
          <t>S20-130</t>
        </is>
      </c>
      <c r="C275" s="5" t="inlineStr">
        <is>
          <t>footing:S</t>
        </is>
      </c>
      <c r="D275" s="5" t="inlineStr">
        <is>
          <t>isolated_footing</t>
        </is>
      </c>
      <c r="E275" s="5" t="n">
        <v>654.2</v>
      </c>
      <c r="F275" s="5" t="n">
        <v>1345.8</v>
      </c>
      <c r="G275" s="5" t="n">
        <v>916</v>
      </c>
      <c r="H275" s="5" t="n">
        <v>16</v>
      </c>
      <c r="I275" s="5" t="inlineStr">
        <is>
          <t>isolated_footing</t>
        </is>
      </c>
      <c r="J275" s="5" t="inlineStr">
        <is>
          <t>yes</t>
        </is>
      </c>
      <c r="K275" s="5" t="n">
        <v>916</v>
      </c>
      <c r="L275" s="5" t="n">
        <v>0.77</v>
      </c>
      <c r="M275" s="5" t="n">
        <v>0</v>
      </c>
      <c r="N275" s="5" t="inlineStr">
        <is>
          <t>yes</t>
        </is>
      </c>
    </row>
    <row r="276">
      <c r="A276" s="5" t="n">
        <v>275</v>
      </c>
      <c r="B276" s="5" t="inlineStr">
        <is>
          <t>P3/130/130</t>
        </is>
      </c>
      <c r="C276" s="5" t="inlineStr">
        <is>
          <t>column</t>
        </is>
      </c>
      <c r="D276" s="5" t="inlineStr">
        <is>
          <t>column</t>
        </is>
      </c>
      <c r="E276" s="5" t="n">
        <v>627.1</v>
      </c>
      <c r="F276" s="5" t="n">
        <v>1336.5</v>
      </c>
      <c r="G276" s="5" t="n">
        <v>907</v>
      </c>
      <c r="H276" s="5" t="n">
        <v>30</v>
      </c>
      <c r="I276" s="5" t="inlineStr">
        <is>
          <t>retaining_wall</t>
        </is>
      </c>
      <c r="J276" s="5" t="inlineStr">
        <is>
          <t>no</t>
        </is>
      </c>
      <c r="K276" s="5" t="n">
        <v>878</v>
      </c>
      <c r="L276" s="5" t="n">
        <v>0.84</v>
      </c>
      <c r="M276" s="5" t="n">
        <v>0</v>
      </c>
      <c r="N276" s="5" t="inlineStr">
        <is>
          <t>yes</t>
        </is>
      </c>
    </row>
    <row r="277">
      <c r="A277" s="5" t="n">
        <v>276</v>
      </c>
      <c r="B277" s="5" t="inlineStr">
        <is>
          <t>P3/130/130</t>
        </is>
      </c>
      <c r="C277" s="5" t="inlineStr">
        <is>
          <t>column</t>
        </is>
      </c>
      <c r="D277" s="5" t="inlineStr">
        <is>
          <t>column</t>
        </is>
      </c>
      <c r="E277" s="5" t="n">
        <v>716.7</v>
      </c>
      <c r="F277" s="5" t="n">
        <v>1311.5</v>
      </c>
      <c r="G277" s="5" t="n">
        <v>936</v>
      </c>
      <c r="H277" s="5" t="n">
        <v>3</v>
      </c>
      <c r="I277" s="5" t="inlineStr">
        <is>
          <t>grade_beam</t>
        </is>
      </c>
      <c r="J277" s="5" t="inlineStr">
        <is>
          <t>no</t>
        </is>
      </c>
      <c r="K277" s="5" t="n">
        <v>877</v>
      </c>
      <c r="L277" s="5" t="n">
        <v>0.79</v>
      </c>
      <c r="M277" s="5" t="n">
        <v>0</v>
      </c>
      <c r="N277" s="5" t="inlineStr">
        <is>
          <t>yes</t>
        </is>
      </c>
    </row>
    <row r="278">
      <c r="A278" s="5" t="n">
        <v>277</v>
      </c>
      <c r="B278" s="5" t="inlineStr">
        <is>
          <t>P2a/122/122</t>
        </is>
      </c>
      <c r="C278" s="5" t="inlineStr">
        <is>
          <t>column</t>
        </is>
      </c>
      <c r="D278" s="5" t="inlineStr">
        <is>
          <t>column</t>
        </is>
      </c>
      <c r="E278" s="5" t="n">
        <v>4730.2</v>
      </c>
      <c r="F278" s="5" t="n">
        <v>2606.2</v>
      </c>
      <c r="G278" s="5" t="n">
        <v>196</v>
      </c>
      <c r="H278" s="5" t="n">
        <v>25</v>
      </c>
      <c r="I278" s="5" t="inlineStr">
        <is>
          <t>column</t>
        </is>
      </c>
      <c r="J278" s="5" t="inlineStr">
        <is>
          <t>yes</t>
        </is>
      </c>
      <c r="K278" s="5" t="n">
        <v>196</v>
      </c>
      <c r="L278" s="5" t="n">
        <v>0.1</v>
      </c>
      <c r="M278" s="5" t="n">
        <v>0</v>
      </c>
      <c r="N278" s="5" t="inlineStr">
        <is>
          <t>yes</t>
        </is>
      </c>
    </row>
    <row r="279">
      <c r="A279" s="5" t="n">
        <v>278</v>
      </c>
      <c r="B279" s="5" t="inlineStr">
        <is>
          <t>P2a/122a/122</t>
        </is>
      </c>
      <c r="C279" s="5" t="inlineStr">
        <is>
          <t>column</t>
        </is>
      </c>
      <c r="D279" s="5" t="inlineStr">
        <is>
          <t>column</t>
        </is>
      </c>
      <c r="E279" s="5" t="n">
        <v>4736.5</v>
      </c>
      <c r="F279" s="5" t="n">
        <v>2694.8</v>
      </c>
      <c r="G279" s="5" t="n">
        <v>195</v>
      </c>
      <c r="H279" s="5" t="n">
        <v>25</v>
      </c>
      <c r="I279" s="5" t="inlineStr">
        <is>
          <t>column</t>
        </is>
      </c>
      <c r="J279" s="5" t="inlineStr">
        <is>
          <t>yes</t>
        </is>
      </c>
      <c r="K279" s="5" t="n">
        <v>195</v>
      </c>
      <c r="L279" s="5" t="n">
        <v>0.11</v>
      </c>
      <c r="M279" s="5" t="n">
        <v>0</v>
      </c>
      <c r="N279" s="5" t="inlineStr">
        <is>
          <t>yes</t>
        </is>
      </c>
    </row>
    <row r="280">
      <c r="A280" s="5" t="n">
        <v>279</v>
      </c>
      <c r="B280" s="5" t="inlineStr">
        <is>
          <t>LG-40x15</t>
        </is>
      </c>
      <c r="C280" s="5" t="inlineStr">
        <is>
          <t>grade_beam</t>
        </is>
      </c>
      <c r="D280" s="5" t="inlineStr">
        <is>
          <t>grade_beam</t>
        </is>
      </c>
      <c r="E280" s="5" t="n">
        <v>4333.3</v>
      </c>
      <c r="F280" s="5" t="n">
        <v>2212.5</v>
      </c>
      <c r="G280" s="5" t="n">
        <v>261</v>
      </c>
      <c r="H280" s="5" t="n">
        <v>3</v>
      </c>
      <c r="I280" s="5" t="inlineStr">
        <is>
          <t>grade_beam</t>
        </is>
      </c>
      <c r="J280" s="5" t="inlineStr">
        <is>
          <t>yes</t>
        </is>
      </c>
      <c r="K280" s="5" t="n">
        <v>261</v>
      </c>
      <c r="L280" s="5" t="n">
        <v>0.18</v>
      </c>
      <c r="M280" s="5" t="n">
        <v>0</v>
      </c>
      <c r="N280" s="5" t="inlineStr">
        <is>
          <t>yes</t>
        </is>
      </c>
    </row>
    <row r="281">
      <c r="A281" s="5" t="n">
        <v>280</v>
      </c>
      <c r="B281" s="5" t="inlineStr">
        <is>
          <t>LG-40x15</t>
        </is>
      </c>
      <c r="C281" s="5" t="inlineStr">
        <is>
          <t>grade_beam</t>
        </is>
      </c>
      <c r="D281" s="5" t="inlineStr">
        <is>
          <t>grade_beam</t>
        </is>
      </c>
      <c r="E281" s="5" t="n">
        <v>4333.3</v>
      </c>
      <c r="F281" s="5" t="n">
        <v>2413.5</v>
      </c>
      <c r="G281" s="5" t="n">
        <v>261</v>
      </c>
      <c r="H281" s="5" t="n">
        <v>3</v>
      </c>
      <c r="I281" s="5" t="inlineStr">
        <is>
          <t>grade_beam</t>
        </is>
      </c>
      <c r="J281" s="5" t="inlineStr">
        <is>
          <t>yes</t>
        </is>
      </c>
      <c r="K281" s="5" t="n">
        <v>261</v>
      </c>
      <c r="L281" s="5" t="n">
        <v>0.19</v>
      </c>
      <c r="M281" s="5" t="n">
        <v>0</v>
      </c>
      <c r="N281" s="5" t="inlineStr">
        <is>
          <t>yes</t>
        </is>
      </c>
    </row>
    <row r="282">
      <c r="A282" s="5" t="n">
        <v>281</v>
      </c>
      <c r="B282" s="5" t="inlineStr">
        <is>
          <t>LG-40x15</t>
        </is>
      </c>
      <c r="C282" s="5" t="inlineStr">
        <is>
          <t>grade_beam</t>
        </is>
      </c>
      <c r="D282" s="5" t="inlineStr">
        <is>
          <t>grade_beam</t>
        </is>
      </c>
      <c r="E282" s="5" t="n">
        <v>4558.3</v>
      </c>
      <c r="F282" s="5" t="n">
        <v>2425</v>
      </c>
      <c r="G282" s="5" t="n">
        <v>259</v>
      </c>
      <c r="H282" s="5" t="n">
        <v>3</v>
      </c>
      <c r="I282" s="5" t="inlineStr">
        <is>
          <t>grade_beam</t>
        </is>
      </c>
      <c r="J282" s="5" t="inlineStr">
        <is>
          <t>yes</t>
        </is>
      </c>
      <c r="K282" s="5" t="n">
        <v>259</v>
      </c>
      <c r="L282" s="5" t="n">
        <v>0.15</v>
      </c>
      <c r="M282" s="5" t="n">
        <v>0</v>
      </c>
      <c r="N282" s="5" t="inlineStr">
        <is>
          <t>yes</t>
        </is>
      </c>
    </row>
    <row r="283">
      <c r="A283" s="5" t="n">
        <v>282</v>
      </c>
      <c r="B283" s="5" t="inlineStr">
        <is>
          <t>LG-40x15</t>
        </is>
      </c>
      <c r="C283" s="5" t="inlineStr">
        <is>
          <t>grade_beam</t>
        </is>
      </c>
      <c r="D283" s="5" t="inlineStr">
        <is>
          <t>grade_beam</t>
        </is>
      </c>
      <c r="E283" s="5" t="n">
        <v>4332.3</v>
      </c>
      <c r="F283" s="5" t="n">
        <v>2591.7</v>
      </c>
      <c r="G283" s="5" t="n">
        <v>261</v>
      </c>
      <c r="H283" s="5" t="n">
        <v>3</v>
      </c>
      <c r="I283" s="5" t="inlineStr">
        <is>
          <t>grade_beam</t>
        </is>
      </c>
      <c r="J283" s="5" t="inlineStr">
        <is>
          <t>yes</t>
        </is>
      </c>
      <c r="K283" s="5" t="n">
        <v>261</v>
      </c>
      <c r="L283" s="5" t="n">
        <v>0.16</v>
      </c>
      <c r="M283" s="5" t="n">
        <v>0</v>
      </c>
      <c r="N283" s="5" t="inlineStr">
        <is>
          <t>yes</t>
        </is>
      </c>
    </row>
    <row r="284">
      <c r="A284" s="5" t="n">
        <v>283</v>
      </c>
      <c r="B284" s="5" t="inlineStr">
        <is>
          <t>LG-40x15</t>
        </is>
      </c>
      <c r="C284" s="5" t="inlineStr">
        <is>
          <t>grade_beam</t>
        </is>
      </c>
      <c r="D284" s="5" t="inlineStr">
        <is>
          <t>grade_beam</t>
        </is>
      </c>
      <c r="E284" s="5" t="n">
        <v>4300</v>
      </c>
      <c r="F284" s="5" t="n">
        <v>2806.2</v>
      </c>
      <c r="G284" s="5" t="n">
        <v>273</v>
      </c>
      <c r="H284" s="5" t="n">
        <v>3</v>
      </c>
      <c r="I284" s="5" t="inlineStr">
        <is>
          <t>grade_beam</t>
        </is>
      </c>
      <c r="J284" s="5" t="inlineStr">
        <is>
          <t>yes</t>
        </is>
      </c>
      <c r="K284" s="5" t="n">
        <v>273</v>
      </c>
      <c r="L284" s="5" t="n">
        <v>0.21</v>
      </c>
      <c r="M284" s="5" t="n">
        <v>0</v>
      </c>
      <c r="N284" s="5" t="inlineStr">
        <is>
          <t>yes</t>
        </is>
      </c>
    </row>
    <row r="285">
      <c r="A285" s="5" t="n">
        <v>284</v>
      </c>
      <c r="B285" s="5" t="inlineStr">
        <is>
          <t>LG-40x15</t>
        </is>
      </c>
      <c r="C285" s="5" t="inlineStr">
        <is>
          <t>grade_beam</t>
        </is>
      </c>
      <c r="D285" s="5" t="inlineStr">
        <is>
          <t>grade_beam</t>
        </is>
      </c>
      <c r="E285" s="5" t="n">
        <v>4383.3</v>
      </c>
      <c r="F285" s="5" t="n">
        <v>2975</v>
      </c>
      <c r="G285" s="5" t="n">
        <v>272</v>
      </c>
      <c r="H285" s="5" t="n">
        <v>3</v>
      </c>
      <c r="I285" s="5" t="inlineStr">
        <is>
          <t>grade_beam</t>
        </is>
      </c>
      <c r="J285" s="5" t="inlineStr">
        <is>
          <t>yes</t>
        </is>
      </c>
      <c r="K285" s="5" t="n">
        <v>272</v>
      </c>
      <c r="L285" s="5" t="n">
        <v>0.17</v>
      </c>
      <c r="M285" s="5" t="n">
        <v>0.02</v>
      </c>
      <c r="N285" s="5" t="inlineStr">
        <is>
          <t>yes</t>
        </is>
      </c>
    </row>
    <row r="286">
      <c r="A286" s="5" t="n">
        <v>285</v>
      </c>
      <c r="B286" s="5" t="inlineStr">
        <is>
          <t>LG-40x15</t>
        </is>
      </c>
      <c r="C286" s="5" t="inlineStr">
        <is>
          <t>grade_beam</t>
        </is>
      </c>
      <c r="D286" s="5" t="inlineStr">
        <is>
          <t>grade_beam</t>
        </is>
      </c>
      <c r="E286" s="5" t="n">
        <v>4250</v>
      </c>
      <c r="F286" s="5" t="n">
        <v>2996.9</v>
      </c>
      <c r="G286" s="5" t="n">
        <v>262</v>
      </c>
      <c r="H286" s="5" t="n">
        <v>3</v>
      </c>
      <c r="I286" s="5" t="inlineStr">
        <is>
          <t>grade_beam</t>
        </is>
      </c>
      <c r="J286" s="5" t="inlineStr">
        <is>
          <t>yes</t>
        </is>
      </c>
      <c r="K286" s="5" t="n">
        <v>262</v>
      </c>
      <c r="L286" s="5" t="n">
        <v>0.21</v>
      </c>
      <c r="M286" s="5" t="n">
        <v>0</v>
      </c>
      <c r="N286" s="5" t="inlineStr">
        <is>
          <t>yes</t>
        </is>
      </c>
    </row>
    <row r="287">
      <c r="A287" s="5" t="n">
        <v>286</v>
      </c>
      <c r="B287" s="5" t="inlineStr">
        <is>
          <t>LG-40x15</t>
        </is>
      </c>
      <c r="C287" s="5" t="inlineStr">
        <is>
          <t>grade_beam</t>
        </is>
      </c>
      <c r="D287" s="5" t="inlineStr">
        <is>
          <t>grade_beam</t>
        </is>
      </c>
      <c r="E287" s="5" t="n">
        <v>4558.3</v>
      </c>
      <c r="F287" s="5" t="n">
        <v>2936.5</v>
      </c>
      <c r="G287" s="5" t="n">
        <v>259</v>
      </c>
      <c r="H287" s="5" t="n">
        <v>3</v>
      </c>
      <c r="I287" s="5" t="inlineStr">
        <is>
          <t>grade_beam</t>
        </is>
      </c>
      <c r="J287" s="5" t="inlineStr">
        <is>
          <t>yes</t>
        </is>
      </c>
      <c r="K287" s="5" t="n">
        <v>259</v>
      </c>
      <c r="L287" s="5" t="n">
        <v>0.16</v>
      </c>
      <c r="M287" s="5" t="n">
        <v>0</v>
      </c>
      <c r="N287" s="5" t="inlineStr">
        <is>
          <t>yes</t>
        </is>
      </c>
    </row>
    <row r="288">
      <c r="A288" s="5" t="n">
        <v>287</v>
      </c>
      <c r="B288" s="5" t="inlineStr">
        <is>
          <t>LG-40x15</t>
        </is>
      </c>
      <c r="C288" s="5" t="inlineStr">
        <is>
          <t>grade_beam</t>
        </is>
      </c>
      <c r="D288" s="5" t="inlineStr">
        <is>
          <t>grade_beam</t>
        </is>
      </c>
      <c r="E288" s="5" t="n">
        <v>4687.5</v>
      </c>
      <c r="F288" s="5" t="n">
        <v>2804.2</v>
      </c>
      <c r="G288" s="5" t="n">
        <v>271</v>
      </c>
      <c r="H288" s="5" t="n">
        <v>3</v>
      </c>
      <c r="I288" s="5" t="inlineStr">
        <is>
          <t>grade_beam</t>
        </is>
      </c>
      <c r="J288" s="5" t="inlineStr">
        <is>
          <t>yes</t>
        </is>
      </c>
      <c r="K288" s="5" t="n">
        <v>271</v>
      </c>
      <c r="L288" s="5" t="n">
        <v>0.21</v>
      </c>
      <c r="M288" s="5" t="n">
        <v>0</v>
      </c>
      <c r="N288" s="5" t="inlineStr">
        <is>
          <t>yes</t>
        </is>
      </c>
    </row>
    <row r="289">
      <c r="A289" s="5" t="n">
        <v>288</v>
      </c>
      <c r="B289" s="5" t="inlineStr">
        <is>
          <t>LG-40x15</t>
        </is>
      </c>
      <c r="C289" s="5" t="inlineStr">
        <is>
          <t>grade_beam</t>
        </is>
      </c>
      <c r="D289" s="5" t="inlineStr">
        <is>
          <t>grade_beam</t>
        </is>
      </c>
      <c r="E289" s="5" t="n">
        <v>4884.4</v>
      </c>
      <c r="F289" s="5" t="n">
        <v>2952.1</v>
      </c>
      <c r="G289" s="5" t="n">
        <v>375</v>
      </c>
      <c r="H289" s="5" t="n">
        <v>3</v>
      </c>
      <c r="I289" s="5" t="inlineStr">
        <is>
          <t>grade_beam</t>
        </is>
      </c>
      <c r="J289" s="5" t="inlineStr">
        <is>
          <t>yes</t>
        </is>
      </c>
      <c r="K289" s="5" t="n">
        <v>375</v>
      </c>
      <c r="L289" s="5" t="n">
        <v>0.65</v>
      </c>
      <c r="M289" s="5" t="n">
        <v>0</v>
      </c>
      <c r="N289" s="5" t="inlineStr">
        <is>
          <t>yes</t>
        </is>
      </c>
    </row>
    <row r="290">
      <c r="A290" s="5" t="n">
        <v>289</v>
      </c>
      <c r="B290" s="5" t="inlineStr">
        <is>
          <t>LG-40x15</t>
        </is>
      </c>
      <c r="C290" s="5" t="inlineStr">
        <is>
          <t>grade_beam</t>
        </is>
      </c>
      <c r="D290" s="5" t="inlineStr">
        <is>
          <t>grade_beam</t>
        </is>
      </c>
      <c r="E290" s="5" t="n">
        <v>4680.2</v>
      </c>
      <c r="F290" s="5" t="n">
        <v>2988.5</v>
      </c>
      <c r="G290" s="5" t="n">
        <v>344</v>
      </c>
      <c r="H290" s="5" t="n">
        <v>26</v>
      </c>
      <c r="I290" s="5" t="inlineStr">
        <is>
          <t>core_wall</t>
        </is>
      </c>
      <c r="J290" s="5" t="inlineStr">
        <is>
          <t>no</t>
        </is>
      </c>
      <c r="K290" s="5" t="inlineStr">
        <is>
          <t>unmatched</t>
        </is>
      </c>
      <c r="L290" s="5" t="n"/>
      <c r="M290" s="5" t="n"/>
      <c r="N290" s="5" t="inlineStr">
        <is>
          <t>yes</t>
        </is>
      </c>
    </row>
    <row r="291">
      <c r="A291" s="5" t="n">
        <v>290</v>
      </c>
      <c r="B291" s="5" t="inlineStr">
        <is>
          <t>LG-40x15</t>
        </is>
      </c>
      <c r="C291" s="5" t="inlineStr">
        <is>
          <t>grade_beam</t>
        </is>
      </c>
      <c r="D291" s="5" t="inlineStr">
        <is>
          <t>grade_beam</t>
        </is>
      </c>
      <c r="E291" s="5" t="n">
        <v>4514.6</v>
      </c>
      <c r="F291" s="5" t="n">
        <v>3019.8</v>
      </c>
      <c r="G291" s="5" t="n">
        <v>259</v>
      </c>
      <c r="H291" s="5" t="n">
        <v>3</v>
      </c>
      <c r="I291" s="5" t="inlineStr">
        <is>
          <t>grade_beam</t>
        </is>
      </c>
      <c r="J291" s="5" t="inlineStr">
        <is>
          <t>yes</t>
        </is>
      </c>
      <c r="K291" s="5" t="n">
        <v>259</v>
      </c>
      <c r="L291" s="5" t="n">
        <v>0.92</v>
      </c>
      <c r="M291" s="5" t="n">
        <v>0.98</v>
      </c>
      <c r="N291" s="5" t="inlineStr">
        <is>
          <t>yes</t>
        </is>
      </c>
    </row>
    <row r="292">
      <c r="A292" s="5" t="n">
        <v>291</v>
      </c>
      <c r="B292" s="5" t="inlineStr">
        <is>
          <t>LG-40x15</t>
        </is>
      </c>
      <c r="C292" s="5" t="inlineStr">
        <is>
          <t>grade_beam</t>
        </is>
      </c>
      <c r="D292" s="5" t="inlineStr">
        <is>
          <t>grade_beam</t>
        </is>
      </c>
      <c r="E292" s="5" t="n">
        <v>4355.2</v>
      </c>
      <c r="F292" s="5" t="n">
        <v>3050</v>
      </c>
      <c r="G292" s="5" t="inlineStr">
        <is>
          <t>unmatched</t>
        </is>
      </c>
      <c r="H292" s="5" t="inlineStr"/>
      <c r="I292" s="5" t="inlineStr"/>
      <c r="J292" s="5" t="inlineStr"/>
      <c r="K292" s="5" t="inlineStr">
        <is>
          <t>unmatched</t>
        </is>
      </c>
      <c r="L292" s="5" t="n"/>
      <c r="M292" s="5" t="n"/>
      <c r="N292" s="5" t="inlineStr">
        <is>
          <t>yes</t>
        </is>
      </c>
    </row>
    <row r="293">
      <c r="A293" s="5" t="n">
        <v>292</v>
      </c>
      <c r="B293" s="5" t="inlineStr">
        <is>
          <t>LG-40x15</t>
        </is>
      </c>
      <c r="C293" s="5" t="inlineStr">
        <is>
          <t>grade_beam</t>
        </is>
      </c>
      <c r="D293" s="5" t="inlineStr">
        <is>
          <t>grade_beam</t>
        </is>
      </c>
      <c r="E293" s="5" t="n">
        <v>4680.2</v>
      </c>
      <c r="F293" s="5" t="n">
        <v>2319.8</v>
      </c>
      <c r="G293" s="5" t="n">
        <v>264</v>
      </c>
      <c r="H293" s="5" t="n">
        <v>3</v>
      </c>
      <c r="I293" s="5" t="inlineStr">
        <is>
          <t>grade_beam</t>
        </is>
      </c>
      <c r="J293" s="5" t="inlineStr">
        <is>
          <t>yes</t>
        </is>
      </c>
      <c r="K293" s="5" t="n">
        <v>264</v>
      </c>
      <c r="L293" s="5" t="n">
        <v>0.12</v>
      </c>
      <c r="M293" s="5" t="n">
        <v>0</v>
      </c>
      <c r="N293" s="5" t="inlineStr">
        <is>
          <t>yes</t>
        </is>
      </c>
    </row>
    <row r="294">
      <c r="A294" s="5" t="n">
        <v>293</v>
      </c>
      <c r="B294" s="5" t="inlineStr">
        <is>
          <t>LG-40x15</t>
        </is>
      </c>
      <c r="C294" s="5" t="inlineStr">
        <is>
          <t>grade_beam</t>
        </is>
      </c>
      <c r="D294" s="5" t="inlineStr">
        <is>
          <t>grade_beam</t>
        </is>
      </c>
      <c r="E294" s="5" t="n">
        <v>4217.7</v>
      </c>
      <c r="F294" s="5" t="n">
        <v>2836.5</v>
      </c>
      <c r="G294" s="5" t="n">
        <v>262</v>
      </c>
      <c r="H294" s="5" t="n">
        <v>3</v>
      </c>
      <c r="I294" s="5" t="inlineStr">
        <is>
          <t>grade_beam</t>
        </is>
      </c>
      <c r="J294" s="5" t="inlineStr">
        <is>
          <t>yes</t>
        </is>
      </c>
      <c r="K294" s="5" t="n">
        <v>262</v>
      </c>
      <c r="L294" s="5" t="n">
        <v>0.15</v>
      </c>
      <c r="M294" s="5" t="n">
        <v>0.24</v>
      </c>
      <c r="N294" s="5" t="inlineStr">
        <is>
          <t>yes</t>
        </is>
      </c>
    </row>
    <row r="295">
      <c r="A295" s="5" t="n">
        <v>294</v>
      </c>
      <c r="B295" s="5" t="inlineStr">
        <is>
          <t>LG-40x15</t>
        </is>
      </c>
      <c r="C295" s="5" t="inlineStr">
        <is>
          <t>grade_beam</t>
        </is>
      </c>
      <c r="D295" s="5" t="inlineStr">
        <is>
          <t>grade_beam</t>
        </is>
      </c>
      <c r="E295" s="5" t="n">
        <v>4582.3</v>
      </c>
      <c r="F295" s="5" t="n">
        <v>2691.7</v>
      </c>
      <c r="G295" s="5" t="n">
        <v>279</v>
      </c>
      <c r="H295" s="5" t="n">
        <v>3</v>
      </c>
      <c r="I295" s="5" t="inlineStr">
        <is>
          <t>grade_beam</t>
        </is>
      </c>
      <c r="J295" s="5" t="inlineStr">
        <is>
          <t>yes</t>
        </is>
      </c>
      <c r="K295" s="5" t="n">
        <v>279</v>
      </c>
      <c r="L295" s="5" t="n">
        <v>0.12</v>
      </c>
      <c r="M295" s="5" t="n">
        <v>0</v>
      </c>
      <c r="N295" s="5" t="inlineStr">
        <is>
          <t>yes</t>
        </is>
      </c>
    </row>
    <row r="296">
      <c r="A296" s="5" t="n">
        <v>295</v>
      </c>
      <c r="B296" s="5" t="inlineStr">
        <is>
          <t>LG-40x15</t>
        </is>
      </c>
      <c r="C296" s="5" t="inlineStr">
        <is>
          <t>grade_beam</t>
        </is>
      </c>
      <c r="D296" s="5" t="inlineStr">
        <is>
          <t>grade_beam</t>
        </is>
      </c>
      <c r="E296" s="5" t="n">
        <v>4440.6</v>
      </c>
      <c r="F296" s="5" t="n">
        <v>2605.2</v>
      </c>
      <c r="G296" s="5" t="n">
        <v>269</v>
      </c>
      <c r="H296" s="5" t="n">
        <v>3</v>
      </c>
      <c r="I296" s="5" t="inlineStr">
        <is>
          <t>grade_beam</t>
        </is>
      </c>
      <c r="J296" s="5" t="inlineStr">
        <is>
          <t>yes</t>
        </is>
      </c>
      <c r="K296" s="5" t="n">
        <v>269</v>
      </c>
      <c r="L296" s="5" t="n">
        <v>0.14</v>
      </c>
      <c r="M296" s="5" t="n">
        <v>0</v>
      </c>
      <c r="N296" s="5" t="inlineStr">
        <is>
          <t>yes</t>
        </is>
      </c>
    </row>
    <row r="297">
      <c r="A297" s="5" t="n">
        <v>296</v>
      </c>
      <c r="B297" s="5" t="inlineStr">
        <is>
          <t>LG-40x15</t>
        </is>
      </c>
      <c r="C297" s="5" t="inlineStr">
        <is>
          <t>grade_beam</t>
        </is>
      </c>
      <c r="D297" s="5" t="inlineStr">
        <is>
          <t>grade_beam</t>
        </is>
      </c>
      <c r="E297" s="5" t="n">
        <v>4246.9</v>
      </c>
      <c r="F297" s="5" t="n">
        <v>2479.2</v>
      </c>
      <c r="G297" s="5" t="n">
        <v>276</v>
      </c>
      <c r="H297" s="5" t="n">
        <v>3</v>
      </c>
      <c r="I297" s="5" t="inlineStr">
        <is>
          <t>grade_beam</t>
        </is>
      </c>
      <c r="J297" s="5" t="inlineStr">
        <is>
          <t>yes</t>
        </is>
      </c>
      <c r="K297" s="5" t="n">
        <v>276</v>
      </c>
      <c r="L297" s="5" t="n">
        <v>0.17</v>
      </c>
      <c r="M297" s="5" t="n">
        <v>0</v>
      </c>
      <c r="N297" s="5" t="inlineStr">
        <is>
          <t>yes</t>
        </is>
      </c>
    </row>
    <row r="298">
      <c r="A298" s="5" t="n">
        <v>297</v>
      </c>
      <c r="B298" s="5" t="inlineStr">
        <is>
          <t>LG-40x15</t>
        </is>
      </c>
      <c r="C298" s="5" t="inlineStr">
        <is>
          <t>grade_beam</t>
        </is>
      </c>
      <c r="D298" s="5" t="inlineStr">
        <is>
          <t>grade_beam</t>
        </is>
      </c>
      <c r="E298" s="5" t="n">
        <v>4245.8</v>
      </c>
      <c r="F298" s="5" t="n">
        <v>2247.9</v>
      </c>
      <c r="G298" s="5" t="n">
        <v>275</v>
      </c>
      <c r="H298" s="5" t="n">
        <v>3</v>
      </c>
      <c r="I298" s="5" t="inlineStr">
        <is>
          <t>grade_beam</t>
        </is>
      </c>
      <c r="J298" s="5" t="inlineStr">
        <is>
          <t>yes</t>
        </is>
      </c>
      <c r="K298" s="5" t="n">
        <v>275</v>
      </c>
      <c r="L298" s="5" t="n">
        <v>0.2</v>
      </c>
      <c r="M298" s="5" t="n">
        <v>0</v>
      </c>
      <c r="N298" s="5" t="inlineStr">
        <is>
          <t>yes</t>
        </is>
      </c>
    </row>
    <row r="299">
      <c r="A299" s="5" t="n">
        <v>298</v>
      </c>
      <c r="B299" s="5" t="inlineStr">
        <is>
          <t>LG-40x15</t>
        </is>
      </c>
      <c r="C299" s="5" t="inlineStr">
        <is>
          <t>grade_beam</t>
        </is>
      </c>
      <c r="D299" s="5" t="inlineStr">
        <is>
          <t>grade_beam</t>
        </is>
      </c>
      <c r="E299" s="5" t="n">
        <v>4421.9</v>
      </c>
      <c r="F299" s="5" t="n">
        <v>2318.8</v>
      </c>
      <c r="G299" s="5" t="n">
        <v>264</v>
      </c>
      <c r="H299" s="5" t="n">
        <v>3</v>
      </c>
      <c r="I299" s="5" t="inlineStr">
        <is>
          <t>grade_beam</t>
        </is>
      </c>
      <c r="J299" s="5" t="inlineStr">
        <is>
          <t>yes</t>
        </is>
      </c>
      <c r="K299" s="5" t="n">
        <v>264</v>
      </c>
      <c r="L299" s="5" t="n">
        <v>0.15</v>
      </c>
      <c r="M299" s="5" t="n">
        <v>0</v>
      </c>
      <c r="N299" s="5" t="inlineStr">
        <is>
          <t>yes</t>
        </is>
      </c>
    </row>
    <row r="300">
      <c r="A300" s="5" t="n">
        <v>299</v>
      </c>
      <c r="B300" s="5" t="inlineStr">
        <is>
          <t>LG-40x15</t>
        </is>
      </c>
      <c r="C300" s="5" t="inlineStr">
        <is>
          <t>grade_beam</t>
        </is>
      </c>
      <c r="D300" s="5" t="inlineStr">
        <is>
          <t>grade_beam</t>
        </is>
      </c>
      <c r="E300" s="5" t="n">
        <v>4454.2</v>
      </c>
      <c r="F300" s="5" t="n">
        <v>3207.3</v>
      </c>
      <c r="G300" s="5" t="n">
        <v>377</v>
      </c>
      <c r="H300" s="5" t="n">
        <v>3</v>
      </c>
      <c r="I300" s="5" t="inlineStr">
        <is>
          <t>grade_beam</t>
        </is>
      </c>
      <c r="J300" s="5" t="inlineStr">
        <is>
          <t>yes</t>
        </is>
      </c>
      <c r="K300" s="5" t="n">
        <v>377</v>
      </c>
      <c r="L300" s="5" t="n">
        <v>0.14</v>
      </c>
      <c r="M300" s="5" t="n">
        <v>0.18</v>
      </c>
      <c r="N300" s="5" t="inlineStr">
        <is>
          <t>yes</t>
        </is>
      </c>
    </row>
    <row r="301">
      <c r="A301" s="5" t="n">
        <v>300</v>
      </c>
      <c r="B301" s="5" t="inlineStr">
        <is>
          <t>LG-40x15</t>
        </is>
      </c>
      <c r="C301" s="5" t="inlineStr">
        <is>
          <t>grade_beam</t>
        </is>
      </c>
      <c r="D301" s="5" t="inlineStr">
        <is>
          <t>grade_beam</t>
        </is>
      </c>
      <c r="E301" s="5" t="n">
        <v>4884.4</v>
      </c>
      <c r="F301" s="5" t="n">
        <v>3311.5</v>
      </c>
      <c r="G301" s="5" t="n">
        <v>378</v>
      </c>
      <c r="H301" s="5" t="n">
        <v>3</v>
      </c>
      <c r="I301" s="5" t="inlineStr">
        <is>
          <t>grade_beam</t>
        </is>
      </c>
      <c r="J301" s="5" t="inlineStr">
        <is>
          <t>yes</t>
        </is>
      </c>
      <c r="K301" s="5" t="n">
        <v>378</v>
      </c>
      <c r="L301" s="5" t="n">
        <v>0.11</v>
      </c>
      <c r="M301" s="5" t="n">
        <v>0.15</v>
      </c>
      <c r="N301" s="5" t="inlineStr">
        <is>
          <t>yes</t>
        </is>
      </c>
    </row>
    <row r="302">
      <c r="A302" s="5" t="n">
        <v>301</v>
      </c>
      <c r="B302" s="5" t="inlineStr">
        <is>
          <t>LG-40x15</t>
        </is>
      </c>
      <c r="C302" s="5" t="inlineStr">
        <is>
          <t>grade_beam</t>
        </is>
      </c>
      <c r="D302" s="5" t="inlineStr">
        <is>
          <t>grade_beam</t>
        </is>
      </c>
      <c r="E302" s="5" t="n">
        <v>4705.2</v>
      </c>
      <c r="F302" s="5" t="n">
        <v>3369.8</v>
      </c>
      <c r="G302" s="5" t="n">
        <v>379</v>
      </c>
      <c r="H302" s="5" t="n">
        <v>3</v>
      </c>
      <c r="I302" s="5" t="inlineStr">
        <is>
          <t>grade_beam</t>
        </is>
      </c>
      <c r="J302" s="5" t="inlineStr">
        <is>
          <t>yes</t>
        </is>
      </c>
      <c r="K302" s="5" t="n">
        <v>379</v>
      </c>
      <c r="L302" s="5" t="n">
        <v>0.13</v>
      </c>
      <c r="M302" s="5" t="n">
        <v>0</v>
      </c>
      <c r="N302" s="5" t="inlineStr">
        <is>
          <t>yes</t>
        </is>
      </c>
    </row>
    <row r="303">
      <c r="A303" s="5" t="n">
        <v>302</v>
      </c>
      <c r="B303" s="5" t="inlineStr">
        <is>
          <t>LG-40x15</t>
        </is>
      </c>
      <c r="C303" s="5" t="inlineStr">
        <is>
          <t>grade_beam</t>
        </is>
      </c>
      <c r="D303" s="5" t="inlineStr">
        <is>
          <t>grade_beam</t>
        </is>
      </c>
      <c r="E303" s="5" t="n">
        <v>4525</v>
      </c>
      <c r="F303" s="5" t="n">
        <v>3429.2</v>
      </c>
      <c r="G303" s="5" t="n">
        <v>376</v>
      </c>
      <c r="H303" s="5" t="n">
        <v>3</v>
      </c>
      <c r="I303" s="5" t="inlineStr">
        <is>
          <t>grade_beam</t>
        </is>
      </c>
      <c r="J303" s="5" t="inlineStr">
        <is>
          <t>yes</t>
        </is>
      </c>
      <c r="K303" s="5" t="n">
        <v>376</v>
      </c>
      <c r="L303" s="5" t="n">
        <v>0.21</v>
      </c>
      <c r="M303" s="5" t="n">
        <v>0</v>
      </c>
      <c r="N303" s="5" t="inlineStr">
        <is>
          <t>yes</t>
        </is>
      </c>
    </row>
    <row r="304">
      <c r="A304" s="5" t="n">
        <v>303</v>
      </c>
      <c r="B304" s="5" t="inlineStr">
        <is>
          <t>LG-40x15</t>
        </is>
      </c>
      <c r="C304" s="5" t="inlineStr">
        <is>
          <t>grade_beam</t>
        </is>
      </c>
      <c r="D304" s="5" t="inlineStr">
        <is>
          <t>grade_beam</t>
        </is>
      </c>
      <c r="E304" s="5" t="n">
        <v>4293.8</v>
      </c>
      <c r="F304" s="5" t="n">
        <v>3236.5</v>
      </c>
      <c r="G304" s="5" t="n">
        <v>262</v>
      </c>
      <c r="H304" s="5" t="n">
        <v>3</v>
      </c>
      <c r="I304" s="5" t="inlineStr">
        <is>
          <t>grade_beam</t>
        </is>
      </c>
      <c r="J304" s="5" t="inlineStr">
        <is>
          <t>yes</t>
        </is>
      </c>
      <c r="K304" s="5" t="n">
        <v>262</v>
      </c>
      <c r="L304" s="5" t="n">
        <v>0.17</v>
      </c>
      <c r="M304" s="5" t="n">
        <v>0.07000000000000001</v>
      </c>
      <c r="N304" s="5" t="inlineStr">
        <is>
          <t>yes</t>
        </is>
      </c>
    </row>
    <row r="305">
      <c r="A305" s="5" t="n">
        <v>304</v>
      </c>
      <c r="B305" s="5" t="inlineStr">
        <is>
          <t>LG-40x15</t>
        </is>
      </c>
      <c r="C305" s="5" t="inlineStr">
        <is>
          <t>grade_beam</t>
        </is>
      </c>
      <c r="D305" s="5" t="inlineStr">
        <is>
          <t>grade_beam</t>
        </is>
      </c>
      <c r="E305" s="5" t="n">
        <v>4557.3</v>
      </c>
      <c r="F305" s="5" t="n">
        <v>3279.2</v>
      </c>
      <c r="G305" s="5" t="n">
        <v>374</v>
      </c>
      <c r="H305" s="5" t="n">
        <v>3</v>
      </c>
      <c r="I305" s="5" t="inlineStr">
        <is>
          <t>grade_beam</t>
        </is>
      </c>
      <c r="J305" s="5" t="inlineStr">
        <is>
          <t>yes</t>
        </is>
      </c>
      <c r="K305" s="5" t="n">
        <v>374</v>
      </c>
      <c r="L305" s="5" t="n">
        <v>0.17</v>
      </c>
      <c r="M305" s="5" t="n">
        <v>0</v>
      </c>
      <c r="N305" s="5" t="inlineStr">
        <is>
          <t>yes</t>
        </is>
      </c>
    </row>
    <row r="306">
      <c r="A306" s="5" t="n">
        <v>305</v>
      </c>
      <c r="B306" s="5" t="inlineStr">
        <is>
          <t>LG-40x15</t>
        </is>
      </c>
      <c r="C306" s="5" t="inlineStr">
        <is>
          <t>grade_beam</t>
        </is>
      </c>
      <c r="D306" s="5" t="inlineStr">
        <is>
          <t>grade_beam</t>
        </is>
      </c>
      <c r="E306" s="5" t="n">
        <v>4526</v>
      </c>
      <c r="F306" s="5" t="n">
        <v>3060.4</v>
      </c>
      <c r="G306" s="5" t="n">
        <v>373</v>
      </c>
      <c r="H306" s="5" t="n">
        <v>3</v>
      </c>
      <c r="I306" s="5" t="inlineStr">
        <is>
          <t>grade_beam</t>
        </is>
      </c>
      <c r="J306" s="5" t="inlineStr">
        <is>
          <t>yes</t>
        </is>
      </c>
      <c r="K306" s="5" t="n">
        <v>373</v>
      </c>
      <c r="L306" s="5" t="n">
        <v>0.31</v>
      </c>
      <c r="M306" s="5" t="n">
        <v>0</v>
      </c>
      <c r="N306" s="5" t="inlineStr">
        <is>
          <t>yes</t>
        </is>
      </c>
    </row>
    <row r="307">
      <c r="A307" s="5" t="n">
        <v>306</v>
      </c>
      <c r="B307" s="5" t="inlineStr">
        <is>
          <t>LG-40x15</t>
        </is>
      </c>
      <c r="C307" s="5" t="inlineStr">
        <is>
          <t>grade_beam</t>
        </is>
      </c>
      <c r="D307" s="5" t="inlineStr">
        <is>
          <t>grade_beam</t>
        </is>
      </c>
      <c r="E307" s="5" t="n">
        <v>4346.9</v>
      </c>
      <c r="F307" s="5" t="n">
        <v>3093.8</v>
      </c>
      <c r="G307" s="5" t="n">
        <v>373</v>
      </c>
      <c r="H307" s="5" t="n">
        <v>3</v>
      </c>
      <c r="I307" s="5" t="inlineStr">
        <is>
          <t>grade_beam</t>
        </is>
      </c>
      <c r="J307" s="5" t="inlineStr">
        <is>
          <t>yes</t>
        </is>
      </c>
      <c r="K307" s="5" t="n">
        <v>373</v>
      </c>
      <c r="L307" s="5" t="n">
        <v>0.29</v>
      </c>
      <c r="M307" s="5" t="n">
        <v>0.07000000000000001</v>
      </c>
      <c r="N307" s="5" t="inlineStr">
        <is>
          <t>yes</t>
        </is>
      </c>
    </row>
    <row r="308">
      <c r="A308" s="5" t="n">
        <v>307</v>
      </c>
      <c r="B308" s="5" t="inlineStr">
        <is>
          <t>LG-40x15</t>
        </is>
      </c>
      <c r="C308" s="5" t="inlineStr">
        <is>
          <t>grade_beam</t>
        </is>
      </c>
      <c r="D308" s="5" t="inlineStr">
        <is>
          <t>grade_beam</t>
        </is>
      </c>
      <c r="E308" s="5" t="n">
        <v>4629.2</v>
      </c>
      <c r="F308" s="5" t="n">
        <v>3462.5</v>
      </c>
      <c r="G308" s="5" t="n">
        <v>380</v>
      </c>
      <c r="H308" s="5" t="n">
        <v>3</v>
      </c>
      <c r="I308" s="5" t="inlineStr">
        <is>
          <t>grade_beam</t>
        </is>
      </c>
      <c r="J308" s="5" t="inlineStr">
        <is>
          <t>yes</t>
        </is>
      </c>
      <c r="K308" s="5" t="n">
        <v>380</v>
      </c>
      <c r="L308" s="5" t="n">
        <v>0.22</v>
      </c>
      <c r="M308" s="5" t="n">
        <v>0</v>
      </c>
      <c r="N308" s="5" t="inlineStr">
        <is>
          <t>yes</t>
        </is>
      </c>
    </row>
    <row r="309">
      <c r="A309" s="5" t="n">
        <v>308</v>
      </c>
      <c r="B309" s="5" t="inlineStr">
        <is>
          <t>LG-40x15</t>
        </is>
      </c>
      <c r="C309" s="5" t="inlineStr">
        <is>
          <t>grade_beam</t>
        </is>
      </c>
      <c r="D309" s="5" t="inlineStr">
        <is>
          <t>grade_beam</t>
        </is>
      </c>
      <c r="E309" s="5" t="n">
        <v>4942.7</v>
      </c>
      <c r="F309" s="5" t="n">
        <v>3325</v>
      </c>
      <c r="G309" s="5" t="n">
        <v>382</v>
      </c>
      <c r="H309" s="5" t="n">
        <v>3</v>
      </c>
      <c r="I309" s="5" t="inlineStr">
        <is>
          <t>grade_beam</t>
        </is>
      </c>
      <c r="J309" s="5" t="inlineStr">
        <is>
          <t>yes</t>
        </is>
      </c>
      <c r="K309" s="5" t="n">
        <v>382</v>
      </c>
      <c r="L309" s="5" t="n">
        <v>0.22</v>
      </c>
      <c r="M309" s="5" t="n">
        <v>0</v>
      </c>
      <c r="N309" s="5" t="inlineStr">
        <is>
          <t>yes</t>
        </is>
      </c>
    </row>
    <row r="310">
      <c r="A310" s="5" t="n">
        <v>309</v>
      </c>
      <c r="B310" s="5" t="inlineStr">
        <is>
          <t>LG-40x15</t>
        </is>
      </c>
      <c r="C310" s="5" t="inlineStr">
        <is>
          <t>grade_beam</t>
        </is>
      </c>
      <c r="D310" s="5" t="inlineStr">
        <is>
          <t>grade_beam</t>
        </is>
      </c>
      <c r="E310" s="5" t="n">
        <v>4951</v>
      </c>
      <c r="F310" s="5" t="n">
        <v>3149</v>
      </c>
      <c r="G310" s="5" t="n">
        <v>381</v>
      </c>
      <c r="H310" s="5" t="n">
        <v>3</v>
      </c>
      <c r="I310" s="5" t="inlineStr">
        <is>
          <t>grade_beam</t>
        </is>
      </c>
      <c r="J310" s="5" t="inlineStr">
        <is>
          <t>yes</t>
        </is>
      </c>
      <c r="K310" s="5" t="n">
        <v>381</v>
      </c>
      <c r="L310" s="5" t="n">
        <v>0.18</v>
      </c>
      <c r="M310" s="5" t="n">
        <v>0.18</v>
      </c>
      <c r="N310" s="5" t="inlineStr">
        <is>
          <t>yes</t>
        </is>
      </c>
    </row>
    <row r="311">
      <c r="A311" s="5" t="n">
        <v>310</v>
      </c>
      <c r="B311" s="5" t="inlineStr">
        <is>
          <t>LG-40x15</t>
        </is>
      </c>
      <c r="C311" s="5" t="inlineStr">
        <is>
          <t>grade_beam</t>
        </is>
      </c>
      <c r="D311" s="5" t="inlineStr">
        <is>
          <t>grade_beam</t>
        </is>
      </c>
      <c r="E311" s="5" t="n">
        <v>4890.6</v>
      </c>
      <c r="F311" s="5" t="n">
        <v>2989.6</v>
      </c>
      <c r="G311" s="5" t="n">
        <v>375</v>
      </c>
      <c r="H311" s="5" t="n">
        <v>3</v>
      </c>
      <c r="I311" s="5" t="inlineStr">
        <is>
          <t>grade_beam</t>
        </is>
      </c>
      <c r="J311" s="5" t="inlineStr">
        <is>
          <t>yes</t>
        </is>
      </c>
      <c r="K311" s="5" t="n">
        <v>375</v>
      </c>
      <c r="L311" s="5" t="n">
        <v>0.24</v>
      </c>
      <c r="M311" s="5" t="n">
        <v>0</v>
      </c>
      <c r="N311" s="5" t="inlineStr">
        <is>
          <t>yes</t>
        </is>
      </c>
    </row>
    <row r="312">
      <c r="A312" s="5" t="n">
        <v>311</v>
      </c>
      <c r="B312" s="5" t="inlineStr">
        <is>
          <t>LG-40x15</t>
        </is>
      </c>
      <c r="C312" s="5" t="inlineStr">
        <is>
          <t>grade_beam</t>
        </is>
      </c>
      <c r="D312" s="5" t="inlineStr">
        <is>
          <t>grade_beam</t>
        </is>
      </c>
      <c r="E312" s="5" t="n">
        <v>4244.8</v>
      </c>
      <c r="F312" s="5" t="n">
        <v>2707.3</v>
      </c>
      <c r="G312" s="5" t="n">
        <v>267</v>
      </c>
      <c r="H312" s="5" t="n">
        <v>3</v>
      </c>
      <c r="I312" s="5" t="inlineStr">
        <is>
          <t>grade_beam</t>
        </is>
      </c>
      <c r="J312" s="5" t="inlineStr">
        <is>
          <t>yes</t>
        </is>
      </c>
      <c r="K312" s="5" t="n">
        <v>267</v>
      </c>
      <c r="L312" s="5" t="n">
        <v>0.23</v>
      </c>
      <c r="M312" s="5" t="n">
        <v>0</v>
      </c>
      <c r="N312" s="5" t="inlineStr">
        <is>
          <t>yes</t>
        </is>
      </c>
    </row>
    <row r="313">
      <c r="A313" s="5" t="n">
        <v>312</v>
      </c>
      <c r="B313" s="5" t="inlineStr">
        <is>
          <t>LG-40x15</t>
        </is>
      </c>
      <c r="C313" s="5" t="inlineStr">
        <is>
          <t>grade_beam</t>
        </is>
      </c>
      <c r="D313" s="5" t="inlineStr">
        <is>
          <t>grade_beam</t>
        </is>
      </c>
      <c r="E313" s="5" t="n">
        <v>4442.7</v>
      </c>
      <c r="F313" s="5" t="n">
        <v>2708.3</v>
      </c>
      <c r="G313" s="5" t="n">
        <v>267</v>
      </c>
      <c r="H313" s="5" t="n">
        <v>3</v>
      </c>
      <c r="I313" s="5" t="inlineStr">
        <is>
          <t>grade_beam</t>
        </is>
      </c>
      <c r="J313" s="5" t="inlineStr">
        <is>
          <t>yes</t>
        </is>
      </c>
      <c r="K313" s="5" t="n">
        <v>267</v>
      </c>
      <c r="L313" s="5" t="n">
        <v>0.2</v>
      </c>
      <c r="M313" s="5" t="n">
        <v>0</v>
      </c>
      <c r="N313" s="5" t="inlineStr">
        <is>
          <t>yes</t>
        </is>
      </c>
    </row>
    <row r="314">
      <c r="A314" s="5" t="n">
        <v>313</v>
      </c>
      <c r="B314" s="5" t="inlineStr">
        <is>
          <t>LG-40x15</t>
        </is>
      </c>
      <c r="C314" s="5" t="inlineStr">
        <is>
          <t>grade_beam</t>
        </is>
      </c>
      <c r="D314" s="5" t="inlineStr">
        <is>
          <t>grade_beam</t>
        </is>
      </c>
      <c r="E314" s="5" t="n">
        <v>4558.3</v>
      </c>
      <c r="F314" s="5" t="n">
        <v>2786.5</v>
      </c>
      <c r="G314" s="5" t="n">
        <v>259</v>
      </c>
      <c r="H314" s="5" t="n">
        <v>3</v>
      </c>
      <c r="I314" s="5" t="inlineStr">
        <is>
          <t>grade_beam</t>
        </is>
      </c>
      <c r="J314" s="5" t="inlineStr">
        <is>
          <t>yes</t>
        </is>
      </c>
      <c r="K314" s="5" t="n">
        <v>259</v>
      </c>
      <c r="L314" s="5" t="n">
        <v>0.16</v>
      </c>
      <c r="M314" s="5" t="n">
        <v>0.02</v>
      </c>
      <c r="N314" s="5" t="inlineStr">
        <is>
          <t>yes</t>
        </is>
      </c>
    </row>
    <row r="315">
      <c r="A315" s="5" t="n">
        <v>314</v>
      </c>
      <c r="B315" s="5" t="inlineStr">
        <is>
          <t>LG-40x15</t>
        </is>
      </c>
      <c r="C315" s="5" t="inlineStr">
        <is>
          <t>grade_beam</t>
        </is>
      </c>
      <c r="D315" s="5" t="inlineStr">
        <is>
          <t>grade_beam</t>
        </is>
      </c>
      <c r="E315" s="5" t="n">
        <v>4402.1</v>
      </c>
      <c r="F315" s="5" t="n">
        <v>3306.3</v>
      </c>
      <c r="G315" s="5" t="n">
        <v>374</v>
      </c>
      <c r="H315" s="5" t="n">
        <v>3</v>
      </c>
      <c r="I315" s="5" t="inlineStr">
        <is>
          <t>grade_beam</t>
        </is>
      </c>
      <c r="J315" s="5" t="inlineStr">
        <is>
          <t>yes</t>
        </is>
      </c>
      <c r="K315" s="5" t="n">
        <v>374</v>
      </c>
      <c r="L315" s="5" t="n">
        <v>0.24</v>
      </c>
      <c r="M315" s="5" t="n">
        <v>0</v>
      </c>
      <c r="N315" s="5" t="inlineStr">
        <is>
          <t>yes</t>
        </is>
      </c>
    </row>
    <row r="316">
      <c r="A316" s="5" t="n">
        <v>315</v>
      </c>
      <c r="B316" s="5" t="inlineStr">
        <is>
          <t>LG-40x15</t>
        </is>
      </c>
      <c r="C316" s="5" t="inlineStr">
        <is>
          <t>grade_beam</t>
        </is>
      </c>
      <c r="D316" s="5" t="inlineStr">
        <is>
          <t>grade_beam</t>
        </is>
      </c>
      <c r="E316" s="5" t="n">
        <v>4274</v>
      </c>
      <c r="F316" s="5" t="n">
        <v>2882.3</v>
      </c>
      <c r="G316" s="5" t="n">
        <v>278</v>
      </c>
      <c r="H316" s="5" t="n">
        <v>3</v>
      </c>
      <c r="I316" s="5" t="inlineStr">
        <is>
          <t>grade_beam</t>
        </is>
      </c>
      <c r="J316" s="5" t="inlineStr">
        <is>
          <t>yes</t>
        </is>
      </c>
      <c r="K316" s="5" t="n">
        <v>278</v>
      </c>
      <c r="L316" s="5" t="n">
        <v>0.17</v>
      </c>
      <c r="M316" s="5" t="n">
        <v>0.08</v>
      </c>
      <c r="N316" s="5" t="inlineStr">
        <is>
          <t>yes</t>
        </is>
      </c>
    </row>
    <row r="317">
      <c r="A317" s="5" t="n">
        <v>316</v>
      </c>
      <c r="B317" s="5" t="inlineStr">
        <is>
          <t>LG-40x15</t>
        </is>
      </c>
      <c r="C317" s="5" t="inlineStr">
        <is>
          <t>grade_beam</t>
        </is>
      </c>
      <c r="D317" s="5" t="inlineStr">
        <is>
          <t>grade_beam</t>
        </is>
      </c>
      <c r="E317" s="5" t="n">
        <v>4683.3</v>
      </c>
      <c r="F317" s="5" t="n">
        <v>2483.3</v>
      </c>
      <c r="G317" s="5" t="n">
        <v>265</v>
      </c>
      <c r="H317" s="5" t="n">
        <v>3</v>
      </c>
      <c r="I317" s="5" t="inlineStr">
        <is>
          <t>grade_beam</t>
        </is>
      </c>
      <c r="J317" s="5" t="inlineStr">
        <is>
          <t>yes</t>
        </is>
      </c>
      <c r="K317" s="5" t="n">
        <v>265</v>
      </c>
      <c r="L317" s="5" t="n">
        <v>0.33</v>
      </c>
      <c r="M317" s="5" t="n">
        <v>0</v>
      </c>
      <c r="N317" s="5" t="inlineStr">
        <is>
          <t>yes</t>
        </is>
      </c>
    </row>
    <row r="318">
      <c r="A318" s="5" t="n">
        <v>317</v>
      </c>
      <c r="B318" s="5" t="inlineStr">
        <is>
          <t>LG-40x15</t>
        </is>
      </c>
      <c r="C318" s="5" t="inlineStr">
        <is>
          <t>grade_beam</t>
        </is>
      </c>
      <c r="D318" s="5" t="inlineStr">
        <is>
          <t>grade_beam</t>
        </is>
      </c>
      <c r="E318" s="5" t="n">
        <v>4783.3</v>
      </c>
      <c r="F318" s="5" t="n">
        <v>2886.5</v>
      </c>
      <c r="G318" s="5" t="n">
        <v>268</v>
      </c>
      <c r="H318" s="5" t="n">
        <v>3</v>
      </c>
      <c r="I318" s="5" t="inlineStr">
        <is>
          <t>grade_beam</t>
        </is>
      </c>
      <c r="J318" s="5" t="inlineStr">
        <is>
          <t>yes</t>
        </is>
      </c>
      <c r="K318" s="5" t="n">
        <v>268</v>
      </c>
      <c r="L318" s="5" t="n">
        <v>0.16</v>
      </c>
      <c r="M318" s="5" t="n">
        <v>0</v>
      </c>
      <c r="N318" s="5" t="inlineStr">
        <is>
          <t>yes</t>
        </is>
      </c>
    </row>
    <row r="319">
      <c r="A319" s="5" t="n">
        <v>318</v>
      </c>
      <c r="B319" s="5" t="inlineStr">
        <is>
          <t>LG-40x15</t>
        </is>
      </c>
      <c r="C319" s="5" t="inlineStr">
        <is>
          <t>grade_beam</t>
        </is>
      </c>
      <c r="D319" s="5" t="inlineStr">
        <is>
          <t>grade_beam</t>
        </is>
      </c>
      <c r="E319" s="5" t="n">
        <v>3908.3</v>
      </c>
      <c r="F319" s="5" t="n">
        <v>3083.3</v>
      </c>
      <c r="G319" s="5" t="n">
        <v>266</v>
      </c>
      <c r="H319" s="5" t="n">
        <v>3</v>
      </c>
      <c r="I319" s="5" t="inlineStr">
        <is>
          <t>grade_beam</t>
        </is>
      </c>
      <c r="J319" s="5" t="inlineStr">
        <is>
          <t>yes</t>
        </is>
      </c>
      <c r="K319" s="5" t="n">
        <v>266</v>
      </c>
      <c r="L319" s="5" t="n">
        <v>0.2</v>
      </c>
      <c r="M319" s="5" t="n">
        <v>0.22</v>
      </c>
      <c r="N319" s="5" t="inlineStr">
        <is>
          <t>yes</t>
        </is>
      </c>
    </row>
    <row r="320">
      <c r="A320" s="5" t="n">
        <v>319</v>
      </c>
      <c r="B320" s="5" t="inlineStr">
        <is>
          <t>LG-40x15</t>
        </is>
      </c>
      <c r="C320" s="5" t="inlineStr">
        <is>
          <t>grade_beam</t>
        </is>
      </c>
      <c r="D320" s="5" t="inlineStr">
        <is>
          <t>grade_beam</t>
        </is>
      </c>
      <c r="E320" s="5" t="n">
        <v>3762.5</v>
      </c>
      <c r="F320" s="5" t="n">
        <v>2905.2</v>
      </c>
      <c r="G320" s="5" t="n">
        <v>274</v>
      </c>
      <c r="H320" s="5" t="n">
        <v>3</v>
      </c>
      <c r="I320" s="5" t="inlineStr">
        <is>
          <t>grade_beam</t>
        </is>
      </c>
      <c r="J320" s="5" t="inlineStr">
        <is>
          <t>yes</t>
        </is>
      </c>
      <c r="K320" s="5" t="n">
        <v>274</v>
      </c>
      <c r="L320" s="5" t="n">
        <v>0.2</v>
      </c>
      <c r="M320" s="5" t="n">
        <v>0.01</v>
      </c>
      <c r="N320" s="5" t="inlineStr">
        <is>
          <t>yes</t>
        </is>
      </c>
    </row>
    <row r="321">
      <c r="A321" s="5" t="n">
        <v>320</v>
      </c>
      <c r="B321" s="5" t="inlineStr">
        <is>
          <t>LG-40x15</t>
        </is>
      </c>
      <c r="C321" s="5" t="inlineStr">
        <is>
          <t>grade_beam</t>
        </is>
      </c>
      <c r="D321" s="5" t="inlineStr">
        <is>
          <t>grade_beam</t>
        </is>
      </c>
      <c r="E321" s="5" t="n">
        <v>3719.8</v>
      </c>
      <c r="F321" s="5" t="n">
        <v>3107.3</v>
      </c>
      <c r="G321" s="5" t="n">
        <v>438</v>
      </c>
      <c r="H321" s="5" t="n">
        <v>3</v>
      </c>
      <c r="I321" s="5" t="inlineStr">
        <is>
          <t>grade_beam</t>
        </is>
      </c>
      <c r="J321" s="5" t="inlineStr">
        <is>
          <t>yes</t>
        </is>
      </c>
      <c r="K321" s="5" t="n">
        <v>438</v>
      </c>
      <c r="L321" s="5" t="n">
        <v>0.2</v>
      </c>
      <c r="M321" s="5" t="n">
        <v>0</v>
      </c>
      <c r="N321" s="5" t="inlineStr">
        <is>
          <t>yes</t>
        </is>
      </c>
    </row>
    <row r="322">
      <c r="A322" s="5" t="n">
        <v>321</v>
      </c>
      <c r="B322" s="5" t="inlineStr">
        <is>
          <t>LG-40x15</t>
        </is>
      </c>
      <c r="C322" s="5" t="inlineStr">
        <is>
          <t>grade_beam</t>
        </is>
      </c>
      <c r="D322" s="5" t="inlineStr">
        <is>
          <t>grade_beam</t>
        </is>
      </c>
      <c r="E322" s="5" t="n">
        <v>3795.8</v>
      </c>
      <c r="F322" s="5" t="n">
        <v>3522.9</v>
      </c>
      <c r="G322" s="5" t="n">
        <v>438</v>
      </c>
      <c r="H322" s="5" t="n">
        <v>3</v>
      </c>
      <c r="I322" s="5" t="inlineStr">
        <is>
          <t>grade_beam</t>
        </is>
      </c>
      <c r="J322" s="5" t="inlineStr">
        <is>
          <t>yes</t>
        </is>
      </c>
      <c r="K322" s="5" t="n">
        <v>438</v>
      </c>
      <c r="L322" s="5" t="n">
        <v>0.28</v>
      </c>
      <c r="M322" s="5" t="n">
        <v>0.18</v>
      </c>
      <c r="N322" s="5" t="inlineStr">
        <is>
          <t>yes</t>
        </is>
      </c>
    </row>
    <row r="323">
      <c r="A323" s="5" t="n">
        <v>322</v>
      </c>
      <c r="B323" s="5" t="inlineStr">
        <is>
          <t>LG-40x15</t>
        </is>
      </c>
      <c r="C323" s="5" t="inlineStr">
        <is>
          <t>grade_beam</t>
        </is>
      </c>
      <c r="D323" s="5" t="inlineStr">
        <is>
          <t>grade_beam</t>
        </is>
      </c>
      <c r="E323" s="5" t="n">
        <v>3987.5</v>
      </c>
      <c r="F323" s="5" t="n">
        <v>2867.7</v>
      </c>
      <c r="G323" s="5" t="n">
        <v>277</v>
      </c>
      <c r="H323" s="5" t="n">
        <v>3</v>
      </c>
      <c r="I323" s="5" t="inlineStr">
        <is>
          <t>grade_beam</t>
        </is>
      </c>
      <c r="J323" s="5" t="inlineStr">
        <is>
          <t>yes</t>
        </is>
      </c>
      <c r="K323" s="5" t="n">
        <v>277</v>
      </c>
      <c r="L323" s="5" t="n">
        <v>0.21</v>
      </c>
      <c r="M323" s="5" t="n">
        <v>0.06</v>
      </c>
      <c r="N323" s="5" t="inlineStr">
        <is>
          <t>yes</t>
        </is>
      </c>
    </row>
    <row r="324">
      <c r="A324" s="5" t="n">
        <v>323</v>
      </c>
      <c r="B324" s="5" t="inlineStr">
        <is>
          <t>LG-40x15</t>
        </is>
      </c>
      <c r="C324" s="5" t="inlineStr">
        <is>
          <t>grade_beam</t>
        </is>
      </c>
      <c r="D324" s="5" t="inlineStr">
        <is>
          <t>grade_beam</t>
        </is>
      </c>
      <c r="E324" s="5" t="n">
        <v>3955.2</v>
      </c>
      <c r="F324" s="5" t="n">
        <v>3590.6</v>
      </c>
      <c r="G324" s="5" t="n">
        <v>439</v>
      </c>
      <c r="H324" s="5" t="n">
        <v>3</v>
      </c>
      <c r="I324" s="5" t="inlineStr">
        <is>
          <t>grade_beam</t>
        </is>
      </c>
      <c r="J324" s="5" t="inlineStr">
        <is>
          <t>yes</t>
        </is>
      </c>
      <c r="K324" s="5" t="n">
        <v>439</v>
      </c>
      <c r="L324" s="5" t="n">
        <v>0.19</v>
      </c>
      <c r="M324" s="5" t="n">
        <v>0</v>
      </c>
      <c r="N324" s="5" t="inlineStr">
        <is>
          <t>yes</t>
        </is>
      </c>
    </row>
    <row r="325">
      <c r="A325" s="5" t="n">
        <v>324</v>
      </c>
      <c r="B325" s="5" t="inlineStr">
        <is>
          <t>LG-40x15</t>
        </is>
      </c>
      <c r="C325" s="5" t="inlineStr">
        <is>
          <t>grade_beam</t>
        </is>
      </c>
      <c r="D325" s="5" t="inlineStr">
        <is>
          <t>grade_beam</t>
        </is>
      </c>
      <c r="E325" s="5" t="n">
        <v>3900</v>
      </c>
      <c r="F325" s="5" t="n">
        <v>3341.7</v>
      </c>
      <c r="G325" s="5" t="n">
        <v>442</v>
      </c>
      <c r="H325" s="5" t="n">
        <v>3</v>
      </c>
      <c r="I325" s="5" t="inlineStr">
        <is>
          <t>grade_beam</t>
        </is>
      </c>
      <c r="J325" s="5" t="inlineStr">
        <is>
          <t>yes</t>
        </is>
      </c>
      <c r="K325" s="5" t="n">
        <v>442</v>
      </c>
      <c r="L325" s="5" t="n">
        <v>0.19</v>
      </c>
      <c r="M325" s="5" t="n">
        <v>0.06</v>
      </c>
      <c r="N325" s="5" t="inlineStr">
        <is>
          <t>yes</t>
        </is>
      </c>
    </row>
    <row r="326">
      <c r="A326" s="5" t="n">
        <v>325</v>
      </c>
      <c r="B326" s="5" t="inlineStr">
        <is>
          <t>LG-40x15</t>
        </is>
      </c>
      <c r="C326" s="5" t="inlineStr">
        <is>
          <t>grade_beam</t>
        </is>
      </c>
      <c r="D326" s="5" t="inlineStr">
        <is>
          <t>grade_beam</t>
        </is>
      </c>
      <c r="E326" s="5" t="n">
        <v>3849</v>
      </c>
      <c r="F326" s="5" t="n">
        <v>3185.4</v>
      </c>
      <c r="G326" s="5" t="n">
        <v>440</v>
      </c>
      <c r="H326" s="5" t="n">
        <v>3</v>
      </c>
      <c r="I326" s="5" t="inlineStr">
        <is>
          <t>grade_beam</t>
        </is>
      </c>
      <c r="J326" s="5" t="inlineStr">
        <is>
          <t>yes</t>
        </is>
      </c>
      <c r="K326" s="5" t="n">
        <v>440</v>
      </c>
      <c r="L326" s="5" t="n">
        <v>0.15</v>
      </c>
      <c r="M326" s="5" t="n">
        <v>0</v>
      </c>
      <c r="N326" s="5" t="inlineStr">
        <is>
          <t>yes</t>
        </is>
      </c>
    </row>
    <row r="327">
      <c r="A327" s="5" t="n">
        <v>326</v>
      </c>
      <c r="B327" s="5" t="inlineStr">
        <is>
          <t>LG-40x15</t>
        </is>
      </c>
      <c r="C327" s="5" t="inlineStr">
        <is>
          <t>grade_beam</t>
        </is>
      </c>
      <c r="D327" s="5" t="inlineStr">
        <is>
          <t>grade_beam</t>
        </is>
      </c>
      <c r="E327" s="5" t="n">
        <v>4171.9</v>
      </c>
      <c r="F327" s="5" t="n">
        <v>3177.1</v>
      </c>
      <c r="G327" s="5" t="n">
        <v>441</v>
      </c>
      <c r="H327" s="5" t="n">
        <v>3</v>
      </c>
      <c r="I327" s="5" t="inlineStr">
        <is>
          <t>grade_beam</t>
        </is>
      </c>
      <c r="J327" s="5" t="inlineStr">
        <is>
          <t>yes</t>
        </is>
      </c>
      <c r="K327" s="5" t="n">
        <v>441</v>
      </c>
      <c r="L327" s="5" t="n">
        <v>0.15</v>
      </c>
      <c r="M327" s="5" t="n">
        <v>0.12</v>
      </c>
      <c r="N327" s="5" t="inlineStr">
        <is>
          <t>yes</t>
        </is>
      </c>
    </row>
    <row r="328">
      <c r="A328" s="5" t="n">
        <v>327</v>
      </c>
      <c r="B328" s="5" t="inlineStr">
        <is>
          <t>LG-40x15</t>
        </is>
      </c>
      <c r="C328" s="5" t="inlineStr">
        <is>
          <t>grade_beam</t>
        </is>
      </c>
      <c r="D328" s="5" t="inlineStr">
        <is>
          <t>grade_beam</t>
        </is>
      </c>
      <c r="E328" s="5" t="n">
        <v>3882.3</v>
      </c>
      <c r="F328" s="5" t="n">
        <v>2939.6</v>
      </c>
      <c r="G328" s="5" t="n">
        <v>285</v>
      </c>
      <c r="H328" s="5" t="n">
        <v>20</v>
      </c>
      <c r="I328" s="5" t="inlineStr">
        <is>
          <t>unidentified</t>
        </is>
      </c>
      <c r="J328" s="5" t="inlineStr">
        <is>
          <t>unidentified</t>
        </is>
      </c>
      <c r="K328" s="5" t="n">
        <v>263</v>
      </c>
      <c r="L328" s="5" t="n">
        <v>0.19</v>
      </c>
      <c r="M328" s="5" t="n">
        <v>0.17</v>
      </c>
      <c r="N328" s="5" t="inlineStr">
        <is>
          <t>yes</t>
        </is>
      </c>
    </row>
    <row r="329">
      <c r="A329" s="5" t="n">
        <v>328</v>
      </c>
      <c r="B329" s="5" t="inlineStr">
        <is>
          <t>LG-40x15</t>
        </is>
      </c>
      <c r="C329" s="5" t="inlineStr">
        <is>
          <t>grade_beam</t>
        </is>
      </c>
      <c r="D329" s="5" t="inlineStr">
        <is>
          <t>grade_beam</t>
        </is>
      </c>
      <c r="E329" s="5" t="n">
        <v>4120.8</v>
      </c>
      <c r="F329" s="5" t="n">
        <v>2895.8</v>
      </c>
      <c r="G329" s="5" t="n">
        <v>263</v>
      </c>
      <c r="H329" s="5" t="n">
        <v>3</v>
      </c>
      <c r="I329" s="5" t="inlineStr">
        <is>
          <t>grade_beam</t>
        </is>
      </c>
      <c r="J329" s="5" t="inlineStr">
        <is>
          <t>yes</t>
        </is>
      </c>
      <c r="K329" s="5" t="n">
        <v>263</v>
      </c>
      <c r="L329" s="5" t="n">
        <v>0.15</v>
      </c>
      <c r="M329" s="5" t="n">
        <v>0.08</v>
      </c>
      <c r="N329" s="5" t="inlineStr">
        <is>
          <t>yes</t>
        </is>
      </c>
    </row>
    <row r="330">
      <c r="A330" s="5" t="n">
        <v>329</v>
      </c>
      <c r="B330" s="5" t="inlineStr">
        <is>
          <t>LG-40x15</t>
        </is>
      </c>
      <c r="C330" s="5" t="inlineStr">
        <is>
          <t>grade_beam</t>
        </is>
      </c>
      <c r="D330" s="5" t="inlineStr">
        <is>
          <t>grade_beam</t>
        </is>
      </c>
      <c r="E330" s="5" t="n">
        <v>3660.4</v>
      </c>
      <c r="F330" s="5" t="n">
        <v>2970.8</v>
      </c>
      <c r="G330" s="5" t="n">
        <v>270</v>
      </c>
      <c r="H330" s="5" t="n">
        <v>3</v>
      </c>
      <c r="I330" s="5" t="inlineStr">
        <is>
          <t>grade_beam</t>
        </is>
      </c>
      <c r="J330" s="5" t="inlineStr">
        <is>
          <t>yes</t>
        </is>
      </c>
      <c r="K330" s="5" t="n">
        <v>270</v>
      </c>
      <c r="L330" s="5" t="n">
        <v>0.12</v>
      </c>
      <c r="M330" s="5" t="n">
        <v>0</v>
      </c>
      <c r="N330" s="5" t="inlineStr">
        <is>
          <t>yes</t>
        </is>
      </c>
    </row>
    <row r="331">
      <c r="A331" s="5" t="n">
        <v>330</v>
      </c>
      <c r="B331" s="5" t="inlineStr">
        <is>
          <t>LG-40x15</t>
        </is>
      </c>
      <c r="C331" s="5" t="inlineStr">
        <is>
          <t>grade_beam</t>
        </is>
      </c>
      <c r="D331" s="5" t="inlineStr">
        <is>
          <t>grade_beam</t>
        </is>
      </c>
      <c r="E331" s="5" t="n">
        <v>3681.3</v>
      </c>
      <c r="F331" s="5" t="n">
        <v>3215.6</v>
      </c>
      <c r="G331" s="5" t="n">
        <v>440</v>
      </c>
      <c r="H331" s="5" t="n">
        <v>3</v>
      </c>
      <c r="I331" s="5" t="inlineStr">
        <is>
          <t>grade_beam</t>
        </is>
      </c>
      <c r="J331" s="5" t="inlineStr">
        <is>
          <t>yes</t>
        </is>
      </c>
      <c r="K331" s="5" t="n">
        <v>440</v>
      </c>
      <c r="L331" s="5" t="n">
        <v>0.18</v>
      </c>
      <c r="M331" s="5" t="n">
        <v>0</v>
      </c>
      <c r="N331" s="5" t="inlineStr">
        <is>
          <t>yes</t>
        </is>
      </c>
    </row>
    <row r="332">
      <c r="A332" s="5" t="n">
        <v>331</v>
      </c>
      <c r="B332" s="5" t="inlineStr">
        <is>
          <t>LG-40x15</t>
        </is>
      </c>
      <c r="C332" s="5" t="inlineStr">
        <is>
          <t>grade_beam</t>
        </is>
      </c>
      <c r="D332" s="5" t="inlineStr">
        <is>
          <t>grade_beam</t>
        </is>
      </c>
      <c r="E332" s="5" t="n">
        <v>3705.2</v>
      </c>
      <c r="F332" s="5" t="n">
        <v>3437.5</v>
      </c>
      <c r="G332" s="5" t="n">
        <v>443</v>
      </c>
      <c r="H332" s="5" t="n">
        <v>3</v>
      </c>
      <c r="I332" s="5" t="inlineStr">
        <is>
          <t>grade_beam</t>
        </is>
      </c>
      <c r="J332" s="5" t="inlineStr">
        <is>
          <t>yes</t>
        </is>
      </c>
      <c r="K332" s="5" t="n">
        <v>443</v>
      </c>
      <c r="L332" s="5" t="n">
        <v>0.14</v>
      </c>
      <c r="M332" s="5" t="n">
        <v>0</v>
      </c>
      <c r="N332" s="5" t="inlineStr">
        <is>
          <t>yes</t>
        </is>
      </c>
    </row>
    <row r="333">
      <c r="A333" s="5" t="n">
        <v>332</v>
      </c>
      <c r="B333" s="5" t="inlineStr">
        <is>
          <t>LG-40x15</t>
        </is>
      </c>
      <c r="C333" s="5" t="inlineStr">
        <is>
          <t>grade_beam</t>
        </is>
      </c>
      <c r="D333" s="5" t="inlineStr">
        <is>
          <t>grade_beam</t>
        </is>
      </c>
      <c r="E333" s="5" t="n">
        <v>3761.5</v>
      </c>
      <c r="F333" s="5" t="n">
        <v>3627.1</v>
      </c>
      <c r="G333" s="5" t="n">
        <v>439</v>
      </c>
      <c r="H333" s="5" t="n">
        <v>3</v>
      </c>
      <c r="I333" s="5" t="inlineStr">
        <is>
          <t>grade_beam</t>
        </is>
      </c>
      <c r="J333" s="5" t="inlineStr">
        <is>
          <t>yes</t>
        </is>
      </c>
      <c r="K333" s="5" t="n">
        <v>439</v>
      </c>
      <c r="L333" s="5" t="n">
        <v>0.18</v>
      </c>
      <c r="M333" s="5" t="n">
        <v>0</v>
      </c>
      <c r="N333" s="5" t="inlineStr">
        <is>
          <t>yes</t>
        </is>
      </c>
    </row>
    <row r="334">
      <c r="A334" s="5" t="n">
        <v>333</v>
      </c>
      <c r="B334" s="5" t="inlineStr">
        <is>
          <t>LG-40x15</t>
        </is>
      </c>
      <c r="C334" s="5" t="inlineStr">
        <is>
          <t>grade_beam</t>
        </is>
      </c>
      <c r="D334" s="5" t="inlineStr">
        <is>
          <t>grade_beam</t>
        </is>
      </c>
      <c r="E334" s="5" t="n">
        <v>2892.7</v>
      </c>
      <c r="F334" s="5" t="n">
        <v>3141.7</v>
      </c>
      <c r="G334" s="5" t="n">
        <v>550</v>
      </c>
      <c r="H334" s="5" t="n">
        <v>3</v>
      </c>
      <c r="I334" s="5" t="inlineStr">
        <is>
          <t>grade_beam</t>
        </is>
      </c>
      <c r="J334" s="5" t="inlineStr">
        <is>
          <t>yes</t>
        </is>
      </c>
      <c r="K334" s="5" t="n">
        <v>550</v>
      </c>
      <c r="L334" s="5" t="n">
        <v>0.21</v>
      </c>
      <c r="M334" s="5" t="n">
        <v>0</v>
      </c>
      <c r="N334" s="5" t="inlineStr">
        <is>
          <t>no</t>
        </is>
      </c>
    </row>
    <row r="335">
      <c r="A335" s="5" t="n">
        <v>334</v>
      </c>
      <c r="B335" s="5" t="inlineStr">
        <is>
          <t>LG-40x15</t>
        </is>
      </c>
      <c r="C335" s="5" t="inlineStr">
        <is>
          <t>grade_beam</t>
        </is>
      </c>
      <c r="D335" s="5" t="inlineStr">
        <is>
          <t>grade_beam</t>
        </is>
      </c>
      <c r="E335" s="5" t="n">
        <v>2738.5</v>
      </c>
      <c r="F335" s="5" t="n">
        <v>2928.1</v>
      </c>
      <c r="G335" s="5" t="n">
        <v>551</v>
      </c>
      <c r="H335" s="5" t="n">
        <v>3</v>
      </c>
      <c r="I335" s="5" t="inlineStr">
        <is>
          <t>grade_beam</t>
        </is>
      </c>
      <c r="J335" s="5" t="inlineStr">
        <is>
          <t>yes</t>
        </is>
      </c>
      <c r="K335" s="5" t="n">
        <v>551</v>
      </c>
      <c r="L335" s="5" t="n">
        <v>0.18</v>
      </c>
      <c r="M335" s="5" t="n">
        <v>0</v>
      </c>
      <c r="N335" s="5" t="inlineStr">
        <is>
          <t>yes</t>
        </is>
      </c>
    </row>
    <row r="336">
      <c r="A336" s="5" t="n">
        <v>335</v>
      </c>
      <c r="B336" s="5" t="inlineStr">
        <is>
          <t>LG-40x15</t>
        </is>
      </c>
      <c r="C336" s="5" t="inlineStr">
        <is>
          <t>grade_beam</t>
        </is>
      </c>
      <c r="D336" s="5" t="inlineStr">
        <is>
          <t>grade_beam</t>
        </is>
      </c>
      <c r="E336" s="5" t="n">
        <v>2767.7</v>
      </c>
      <c r="F336" s="5" t="n">
        <v>3219.8</v>
      </c>
      <c r="G336" s="5" t="n">
        <v>547</v>
      </c>
      <c r="H336" s="5" t="n">
        <v>3</v>
      </c>
      <c r="I336" s="5" t="inlineStr">
        <is>
          <t>grade_beam</t>
        </is>
      </c>
      <c r="J336" s="5" t="inlineStr">
        <is>
          <t>yes</t>
        </is>
      </c>
      <c r="K336" s="5" t="n">
        <v>547</v>
      </c>
      <c r="L336" s="5" t="n">
        <v>0.08</v>
      </c>
      <c r="M336" s="5" t="n">
        <v>0</v>
      </c>
      <c r="N336" s="5" t="inlineStr">
        <is>
          <t>yes</t>
        </is>
      </c>
    </row>
    <row r="337">
      <c r="A337" s="5" t="n">
        <v>336</v>
      </c>
      <c r="B337" s="5" t="inlineStr">
        <is>
          <t>LG-40x15</t>
        </is>
      </c>
      <c r="C337" s="5" t="inlineStr">
        <is>
          <t>grade_beam</t>
        </is>
      </c>
      <c r="D337" s="5" t="inlineStr">
        <is>
          <t>grade_beam</t>
        </is>
      </c>
      <c r="E337" s="5" t="n">
        <v>3175</v>
      </c>
      <c r="F337" s="5" t="n">
        <v>3192.7</v>
      </c>
      <c r="G337" s="5" t="n">
        <v>520</v>
      </c>
      <c r="H337" s="5" t="n">
        <v>3</v>
      </c>
      <c r="I337" s="5" t="inlineStr">
        <is>
          <t>grade_beam</t>
        </is>
      </c>
      <c r="J337" s="5" t="inlineStr">
        <is>
          <t>yes</t>
        </is>
      </c>
      <c r="K337" s="5" t="n">
        <v>520</v>
      </c>
      <c r="L337" s="5" t="n">
        <v>0.23</v>
      </c>
      <c r="M337" s="5" t="n">
        <v>0.02</v>
      </c>
      <c r="N337" s="5" t="inlineStr">
        <is>
          <t>yes</t>
        </is>
      </c>
    </row>
    <row r="338">
      <c r="A338" s="5" t="n">
        <v>337</v>
      </c>
      <c r="B338" s="5" t="inlineStr">
        <is>
          <t>LG-40x15</t>
        </is>
      </c>
      <c r="C338" s="5" t="inlineStr">
        <is>
          <t>grade_beam</t>
        </is>
      </c>
      <c r="D338" s="5" t="inlineStr">
        <is>
          <t>grade_beam</t>
        </is>
      </c>
      <c r="E338" s="5" t="n">
        <v>3381.3</v>
      </c>
      <c r="F338" s="5" t="n">
        <v>3174</v>
      </c>
      <c r="G338" s="5" t="n">
        <v>518</v>
      </c>
      <c r="H338" s="5" t="n">
        <v>3</v>
      </c>
      <c r="I338" s="5" t="inlineStr">
        <is>
          <t>grade_beam</t>
        </is>
      </c>
      <c r="J338" s="5" t="inlineStr">
        <is>
          <t>yes</t>
        </is>
      </c>
      <c r="K338" s="5" t="n">
        <v>518</v>
      </c>
      <c r="L338" s="5" t="n">
        <v>0.22</v>
      </c>
      <c r="M338" s="5" t="n">
        <v>0</v>
      </c>
      <c r="N338" s="5" t="inlineStr">
        <is>
          <t>yes</t>
        </is>
      </c>
    </row>
    <row r="339">
      <c r="A339" s="5" t="n">
        <v>338</v>
      </c>
      <c r="B339" s="5" t="inlineStr">
        <is>
          <t>LG-40x15</t>
        </is>
      </c>
      <c r="C339" s="5" t="inlineStr">
        <is>
          <t>grade_beam</t>
        </is>
      </c>
      <c r="D339" s="5" t="inlineStr">
        <is>
          <t>grade_beam</t>
        </is>
      </c>
      <c r="E339" s="5" t="n">
        <v>2929.2</v>
      </c>
      <c r="F339" s="5" t="n">
        <v>3025</v>
      </c>
      <c r="G339" s="5" t="n">
        <v>549</v>
      </c>
      <c r="H339" s="5" t="n">
        <v>3</v>
      </c>
      <c r="I339" s="5" t="inlineStr">
        <is>
          <t>grade_beam</t>
        </is>
      </c>
      <c r="J339" s="5" t="inlineStr">
        <is>
          <t>yes</t>
        </is>
      </c>
      <c r="K339" s="5" t="n">
        <v>549</v>
      </c>
      <c r="L339" s="5" t="n">
        <v>0.21</v>
      </c>
      <c r="M339" s="5" t="n">
        <v>0.02</v>
      </c>
      <c r="N339" s="5" t="inlineStr">
        <is>
          <t>yes</t>
        </is>
      </c>
    </row>
    <row r="340">
      <c r="A340" s="5" t="n">
        <v>339</v>
      </c>
      <c r="B340" s="5" t="inlineStr">
        <is>
          <t>LG-40x15</t>
        </is>
      </c>
      <c r="C340" s="5" t="inlineStr">
        <is>
          <t>grade_beam</t>
        </is>
      </c>
      <c r="D340" s="5" t="inlineStr">
        <is>
          <t>grade_beam</t>
        </is>
      </c>
      <c r="E340" s="5" t="n">
        <v>3180.2</v>
      </c>
      <c r="F340" s="5" t="n">
        <v>3051</v>
      </c>
      <c r="G340" s="5" t="n">
        <v>519</v>
      </c>
      <c r="H340" s="5" t="n">
        <v>3</v>
      </c>
      <c r="I340" s="5" t="inlineStr">
        <is>
          <t>grade_beam</t>
        </is>
      </c>
      <c r="J340" s="5" t="inlineStr">
        <is>
          <t>yes</t>
        </is>
      </c>
      <c r="K340" s="5" t="n">
        <v>519</v>
      </c>
      <c r="L340" s="5" t="n">
        <v>0.19</v>
      </c>
      <c r="M340" s="5" t="n">
        <v>0.01</v>
      </c>
      <c r="N340" s="5" t="inlineStr">
        <is>
          <t>yes</t>
        </is>
      </c>
    </row>
    <row r="341">
      <c r="A341" s="5" t="n">
        <v>340</v>
      </c>
      <c r="B341" s="5" t="inlineStr">
        <is>
          <t>LG-40x15</t>
        </is>
      </c>
      <c r="C341" s="5" t="inlineStr">
        <is>
          <t>grade_beam</t>
        </is>
      </c>
      <c r="D341" s="5" t="inlineStr">
        <is>
          <t>grade_beam</t>
        </is>
      </c>
      <c r="E341" s="5" t="n">
        <v>3436.5</v>
      </c>
      <c r="F341" s="5" t="n">
        <v>3002.1</v>
      </c>
      <c r="G341" s="5" t="n">
        <v>521</v>
      </c>
      <c r="H341" s="5" t="n">
        <v>3</v>
      </c>
      <c r="I341" s="5" t="inlineStr">
        <is>
          <t>grade_beam</t>
        </is>
      </c>
      <c r="J341" s="5" t="inlineStr">
        <is>
          <t>yes</t>
        </is>
      </c>
      <c r="K341" s="5" t="n">
        <v>521</v>
      </c>
      <c r="L341" s="5" t="n">
        <v>0.18</v>
      </c>
      <c r="M341" s="5" t="n">
        <v>0</v>
      </c>
      <c r="N341" s="5" t="inlineStr">
        <is>
          <t>yes</t>
        </is>
      </c>
    </row>
    <row r="342">
      <c r="A342" s="5" t="n">
        <v>341</v>
      </c>
      <c r="B342" s="5" t="inlineStr">
        <is>
          <t>LG-40x15</t>
        </is>
      </c>
      <c r="C342" s="5" t="inlineStr">
        <is>
          <t>grade_beam</t>
        </is>
      </c>
      <c r="D342" s="5" t="inlineStr">
        <is>
          <t>grade_beam</t>
        </is>
      </c>
      <c r="E342" s="5" t="n">
        <v>3074</v>
      </c>
      <c r="F342" s="5" t="n">
        <v>3021.9</v>
      </c>
      <c r="G342" s="5" t="n">
        <v>545</v>
      </c>
      <c r="H342" s="5" t="n">
        <v>3</v>
      </c>
      <c r="I342" s="5" t="inlineStr">
        <is>
          <t>grade_beam</t>
        </is>
      </c>
      <c r="J342" s="5" t="inlineStr">
        <is>
          <t>yes</t>
        </is>
      </c>
      <c r="K342" s="5" t="n">
        <v>545</v>
      </c>
      <c r="L342" s="5" t="n">
        <v>0.16</v>
      </c>
      <c r="M342" s="5" t="n">
        <v>0.01</v>
      </c>
      <c r="N342" s="5" t="inlineStr">
        <is>
          <t>yes</t>
        </is>
      </c>
    </row>
    <row r="343">
      <c r="A343" s="5" t="n">
        <v>342</v>
      </c>
      <c r="B343" s="5" t="inlineStr">
        <is>
          <t>LG-40x15</t>
        </is>
      </c>
      <c r="C343" s="5" t="inlineStr">
        <is>
          <t>grade_beam</t>
        </is>
      </c>
      <c r="D343" s="5" t="inlineStr">
        <is>
          <t>grade_beam</t>
        </is>
      </c>
      <c r="E343" s="5" t="n">
        <v>2884.4</v>
      </c>
      <c r="F343" s="5" t="n">
        <v>2911.5</v>
      </c>
      <c r="G343" s="5" t="n">
        <v>552</v>
      </c>
      <c r="H343" s="5" t="n">
        <v>3</v>
      </c>
      <c r="I343" s="5" t="inlineStr">
        <is>
          <t>grade_beam</t>
        </is>
      </c>
      <c r="J343" s="5" t="inlineStr">
        <is>
          <t>yes</t>
        </is>
      </c>
      <c r="K343" s="5" t="n">
        <v>552</v>
      </c>
      <c r="L343" s="5" t="n">
        <v>0.18</v>
      </c>
      <c r="M343" s="5" t="n">
        <v>0.05</v>
      </c>
      <c r="N343" s="5" t="inlineStr">
        <is>
          <t>yes</t>
        </is>
      </c>
    </row>
    <row r="344">
      <c r="A344" s="5" t="n">
        <v>343</v>
      </c>
      <c r="B344" s="5" t="inlineStr">
        <is>
          <t>LG-40x15</t>
        </is>
      </c>
      <c r="C344" s="5" t="inlineStr">
        <is>
          <t>grade_beam</t>
        </is>
      </c>
      <c r="D344" s="5" t="inlineStr">
        <is>
          <t>grade_beam</t>
        </is>
      </c>
      <c r="E344" s="5" t="n">
        <v>2604.2</v>
      </c>
      <c r="F344" s="5" t="n">
        <v>3134.4</v>
      </c>
      <c r="G344" s="5" t="n">
        <v>547</v>
      </c>
      <c r="H344" s="5" t="n">
        <v>3</v>
      </c>
      <c r="I344" s="5" t="inlineStr">
        <is>
          <t>grade_beam</t>
        </is>
      </c>
      <c r="J344" s="5" t="inlineStr">
        <is>
          <t>yes</t>
        </is>
      </c>
      <c r="K344" s="5" t="n">
        <v>547</v>
      </c>
      <c r="L344" s="5" t="n">
        <v>0.18</v>
      </c>
      <c r="M344" s="5" t="n">
        <v>0</v>
      </c>
      <c r="N344" s="5" t="inlineStr">
        <is>
          <t>yes</t>
        </is>
      </c>
    </row>
    <row r="345">
      <c r="A345" s="5" t="n">
        <v>344</v>
      </c>
      <c r="B345" s="5" t="inlineStr">
        <is>
          <t>LG-40x15</t>
        </is>
      </c>
      <c r="C345" s="5" t="inlineStr">
        <is>
          <t>grade_beam</t>
        </is>
      </c>
      <c r="D345" s="5" t="inlineStr">
        <is>
          <t>grade_beam</t>
        </is>
      </c>
      <c r="E345" s="5" t="n">
        <v>3488.5</v>
      </c>
      <c r="F345" s="5" t="n">
        <v>3237.5</v>
      </c>
      <c r="G345" s="5" t="n">
        <v>517</v>
      </c>
      <c r="H345" s="5" t="n">
        <v>3</v>
      </c>
      <c r="I345" s="5" t="inlineStr">
        <is>
          <t>grade_beam</t>
        </is>
      </c>
      <c r="J345" s="5" t="inlineStr">
        <is>
          <t>yes</t>
        </is>
      </c>
      <c r="K345" s="5" t="n">
        <v>517</v>
      </c>
      <c r="L345" s="5" t="n">
        <v>0.17</v>
      </c>
      <c r="M345" s="5" t="n">
        <v>0</v>
      </c>
      <c r="N345" s="5" t="inlineStr">
        <is>
          <t>yes</t>
        </is>
      </c>
    </row>
    <row r="346">
      <c r="A346" s="5" t="n">
        <v>345</v>
      </c>
      <c r="B346" s="5" t="inlineStr">
        <is>
          <t>LG-40x15</t>
        </is>
      </c>
      <c r="C346" s="5" t="inlineStr">
        <is>
          <t>grade_beam</t>
        </is>
      </c>
      <c r="D346" s="5" t="inlineStr">
        <is>
          <t>grade_beam</t>
        </is>
      </c>
      <c r="E346" s="5" t="n">
        <v>3402.1</v>
      </c>
      <c r="F346" s="5" t="n">
        <v>3425</v>
      </c>
      <c r="G346" s="5" t="n">
        <v>518</v>
      </c>
      <c r="H346" s="5" t="n">
        <v>3</v>
      </c>
      <c r="I346" s="5" t="inlineStr">
        <is>
          <t>grade_beam</t>
        </is>
      </c>
      <c r="J346" s="5" t="inlineStr">
        <is>
          <t>yes</t>
        </is>
      </c>
      <c r="K346" s="5" t="n">
        <v>518</v>
      </c>
      <c r="L346" s="5" t="n">
        <v>0.24</v>
      </c>
      <c r="M346" s="5" t="n">
        <v>0.04</v>
      </c>
      <c r="N346" s="5" t="inlineStr">
        <is>
          <t>yes</t>
        </is>
      </c>
    </row>
    <row r="347">
      <c r="A347" s="5" t="n">
        <v>346</v>
      </c>
      <c r="B347" s="5" t="inlineStr">
        <is>
          <t>LG-40x15</t>
        </is>
      </c>
      <c r="C347" s="5" t="inlineStr">
        <is>
          <t>grade_beam</t>
        </is>
      </c>
      <c r="D347" s="5" t="inlineStr">
        <is>
          <t>grade_beam</t>
        </is>
      </c>
      <c r="E347" s="5" t="n">
        <v>2482.3</v>
      </c>
      <c r="F347" s="5" t="n">
        <v>3192.7</v>
      </c>
      <c r="G347" s="5" t="n">
        <v>546</v>
      </c>
      <c r="H347" s="5" t="n">
        <v>3</v>
      </c>
      <c r="I347" s="5" t="inlineStr">
        <is>
          <t>grade_beam</t>
        </is>
      </c>
      <c r="J347" s="5" t="inlineStr">
        <is>
          <t>yes</t>
        </is>
      </c>
      <c r="K347" s="5" t="n">
        <v>546</v>
      </c>
      <c r="L347" s="5" t="n">
        <v>0.14</v>
      </c>
      <c r="M347" s="5" t="n">
        <v>0.03</v>
      </c>
      <c r="N347" s="5" t="inlineStr">
        <is>
          <t>yes</t>
        </is>
      </c>
    </row>
    <row r="348">
      <c r="A348" s="5" t="n">
        <v>347</v>
      </c>
      <c r="B348" s="5" t="inlineStr">
        <is>
          <t>LG-40x15</t>
        </is>
      </c>
      <c r="C348" s="5" t="inlineStr">
        <is>
          <t>grade_beam</t>
        </is>
      </c>
      <c r="D348" s="5" t="inlineStr">
        <is>
          <t>grade_beam</t>
        </is>
      </c>
      <c r="E348" s="5" t="n">
        <v>2730.2</v>
      </c>
      <c r="F348" s="5" t="n">
        <v>3059.4</v>
      </c>
      <c r="G348" s="5" t="n">
        <v>548</v>
      </c>
      <c r="H348" s="5" t="n">
        <v>3</v>
      </c>
      <c r="I348" s="5" t="inlineStr">
        <is>
          <t>grade_beam</t>
        </is>
      </c>
      <c r="J348" s="5" t="inlineStr">
        <is>
          <t>yes</t>
        </is>
      </c>
      <c r="K348" s="5" t="n">
        <v>548</v>
      </c>
      <c r="L348" s="5" t="n">
        <v>0.21</v>
      </c>
      <c r="M348" s="5" t="n">
        <v>0</v>
      </c>
      <c r="N348" s="5" t="inlineStr">
        <is>
          <t>no</t>
        </is>
      </c>
    </row>
    <row r="349">
      <c r="A349" s="5" t="n">
        <v>348</v>
      </c>
      <c r="B349" s="5" t="inlineStr">
        <is>
          <t>LG-40x15</t>
        </is>
      </c>
      <c r="C349" s="5" t="inlineStr">
        <is>
          <t>grade_beam</t>
        </is>
      </c>
      <c r="D349" s="5" t="inlineStr">
        <is>
          <t>grade_beam</t>
        </is>
      </c>
      <c r="E349" s="5" t="n">
        <v>2586.5</v>
      </c>
      <c r="F349" s="5" t="n">
        <v>2988.5</v>
      </c>
      <c r="G349" s="5" t="n">
        <v>546</v>
      </c>
      <c r="H349" s="5" t="n">
        <v>3</v>
      </c>
      <c r="I349" s="5" t="inlineStr">
        <is>
          <t>grade_beam</t>
        </is>
      </c>
      <c r="J349" s="5" t="inlineStr">
        <is>
          <t>yes</t>
        </is>
      </c>
      <c r="K349" s="5" t="n">
        <v>546</v>
      </c>
      <c r="L349" s="5" t="n">
        <v>0.19</v>
      </c>
      <c r="M349" s="5" t="n">
        <v>0</v>
      </c>
      <c r="N349" s="5" t="inlineStr">
        <is>
          <t>no</t>
        </is>
      </c>
    </row>
    <row r="350">
      <c r="A350" s="5" t="n">
        <v>349</v>
      </c>
      <c r="B350" s="5" t="inlineStr">
        <is>
          <t>LG-40x15</t>
        </is>
      </c>
      <c r="C350" s="5" t="inlineStr">
        <is>
          <t>grade_beam</t>
        </is>
      </c>
      <c r="D350" s="5" t="inlineStr">
        <is>
          <t>grade_beam</t>
        </is>
      </c>
      <c r="E350" s="5" t="n">
        <v>3275</v>
      </c>
      <c r="F350" s="5" t="n">
        <v>2988.5</v>
      </c>
      <c r="G350" s="5" t="n">
        <v>522</v>
      </c>
      <c r="H350" s="5" t="n">
        <v>3</v>
      </c>
      <c r="I350" s="5" t="inlineStr">
        <is>
          <t>grade_beam</t>
        </is>
      </c>
      <c r="J350" s="5" t="inlineStr">
        <is>
          <t>yes</t>
        </is>
      </c>
      <c r="K350" s="5" t="n">
        <v>522</v>
      </c>
      <c r="L350" s="5" t="n">
        <v>0.21</v>
      </c>
      <c r="M350" s="5" t="n">
        <v>0.2</v>
      </c>
      <c r="N350" s="5" t="inlineStr">
        <is>
          <t>yes</t>
        </is>
      </c>
    </row>
    <row r="351">
      <c r="A351" s="5" t="n">
        <v>350</v>
      </c>
      <c r="B351" s="5" t="inlineStr">
        <is>
          <t>LG-40x15</t>
        </is>
      </c>
      <c r="C351" s="5" t="inlineStr">
        <is>
          <t>grade_beam</t>
        </is>
      </c>
      <c r="D351" s="5" t="inlineStr">
        <is>
          <t>grade_beam</t>
        </is>
      </c>
      <c r="E351" s="5" t="n">
        <v>3299</v>
      </c>
      <c r="F351" s="5" t="n">
        <v>3274</v>
      </c>
      <c r="G351" s="5" t="n">
        <v>517</v>
      </c>
      <c r="H351" s="5" t="n">
        <v>3</v>
      </c>
      <c r="I351" s="5" t="inlineStr">
        <is>
          <t>grade_beam</t>
        </is>
      </c>
      <c r="J351" s="5" t="inlineStr">
        <is>
          <t>yes</t>
        </is>
      </c>
      <c r="K351" s="5" t="n">
        <v>517</v>
      </c>
      <c r="L351" s="5" t="n">
        <v>0.15</v>
      </c>
      <c r="M351" s="5" t="n">
        <v>0</v>
      </c>
      <c r="N351" s="5" t="inlineStr">
        <is>
          <t>yes</t>
        </is>
      </c>
    </row>
    <row r="352">
      <c r="A352" s="5" t="n">
        <v>351</v>
      </c>
      <c r="B352" s="5" t="inlineStr">
        <is>
          <t>LG-40x15</t>
        </is>
      </c>
      <c r="C352" s="5" t="inlineStr">
        <is>
          <t>grade_beam</t>
        </is>
      </c>
      <c r="D352" s="5" t="inlineStr">
        <is>
          <t>grade_beam</t>
        </is>
      </c>
      <c r="E352" s="5" t="n">
        <v>3125</v>
      </c>
      <c r="F352" s="5" t="n">
        <v>3305.2</v>
      </c>
      <c r="G352" s="5" t="n">
        <v>517</v>
      </c>
      <c r="H352" s="5" t="n">
        <v>3</v>
      </c>
      <c r="I352" s="5" t="inlineStr">
        <is>
          <t>grade_beam</t>
        </is>
      </c>
      <c r="J352" s="5" t="inlineStr">
        <is>
          <t>yes</t>
        </is>
      </c>
      <c r="K352" s="5" t="n">
        <v>517</v>
      </c>
      <c r="L352" s="5" t="n">
        <v>0.2</v>
      </c>
      <c r="M352" s="5" t="n">
        <v>0</v>
      </c>
      <c r="N352" s="5" t="inlineStr">
        <is>
          <t>yes</t>
        </is>
      </c>
    </row>
    <row r="353">
      <c r="A353" s="5" t="n">
        <v>352</v>
      </c>
      <c r="B353" s="5" t="inlineStr">
        <is>
          <t>LG-40x15</t>
        </is>
      </c>
      <c r="C353" s="5" t="inlineStr">
        <is>
          <t>grade_beam</t>
        </is>
      </c>
      <c r="D353" s="5" t="inlineStr">
        <is>
          <t>grade_beam</t>
        </is>
      </c>
      <c r="E353" s="5" t="n">
        <v>2463.5</v>
      </c>
      <c r="F353" s="5" t="n">
        <v>2796.9</v>
      </c>
      <c r="G353" s="5" t="n">
        <v>599</v>
      </c>
      <c r="H353" s="5" t="n">
        <v>3</v>
      </c>
      <c r="I353" s="5" t="inlineStr">
        <is>
          <t>grade_beam</t>
        </is>
      </c>
      <c r="J353" s="5" t="inlineStr">
        <is>
          <t>yes</t>
        </is>
      </c>
      <c r="K353" s="5" t="n">
        <v>599</v>
      </c>
      <c r="L353" s="5" t="n">
        <v>0.18</v>
      </c>
      <c r="M353" s="5" t="n">
        <v>0.01</v>
      </c>
      <c r="N353" s="5" t="inlineStr">
        <is>
          <t>yes</t>
        </is>
      </c>
    </row>
    <row r="354">
      <c r="A354" s="5" t="n">
        <v>353</v>
      </c>
      <c r="B354" s="5" t="inlineStr">
        <is>
          <t>LG-40x15</t>
        </is>
      </c>
      <c r="C354" s="5" t="inlineStr">
        <is>
          <t>grade_beam</t>
        </is>
      </c>
      <c r="D354" s="5" t="inlineStr">
        <is>
          <t>grade_beam</t>
        </is>
      </c>
      <c r="E354" s="5" t="n">
        <v>2165.6</v>
      </c>
      <c r="F354" s="5" t="n">
        <v>2911.5</v>
      </c>
      <c r="G354" s="5" t="n">
        <v>598</v>
      </c>
      <c r="H354" s="5" t="n">
        <v>3</v>
      </c>
      <c r="I354" s="5" t="inlineStr">
        <is>
          <t>grade_beam</t>
        </is>
      </c>
      <c r="J354" s="5" t="inlineStr">
        <is>
          <t>yes</t>
        </is>
      </c>
      <c r="K354" s="5" t="n">
        <v>598</v>
      </c>
      <c r="L354" s="5" t="n">
        <v>0.18</v>
      </c>
      <c r="M354" s="5" t="n">
        <v>0</v>
      </c>
      <c r="N354" s="5" t="inlineStr">
        <is>
          <t>no</t>
        </is>
      </c>
    </row>
    <row r="355">
      <c r="A355" s="5" t="n">
        <v>354</v>
      </c>
      <c r="B355" s="5" t="inlineStr">
        <is>
          <t>LG-40x15</t>
        </is>
      </c>
      <c r="C355" s="5" t="inlineStr">
        <is>
          <t>grade_beam</t>
        </is>
      </c>
      <c r="D355" s="5" t="inlineStr">
        <is>
          <t>grade_beam</t>
        </is>
      </c>
      <c r="E355" s="5" t="n">
        <v>2557.3</v>
      </c>
      <c r="F355" s="5" t="n">
        <v>2965.6</v>
      </c>
      <c r="G355" s="5" t="n">
        <v>601</v>
      </c>
      <c r="H355" s="5" t="n">
        <v>3</v>
      </c>
      <c r="I355" s="5" t="inlineStr">
        <is>
          <t>grade_beam</t>
        </is>
      </c>
      <c r="J355" s="5" t="inlineStr">
        <is>
          <t>yes</t>
        </is>
      </c>
      <c r="K355" s="5" t="n">
        <v>601</v>
      </c>
      <c r="L355" s="5" t="n">
        <v>0.14</v>
      </c>
      <c r="M355" s="5" t="n">
        <v>0</v>
      </c>
      <c r="N355" s="5" t="inlineStr">
        <is>
          <t>yes</t>
        </is>
      </c>
    </row>
    <row r="356">
      <c r="A356" s="5" t="n">
        <v>355</v>
      </c>
      <c r="B356" s="5" t="inlineStr">
        <is>
          <t>LG-40x15</t>
        </is>
      </c>
      <c r="C356" s="5" t="inlineStr">
        <is>
          <t>grade_beam</t>
        </is>
      </c>
      <c r="D356" s="5" t="inlineStr">
        <is>
          <t>grade_beam</t>
        </is>
      </c>
      <c r="E356" s="5" t="n">
        <v>2436.5</v>
      </c>
      <c r="F356" s="5" t="n">
        <v>2682.3</v>
      </c>
      <c r="G356" s="5" t="n">
        <v>587</v>
      </c>
      <c r="H356" s="5" t="n">
        <v>19</v>
      </c>
      <c r="I356" s="5" t="inlineStr">
        <is>
          <t>isolated_footing</t>
        </is>
      </c>
      <c r="J356" s="5" t="inlineStr">
        <is>
          <t>no</t>
        </is>
      </c>
      <c r="K356" s="5" t="n">
        <v>602</v>
      </c>
      <c r="L356" s="5" t="n">
        <v>0.21</v>
      </c>
      <c r="M356" s="5" t="n">
        <v>0</v>
      </c>
      <c r="N356" s="5" t="inlineStr">
        <is>
          <t>no</t>
        </is>
      </c>
    </row>
    <row r="357">
      <c r="A357" s="5" t="n">
        <v>356</v>
      </c>
      <c r="B357" s="5" t="inlineStr">
        <is>
          <t>LG-40x15</t>
        </is>
      </c>
      <c r="C357" s="5" t="inlineStr">
        <is>
          <t>grade_beam</t>
        </is>
      </c>
      <c r="D357" s="5" t="inlineStr">
        <is>
          <t>grade_beam</t>
        </is>
      </c>
      <c r="E357" s="5" t="n">
        <v>2644.8</v>
      </c>
      <c r="F357" s="5" t="n">
        <v>2786.5</v>
      </c>
      <c r="G357" s="5" t="n">
        <v>601</v>
      </c>
      <c r="H357" s="5" t="n">
        <v>3</v>
      </c>
      <c r="I357" s="5" t="inlineStr">
        <is>
          <t>grade_beam</t>
        </is>
      </c>
      <c r="J357" s="5" t="inlineStr">
        <is>
          <t>yes</t>
        </is>
      </c>
      <c r="K357" s="5" t="n">
        <v>601</v>
      </c>
      <c r="L357" s="5" t="n">
        <v>0.21</v>
      </c>
      <c r="M357" s="5" t="n">
        <v>0</v>
      </c>
      <c r="N357" s="5" t="inlineStr">
        <is>
          <t>no</t>
        </is>
      </c>
    </row>
    <row r="358">
      <c r="A358" s="5" t="n">
        <v>357</v>
      </c>
      <c r="B358" s="5" t="inlineStr">
        <is>
          <t>LG-40x15</t>
        </is>
      </c>
      <c r="C358" s="5" t="inlineStr">
        <is>
          <t>grade_beam</t>
        </is>
      </c>
      <c r="D358" s="5" t="inlineStr">
        <is>
          <t>grade_beam</t>
        </is>
      </c>
      <c r="E358" s="5" t="n">
        <v>1965.6</v>
      </c>
      <c r="F358" s="5" t="n">
        <v>2944.8</v>
      </c>
      <c r="G358" s="5" t="n">
        <v>604</v>
      </c>
      <c r="H358" s="5" t="n">
        <v>3</v>
      </c>
      <c r="I358" s="5" t="inlineStr">
        <is>
          <t>grade_beam</t>
        </is>
      </c>
      <c r="J358" s="5" t="inlineStr">
        <is>
          <t>yes</t>
        </is>
      </c>
      <c r="K358" s="5" t="n">
        <v>604</v>
      </c>
      <c r="L358" s="5" t="n">
        <v>0.27</v>
      </c>
      <c r="M358" s="5" t="n">
        <v>0</v>
      </c>
      <c r="N358" s="5" t="inlineStr">
        <is>
          <t>yes</t>
        </is>
      </c>
    </row>
    <row r="359">
      <c r="A359" s="5" t="n">
        <v>358</v>
      </c>
      <c r="B359" s="5" t="inlineStr">
        <is>
          <t>LG-40x15</t>
        </is>
      </c>
      <c r="C359" s="5" t="inlineStr">
        <is>
          <t>grade_beam</t>
        </is>
      </c>
      <c r="D359" s="5" t="inlineStr">
        <is>
          <t>grade_beam</t>
        </is>
      </c>
      <c r="E359" s="5" t="n">
        <v>1815.6</v>
      </c>
      <c r="F359" s="5" t="n">
        <v>2863.5</v>
      </c>
      <c r="G359" s="5" t="n">
        <v>600</v>
      </c>
      <c r="H359" s="5" t="n">
        <v>3</v>
      </c>
      <c r="I359" s="5" t="inlineStr">
        <is>
          <t>grade_beam</t>
        </is>
      </c>
      <c r="J359" s="5" t="inlineStr">
        <is>
          <t>yes</t>
        </is>
      </c>
      <c r="K359" s="5" t="n">
        <v>600</v>
      </c>
      <c r="L359" s="5" t="n">
        <v>0.18</v>
      </c>
      <c r="M359" s="5" t="n">
        <v>0.03</v>
      </c>
      <c r="N359" s="5" t="inlineStr">
        <is>
          <t>yes</t>
        </is>
      </c>
    </row>
    <row r="360">
      <c r="A360" s="5" t="n">
        <v>359</v>
      </c>
      <c r="B360" s="5" t="inlineStr">
        <is>
          <t>LG-40x15</t>
        </is>
      </c>
      <c r="C360" s="5" t="inlineStr">
        <is>
          <t>grade_beam</t>
        </is>
      </c>
      <c r="D360" s="5" t="inlineStr">
        <is>
          <t>grade_beam</t>
        </is>
      </c>
      <c r="E360" s="5" t="n">
        <v>2019.8</v>
      </c>
      <c r="F360" s="5" t="n">
        <v>2455.2</v>
      </c>
      <c r="G360" s="5" t="n">
        <v>600</v>
      </c>
      <c r="H360" s="5" t="n">
        <v>3</v>
      </c>
      <c r="I360" s="5" t="inlineStr">
        <is>
          <t>grade_beam</t>
        </is>
      </c>
      <c r="J360" s="5" t="inlineStr">
        <is>
          <t>yes</t>
        </is>
      </c>
      <c r="K360" s="5" t="n">
        <v>600</v>
      </c>
      <c r="L360" s="5" t="n">
        <v>0.16</v>
      </c>
      <c r="M360" s="5" t="n">
        <v>0</v>
      </c>
      <c r="N360" s="5" t="inlineStr">
        <is>
          <t>no</t>
        </is>
      </c>
    </row>
    <row r="361">
      <c r="A361" s="5" t="n">
        <v>360</v>
      </c>
      <c r="B361" s="5" t="inlineStr">
        <is>
          <t>LG-40x15</t>
        </is>
      </c>
      <c r="C361" s="5" t="inlineStr">
        <is>
          <t>grade_beam</t>
        </is>
      </c>
      <c r="D361" s="5" t="inlineStr">
        <is>
          <t>grade_beam</t>
        </is>
      </c>
      <c r="E361" s="5" t="n">
        <v>2276</v>
      </c>
      <c r="F361" s="5" t="n">
        <v>3074</v>
      </c>
      <c r="G361" s="5" t="n">
        <v>607</v>
      </c>
      <c r="H361" s="5" t="n">
        <v>3</v>
      </c>
      <c r="I361" s="5" t="inlineStr">
        <is>
          <t>grade_beam</t>
        </is>
      </c>
      <c r="J361" s="5" t="inlineStr">
        <is>
          <t>yes</t>
        </is>
      </c>
      <c r="K361" s="5" t="n">
        <v>607</v>
      </c>
      <c r="L361" s="5" t="n">
        <v>0.21</v>
      </c>
      <c r="M361" s="5" t="n">
        <v>0</v>
      </c>
      <c r="N361" s="5" t="inlineStr">
        <is>
          <t>no</t>
        </is>
      </c>
    </row>
    <row r="362">
      <c r="A362" s="5" t="n">
        <v>361</v>
      </c>
      <c r="B362" s="5" t="inlineStr">
        <is>
          <t>LG-40x15</t>
        </is>
      </c>
      <c r="C362" s="5" t="inlineStr">
        <is>
          <t>grade_beam</t>
        </is>
      </c>
      <c r="D362" s="5" t="inlineStr">
        <is>
          <t>grade_beam</t>
        </is>
      </c>
      <c r="E362" s="5" t="n">
        <v>2207.3</v>
      </c>
      <c r="F362" s="5" t="n">
        <v>3015.6</v>
      </c>
      <c r="G362" s="5" t="n">
        <v>606</v>
      </c>
      <c r="H362" s="5" t="n">
        <v>3</v>
      </c>
      <c r="I362" s="5" t="inlineStr">
        <is>
          <t>grade_beam</t>
        </is>
      </c>
      <c r="J362" s="5" t="inlineStr">
        <is>
          <t>yes</t>
        </is>
      </c>
      <c r="K362" s="5" t="n">
        <v>606</v>
      </c>
      <c r="L362" s="5" t="n">
        <v>0.23</v>
      </c>
      <c r="M362" s="5" t="n">
        <v>0</v>
      </c>
      <c r="N362" s="5" t="inlineStr">
        <is>
          <t>yes</t>
        </is>
      </c>
    </row>
    <row r="363">
      <c r="A363" s="5" t="n">
        <v>362</v>
      </c>
      <c r="B363" s="5" t="inlineStr">
        <is>
          <t>LG-40x15</t>
        </is>
      </c>
      <c r="C363" s="5" t="inlineStr">
        <is>
          <t>grade_beam</t>
        </is>
      </c>
      <c r="D363" s="5" t="inlineStr">
        <is>
          <t>grade_beam</t>
        </is>
      </c>
      <c r="E363" s="5" t="n">
        <v>2449</v>
      </c>
      <c r="F363" s="5" t="n">
        <v>3174</v>
      </c>
      <c r="G363" s="5" t="n">
        <v>601</v>
      </c>
      <c r="H363" s="5" t="n">
        <v>3</v>
      </c>
      <c r="I363" s="5" t="inlineStr">
        <is>
          <t>grade_beam</t>
        </is>
      </c>
      <c r="J363" s="5" t="inlineStr">
        <is>
          <t>yes</t>
        </is>
      </c>
      <c r="K363" s="5" t="n">
        <v>601</v>
      </c>
      <c r="L363" s="5" t="n">
        <v>0.26</v>
      </c>
      <c r="M363" s="5" t="n">
        <v>0</v>
      </c>
      <c r="N363" s="5" t="inlineStr">
        <is>
          <t>no</t>
        </is>
      </c>
    </row>
    <row r="364">
      <c r="A364" s="5" t="n">
        <v>363</v>
      </c>
      <c r="B364" s="5" t="inlineStr">
        <is>
          <t>LG 25x40</t>
        </is>
      </c>
      <c r="C364" s="5" t="inlineStr">
        <is>
          <t>grade_beam</t>
        </is>
      </c>
      <c r="D364" s="5" t="inlineStr">
        <is>
          <t>grade_beam</t>
        </is>
      </c>
      <c r="E364" s="5" t="n">
        <v>4257.3</v>
      </c>
      <c r="F364" s="5" t="n">
        <v>3254.2</v>
      </c>
      <c r="G364" s="5" t="inlineStr">
        <is>
          <t>unmatched</t>
        </is>
      </c>
      <c r="H364" s="5" t="inlineStr"/>
      <c r="I364" s="5" t="inlineStr"/>
      <c r="J364" s="5" t="inlineStr"/>
      <c r="K364" s="5" t="inlineStr">
        <is>
          <t>unmatched</t>
        </is>
      </c>
      <c r="L364" s="5" t="n"/>
      <c r="M364" s="5" t="n"/>
      <c r="N364" s="5" t="inlineStr">
        <is>
          <t>yes</t>
        </is>
      </c>
    </row>
    <row r="365">
      <c r="A365" s="5" t="n">
        <v>364</v>
      </c>
      <c r="B365" s="5" t="inlineStr">
        <is>
          <t>LG-40x15</t>
        </is>
      </c>
      <c r="C365" s="5" t="inlineStr">
        <is>
          <t>grade_beam</t>
        </is>
      </c>
      <c r="D365" s="5" t="inlineStr">
        <is>
          <t>grade_beam</t>
        </is>
      </c>
      <c r="E365" s="5" t="n">
        <v>4210.4</v>
      </c>
      <c r="F365" s="5" t="n">
        <v>3000</v>
      </c>
      <c r="G365" s="5" t="n">
        <v>262</v>
      </c>
      <c r="H365" s="5" t="n">
        <v>3</v>
      </c>
      <c r="I365" s="5" t="inlineStr">
        <is>
          <t>grade_beam</t>
        </is>
      </c>
      <c r="J365" s="5" t="inlineStr">
        <is>
          <t>yes</t>
        </is>
      </c>
      <c r="K365" s="5" t="n">
        <v>262</v>
      </c>
      <c r="L365" s="5" t="n">
        <v>0.72</v>
      </c>
      <c r="M365" s="5" t="n">
        <v>0</v>
      </c>
      <c r="N365" s="5" t="inlineStr">
        <is>
          <t>yes</t>
        </is>
      </c>
    </row>
    <row r="366">
      <c r="A366" s="5" t="n">
        <v>365</v>
      </c>
      <c r="B366" s="5" t="inlineStr">
        <is>
          <t>LG-40x15</t>
        </is>
      </c>
      <c r="C366" s="5" t="inlineStr">
        <is>
          <t>grade_beam</t>
        </is>
      </c>
      <c r="D366" s="5" t="inlineStr">
        <is>
          <t>grade_beam</t>
        </is>
      </c>
      <c r="E366" s="5" t="n">
        <v>4179.2</v>
      </c>
      <c r="F366" s="5" t="n">
        <v>2840.6</v>
      </c>
      <c r="G366" s="5" t="n">
        <v>247</v>
      </c>
      <c r="H366" s="5" t="n">
        <v>15</v>
      </c>
      <c r="I366" s="5" t="inlineStr">
        <is>
          <t>combined_footing</t>
        </is>
      </c>
      <c r="J366" s="5" t="inlineStr">
        <is>
          <t>no</t>
        </is>
      </c>
      <c r="K366" s="5" t="inlineStr">
        <is>
          <t>unmatched</t>
        </is>
      </c>
      <c r="L366" s="5" t="n"/>
      <c r="M366" s="5" t="n"/>
      <c r="N366" s="5" t="inlineStr">
        <is>
          <t>yes</t>
        </is>
      </c>
    </row>
    <row r="367">
      <c r="A367" s="5" t="n">
        <v>366</v>
      </c>
      <c r="B367" s="5" t="inlineStr">
        <is>
          <t>LG-40x15</t>
        </is>
      </c>
      <c r="C367" s="5" t="inlineStr">
        <is>
          <t>grade_beam</t>
        </is>
      </c>
      <c r="D367" s="5" t="inlineStr">
        <is>
          <t>grade_beam</t>
        </is>
      </c>
      <c r="E367" s="5" t="n">
        <v>4045.8</v>
      </c>
      <c r="F367" s="5" t="n">
        <v>3200</v>
      </c>
      <c r="G367" s="5" t="n">
        <v>389</v>
      </c>
      <c r="H367" s="5" t="n">
        <v>25</v>
      </c>
      <c r="I367" s="5" t="inlineStr">
        <is>
          <t>column</t>
        </is>
      </c>
      <c r="J367" s="5" t="inlineStr">
        <is>
          <t>no</t>
        </is>
      </c>
      <c r="K367" s="5" t="n">
        <v>441</v>
      </c>
      <c r="L367" s="5" t="n">
        <v>0.19</v>
      </c>
      <c r="M367" s="5" t="n">
        <v>0.04</v>
      </c>
      <c r="N367" s="5" t="inlineStr">
        <is>
          <t>yes</t>
        </is>
      </c>
    </row>
    <row r="368">
      <c r="A368" s="5" t="n">
        <v>367</v>
      </c>
      <c r="B368" s="5" t="inlineStr">
        <is>
          <t>LG-40x15</t>
        </is>
      </c>
      <c r="C368" s="5" t="inlineStr">
        <is>
          <t>grade_beam</t>
        </is>
      </c>
      <c r="D368" s="5" t="inlineStr">
        <is>
          <t>grade_beam</t>
        </is>
      </c>
      <c r="E368" s="5" t="n">
        <v>3537.5</v>
      </c>
      <c r="F368" s="5" t="n">
        <v>2950</v>
      </c>
      <c r="G368" s="5" t="n">
        <v>260</v>
      </c>
      <c r="H368" s="5" t="n">
        <v>3</v>
      </c>
      <c r="I368" s="5" t="inlineStr">
        <is>
          <t>grade_beam</t>
        </is>
      </c>
      <c r="J368" s="5" t="inlineStr">
        <is>
          <t>yes</t>
        </is>
      </c>
      <c r="K368" s="5" t="n">
        <v>260</v>
      </c>
      <c r="L368" s="5" t="n">
        <v>0.13</v>
      </c>
      <c r="M368" s="5" t="n">
        <v>0.11</v>
      </c>
      <c r="N368" s="5" t="inlineStr">
        <is>
          <t>yes</t>
        </is>
      </c>
    </row>
    <row r="369">
      <c r="A369" s="5" t="n">
        <v>368</v>
      </c>
      <c r="B369" s="5" t="inlineStr">
        <is>
          <t>LG-40x15</t>
        </is>
      </c>
      <c r="C369" s="5" t="inlineStr">
        <is>
          <t>grade_beam</t>
        </is>
      </c>
      <c r="D369" s="5" t="inlineStr">
        <is>
          <t>grade_beam</t>
        </is>
      </c>
      <c r="E369" s="5" t="n">
        <v>3571.9</v>
      </c>
      <c r="F369" s="5" t="n">
        <v>3133.3</v>
      </c>
      <c r="G369" s="5" t="n">
        <v>260</v>
      </c>
      <c r="H369" s="5" t="n">
        <v>3</v>
      </c>
      <c r="I369" s="5" t="inlineStr">
        <is>
          <t>grade_beam</t>
        </is>
      </c>
      <c r="J369" s="5" t="inlineStr">
        <is>
          <t>yes</t>
        </is>
      </c>
      <c r="K369" s="5" t="n">
        <v>260</v>
      </c>
      <c r="L369" s="5" t="n">
        <v>0.13</v>
      </c>
      <c r="M369" s="5" t="n">
        <v>0</v>
      </c>
      <c r="N369" s="5" t="inlineStr">
        <is>
          <t>yes</t>
        </is>
      </c>
    </row>
    <row r="370">
      <c r="A370" s="5" t="n">
        <v>369</v>
      </c>
      <c r="B370" s="5" t="inlineStr">
        <is>
          <t>LG-40x15</t>
        </is>
      </c>
      <c r="C370" s="5" t="inlineStr">
        <is>
          <t>grade_beam</t>
        </is>
      </c>
      <c r="D370" s="5" t="inlineStr">
        <is>
          <t>grade_beam</t>
        </is>
      </c>
      <c r="E370" s="5" t="n">
        <v>3618.8</v>
      </c>
      <c r="F370" s="5" t="n">
        <v>3379.2</v>
      </c>
      <c r="G370" s="5" t="n">
        <v>260</v>
      </c>
      <c r="H370" s="5" t="n">
        <v>3</v>
      </c>
      <c r="I370" s="5" t="inlineStr">
        <is>
          <t>grade_beam</t>
        </is>
      </c>
      <c r="J370" s="5" t="inlineStr">
        <is>
          <t>yes</t>
        </is>
      </c>
      <c r="K370" s="5" t="n">
        <v>260</v>
      </c>
      <c r="L370" s="5" t="n">
        <v>0.15</v>
      </c>
      <c r="M370" s="5" t="n">
        <v>0</v>
      </c>
      <c r="N370" s="5" t="inlineStr">
        <is>
          <t>yes</t>
        </is>
      </c>
    </row>
    <row r="371">
      <c r="A371" s="5" t="n">
        <v>370</v>
      </c>
      <c r="B371" s="5" t="inlineStr">
        <is>
          <t>LG-40x15</t>
        </is>
      </c>
      <c r="C371" s="5" t="inlineStr">
        <is>
          <t>grade_beam</t>
        </is>
      </c>
      <c r="D371" s="5" t="inlineStr">
        <is>
          <t>grade_beam</t>
        </is>
      </c>
      <c r="E371" s="5" t="n">
        <v>3536.5</v>
      </c>
      <c r="F371" s="5" t="n">
        <v>3139.6</v>
      </c>
      <c r="G371" s="5" t="n">
        <v>516</v>
      </c>
      <c r="H371" s="5" t="n">
        <v>3</v>
      </c>
      <c r="I371" s="5" t="inlineStr">
        <is>
          <t>grade_beam</t>
        </is>
      </c>
      <c r="J371" s="5" t="inlineStr">
        <is>
          <t>yes</t>
        </is>
      </c>
      <c r="K371" s="5" t="n">
        <v>516</v>
      </c>
      <c r="L371" s="5" t="n">
        <v>0.19</v>
      </c>
      <c r="M371" s="5" t="n">
        <v>0.2</v>
      </c>
      <c r="N371" s="5" t="inlineStr">
        <is>
          <t>yes</t>
        </is>
      </c>
    </row>
    <row r="372">
      <c r="A372" s="5" t="n">
        <v>371</v>
      </c>
      <c r="B372" s="5" t="inlineStr">
        <is>
          <t>LG-40x15</t>
        </is>
      </c>
      <c r="C372" s="5" t="inlineStr">
        <is>
          <t>grade_beam</t>
        </is>
      </c>
      <c r="D372" s="5" t="inlineStr">
        <is>
          <t>grade_beam</t>
        </is>
      </c>
      <c r="E372" s="5" t="n">
        <v>3582.3</v>
      </c>
      <c r="F372" s="5" t="n">
        <v>3386.5</v>
      </c>
      <c r="G372" s="5" t="n">
        <v>516</v>
      </c>
      <c r="H372" s="5" t="n">
        <v>3</v>
      </c>
      <c r="I372" s="5" t="inlineStr">
        <is>
          <t>grade_beam</t>
        </is>
      </c>
      <c r="J372" s="5" t="inlineStr">
        <is>
          <t>yes</t>
        </is>
      </c>
      <c r="K372" s="5" t="n">
        <v>516</v>
      </c>
      <c r="L372" s="5" t="n">
        <v>0.21</v>
      </c>
      <c r="M372" s="5" t="n">
        <v>0.21</v>
      </c>
      <c r="N372" s="5" t="inlineStr">
        <is>
          <t>yes</t>
        </is>
      </c>
    </row>
    <row r="373">
      <c r="A373" s="5" t="n">
        <v>372</v>
      </c>
      <c r="B373" s="5" t="inlineStr">
        <is>
          <t>LG-40x15</t>
        </is>
      </c>
      <c r="C373" s="5" t="inlineStr">
        <is>
          <t>grade_beam</t>
        </is>
      </c>
      <c r="D373" s="5" t="inlineStr">
        <is>
          <t>grade_beam</t>
        </is>
      </c>
      <c r="E373" s="5" t="n">
        <v>3502.1</v>
      </c>
      <c r="F373" s="5" t="n">
        <v>2957.3</v>
      </c>
      <c r="G373" s="5" t="n">
        <v>516</v>
      </c>
      <c r="H373" s="5" t="n">
        <v>3</v>
      </c>
      <c r="I373" s="5" t="inlineStr">
        <is>
          <t>grade_beam</t>
        </is>
      </c>
      <c r="J373" s="5" t="inlineStr">
        <is>
          <t>yes</t>
        </is>
      </c>
      <c r="K373" s="5" t="n">
        <v>516</v>
      </c>
      <c r="L373" s="5" t="n">
        <v>0.19</v>
      </c>
      <c r="M373" s="5" t="n">
        <v>0</v>
      </c>
      <c r="N373" s="5" t="inlineStr">
        <is>
          <t>yes</t>
        </is>
      </c>
    </row>
    <row r="374">
      <c r="A374" s="5" t="n">
        <v>373</v>
      </c>
      <c r="B374" s="5" t="inlineStr">
        <is>
          <t>LG-40x15</t>
        </is>
      </c>
      <c r="C374" s="5" t="inlineStr">
        <is>
          <t>grade_beam</t>
        </is>
      </c>
      <c r="D374" s="5" t="inlineStr">
        <is>
          <t>grade_beam</t>
        </is>
      </c>
      <c r="E374" s="5" t="n">
        <v>3046.9</v>
      </c>
      <c r="F374" s="5" t="n">
        <v>3232.3</v>
      </c>
      <c r="G374" s="5" t="n">
        <v>545</v>
      </c>
      <c r="H374" s="5" t="n">
        <v>3</v>
      </c>
      <c r="I374" s="5" t="inlineStr">
        <is>
          <t>grade_beam</t>
        </is>
      </c>
      <c r="J374" s="5" t="inlineStr">
        <is>
          <t>yes</t>
        </is>
      </c>
      <c r="K374" s="5" t="n">
        <v>545</v>
      </c>
      <c r="L374" s="5" t="n">
        <v>0.21</v>
      </c>
      <c r="M374" s="5" t="n">
        <v>0.01</v>
      </c>
      <c r="N374" s="5" t="inlineStr">
        <is>
          <t>yes</t>
        </is>
      </c>
    </row>
    <row r="375">
      <c r="A375" s="5" t="n">
        <v>374</v>
      </c>
      <c r="B375" s="5" t="inlineStr">
        <is>
          <t>LG-40x15</t>
        </is>
      </c>
      <c r="C375" s="5" t="inlineStr">
        <is>
          <t>grade_beam</t>
        </is>
      </c>
      <c r="D375" s="5" t="inlineStr">
        <is>
          <t>grade_beam</t>
        </is>
      </c>
      <c r="E375" s="5" t="n">
        <v>3016.7</v>
      </c>
      <c r="F375" s="5" t="n">
        <v>3441.7</v>
      </c>
      <c r="G375" s="5" t="n">
        <v>545</v>
      </c>
      <c r="H375" s="5" t="n">
        <v>3</v>
      </c>
      <c r="I375" s="5" t="inlineStr">
        <is>
          <t>grade_beam</t>
        </is>
      </c>
      <c r="J375" s="5" t="inlineStr">
        <is>
          <t>yes</t>
        </is>
      </c>
      <c r="K375" s="5" t="n">
        <v>545</v>
      </c>
      <c r="L375" s="5" t="n">
        <v>0.16</v>
      </c>
      <c r="M375" s="5" t="n">
        <v>0.01</v>
      </c>
      <c r="N375" s="5" t="inlineStr">
        <is>
          <t>yes</t>
        </is>
      </c>
    </row>
    <row r="376">
      <c r="A376" s="5" t="n">
        <v>375</v>
      </c>
      <c r="B376" s="5" t="inlineStr">
        <is>
          <t>LG-40x15</t>
        </is>
      </c>
      <c r="C376" s="5" t="inlineStr">
        <is>
          <t>grade_beam</t>
        </is>
      </c>
      <c r="D376" s="5" t="inlineStr">
        <is>
          <t>grade_beam</t>
        </is>
      </c>
      <c r="E376" s="5" t="n">
        <v>2678.1</v>
      </c>
      <c r="F376" s="5" t="n">
        <v>2803.1</v>
      </c>
      <c r="G376" s="5" t="n">
        <v>546</v>
      </c>
      <c r="H376" s="5" t="n">
        <v>3</v>
      </c>
      <c r="I376" s="5" t="inlineStr">
        <is>
          <t>grade_beam</t>
        </is>
      </c>
      <c r="J376" s="5" t="inlineStr">
        <is>
          <t>yes</t>
        </is>
      </c>
      <c r="K376" s="5" t="n">
        <v>546</v>
      </c>
      <c r="L376" s="5" t="n">
        <v>0.15</v>
      </c>
      <c r="M376" s="5" t="n">
        <v>0</v>
      </c>
      <c r="N376" s="5" t="inlineStr">
        <is>
          <t>yes</t>
        </is>
      </c>
    </row>
    <row r="377">
      <c r="A377" s="5" t="n">
        <v>376</v>
      </c>
      <c r="B377" s="5" t="inlineStr">
        <is>
          <t>LG-40x15</t>
        </is>
      </c>
      <c r="C377" s="5" t="inlineStr">
        <is>
          <t>grade_beam</t>
        </is>
      </c>
      <c r="D377" s="5" t="inlineStr">
        <is>
          <t>grade_beam</t>
        </is>
      </c>
      <c r="E377" s="5" t="n">
        <v>2628.1</v>
      </c>
      <c r="F377" s="5" t="n">
        <v>3261.5</v>
      </c>
      <c r="G377" s="5" t="n">
        <v>548</v>
      </c>
      <c r="H377" s="5" t="n">
        <v>3</v>
      </c>
      <c r="I377" s="5" t="inlineStr">
        <is>
          <t>grade_beam</t>
        </is>
      </c>
      <c r="J377" s="5" t="inlineStr">
        <is>
          <t>yes</t>
        </is>
      </c>
      <c r="K377" s="5" t="n">
        <v>548</v>
      </c>
      <c r="L377" s="5" t="n">
        <v>0.23</v>
      </c>
      <c r="M377" s="5" t="n">
        <v>0.02</v>
      </c>
      <c r="N377" s="5" t="inlineStr">
        <is>
          <t>yes</t>
        </is>
      </c>
    </row>
    <row r="378">
      <c r="A378" s="5" t="n">
        <v>377</v>
      </c>
      <c r="B378" s="5" t="inlineStr">
        <is>
          <t>LG-40x15</t>
        </is>
      </c>
      <c r="C378" s="5" t="inlineStr">
        <is>
          <t>grade_beam</t>
        </is>
      </c>
      <c r="D378" s="5" t="inlineStr">
        <is>
          <t>grade_beam</t>
        </is>
      </c>
      <c r="E378" s="5" t="n">
        <v>2946.9</v>
      </c>
      <c r="F378" s="5" t="n">
        <v>3309.4</v>
      </c>
      <c r="G378" s="5" t="n">
        <v>547</v>
      </c>
      <c r="H378" s="5" t="n">
        <v>3</v>
      </c>
      <c r="I378" s="5" t="inlineStr">
        <is>
          <t>grade_beam</t>
        </is>
      </c>
      <c r="J378" s="5" t="inlineStr">
        <is>
          <t>yes</t>
        </is>
      </c>
      <c r="K378" s="5" t="n">
        <v>547</v>
      </c>
      <c r="L378" s="5" t="n">
        <v>0.09</v>
      </c>
      <c r="M378" s="5" t="n">
        <v>0</v>
      </c>
      <c r="N378" s="5" t="inlineStr">
        <is>
          <t>no</t>
        </is>
      </c>
    </row>
    <row r="379">
      <c r="A379" s="5" t="n">
        <v>378</v>
      </c>
      <c r="B379" s="5" t="inlineStr">
        <is>
          <t>LG-40x15</t>
        </is>
      </c>
      <c r="C379" s="5" t="inlineStr">
        <is>
          <t>grade_beam</t>
        </is>
      </c>
      <c r="D379" s="5" t="inlineStr">
        <is>
          <t>grade_beam</t>
        </is>
      </c>
      <c r="E379" s="5" t="n">
        <v>2330.2</v>
      </c>
      <c r="F379" s="5" t="n">
        <v>2839.6</v>
      </c>
      <c r="G379" s="5" t="n">
        <v>609</v>
      </c>
      <c r="H379" s="5" t="n">
        <v>11</v>
      </c>
      <c r="I379" s="5" t="inlineStr">
        <is>
          <t>unidentified</t>
        </is>
      </c>
      <c r="J379" s="5" t="inlineStr">
        <is>
          <t>unidentified</t>
        </is>
      </c>
      <c r="K379" s="5" t="n">
        <v>602</v>
      </c>
      <c r="L379" s="5" t="n">
        <v>0.22</v>
      </c>
      <c r="M379" s="5" t="n">
        <v>0</v>
      </c>
      <c r="N379" s="5" t="inlineStr">
        <is>
          <t>no</t>
        </is>
      </c>
    </row>
    <row r="380">
      <c r="A380" s="5" t="n">
        <v>379</v>
      </c>
      <c r="B380" s="5" t="inlineStr">
        <is>
          <t>LG-40x15</t>
        </is>
      </c>
      <c r="C380" s="5" t="inlineStr">
        <is>
          <t>grade_beam</t>
        </is>
      </c>
      <c r="D380" s="5" t="inlineStr">
        <is>
          <t>grade_beam</t>
        </is>
      </c>
      <c r="E380" s="5" t="n">
        <v>2232.3</v>
      </c>
      <c r="F380" s="5" t="n">
        <v>2570.8</v>
      </c>
      <c r="G380" s="5" t="n">
        <v>603</v>
      </c>
      <c r="H380" s="5" t="n">
        <v>3</v>
      </c>
      <c r="I380" s="5" t="inlineStr">
        <is>
          <t>grade_beam</t>
        </is>
      </c>
      <c r="J380" s="5" t="inlineStr">
        <is>
          <t>yes</t>
        </is>
      </c>
      <c r="K380" s="5" t="n">
        <v>603</v>
      </c>
      <c r="L380" s="5" t="n">
        <v>0.15</v>
      </c>
      <c r="M380" s="5" t="n">
        <v>0.26</v>
      </c>
      <c r="N380" s="5" t="inlineStr">
        <is>
          <t>yes</t>
        </is>
      </c>
    </row>
    <row r="381">
      <c r="A381" s="5" t="n">
        <v>380</v>
      </c>
      <c r="B381" s="5" t="inlineStr">
        <is>
          <t>LG-40x15</t>
        </is>
      </c>
      <c r="C381" s="5" t="inlineStr">
        <is>
          <t>grade_beam</t>
        </is>
      </c>
      <c r="D381" s="5" t="inlineStr">
        <is>
          <t>grade_beam</t>
        </is>
      </c>
      <c r="E381" s="5" t="n">
        <v>2124</v>
      </c>
      <c r="F381" s="5" t="n">
        <v>2736.5</v>
      </c>
      <c r="G381" s="5" t="n">
        <v>603</v>
      </c>
      <c r="H381" s="5" t="n">
        <v>3</v>
      </c>
      <c r="I381" s="5" t="inlineStr">
        <is>
          <t>grade_beam</t>
        </is>
      </c>
      <c r="J381" s="5" t="inlineStr">
        <is>
          <t>yes</t>
        </is>
      </c>
      <c r="K381" s="5" t="n">
        <v>603</v>
      </c>
      <c r="L381" s="5" t="n">
        <v>0.22</v>
      </c>
      <c r="M381" s="5" t="n">
        <v>0</v>
      </c>
      <c r="N381" s="5" t="inlineStr">
        <is>
          <t>no</t>
        </is>
      </c>
    </row>
    <row r="382">
      <c r="A382" s="5" t="n">
        <v>381</v>
      </c>
      <c r="B382" s="5" t="inlineStr">
        <is>
          <t>LG-40x15</t>
        </is>
      </c>
      <c r="C382" s="5" t="inlineStr">
        <is>
          <t>grade_beam</t>
        </is>
      </c>
      <c r="D382" s="5" t="inlineStr">
        <is>
          <t>grade_beam</t>
        </is>
      </c>
      <c r="E382" s="5" t="n">
        <v>1946.9</v>
      </c>
      <c r="F382" s="5" t="n">
        <v>2803.1</v>
      </c>
      <c r="G382" s="5" t="n">
        <v>598</v>
      </c>
      <c r="H382" s="5" t="n">
        <v>3</v>
      </c>
      <c r="I382" s="5" t="inlineStr">
        <is>
          <t>grade_beam</t>
        </is>
      </c>
      <c r="J382" s="5" t="inlineStr">
        <is>
          <t>yes</t>
        </is>
      </c>
      <c r="K382" s="5" t="n">
        <v>598</v>
      </c>
      <c r="L382" s="5" t="n">
        <v>0.13</v>
      </c>
      <c r="M382" s="5" t="n">
        <v>0</v>
      </c>
      <c r="N382" s="5" t="inlineStr">
        <is>
          <t>no</t>
        </is>
      </c>
    </row>
    <row r="383">
      <c r="A383" s="5" t="n">
        <v>382</v>
      </c>
      <c r="B383" s="5" t="inlineStr">
        <is>
          <t>LG-40x15</t>
        </is>
      </c>
      <c r="C383" s="5" t="inlineStr">
        <is>
          <t>grade_beam</t>
        </is>
      </c>
      <c r="D383" s="5" t="inlineStr">
        <is>
          <t>grade_beam</t>
        </is>
      </c>
      <c r="E383" s="5" t="n">
        <v>3087.5</v>
      </c>
      <c r="F383" s="5" t="n">
        <v>3500</v>
      </c>
      <c r="G383" s="5" t="n">
        <v>524</v>
      </c>
      <c r="H383" s="5" t="n">
        <v>3</v>
      </c>
      <c r="I383" s="5" t="inlineStr">
        <is>
          <t>grade_beam</t>
        </is>
      </c>
      <c r="J383" s="5" t="inlineStr">
        <is>
          <t>yes</t>
        </is>
      </c>
      <c r="K383" s="5" t="n">
        <v>524</v>
      </c>
      <c r="L383" s="5" t="n">
        <v>0.29</v>
      </c>
      <c r="M383" s="5" t="n">
        <v>0.04</v>
      </c>
      <c r="N383" s="5" t="inlineStr">
        <is>
          <t>yes</t>
        </is>
      </c>
    </row>
    <row r="384">
      <c r="A384" s="5" t="n">
        <v>383</v>
      </c>
      <c r="B384" s="5" t="inlineStr">
        <is>
          <t>LG-40x15</t>
        </is>
      </c>
      <c r="C384" s="5" t="inlineStr">
        <is>
          <t>grade_beam</t>
        </is>
      </c>
      <c r="D384" s="5" t="inlineStr">
        <is>
          <t>grade_beam</t>
        </is>
      </c>
      <c r="E384" s="5" t="n">
        <v>2944.8</v>
      </c>
      <c r="F384" s="5" t="n">
        <v>3481.3</v>
      </c>
      <c r="G384" s="5" t="n">
        <v>523</v>
      </c>
      <c r="H384" s="5" t="n">
        <v>3</v>
      </c>
      <c r="I384" s="5" t="inlineStr">
        <is>
          <t>grade_beam</t>
        </is>
      </c>
      <c r="J384" s="5" t="inlineStr">
        <is>
          <t>yes</t>
        </is>
      </c>
      <c r="K384" s="5" t="n">
        <v>523</v>
      </c>
      <c r="L384" s="5" t="n">
        <v>0.19</v>
      </c>
      <c r="M384" s="5" t="n">
        <v>0.04</v>
      </c>
      <c r="N384" s="5" t="inlineStr">
        <is>
          <t>yes</t>
        </is>
      </c>
    </row>
    <row r="385">
      <c r="A385" s="5" t="n">
        <v>384</v>
      </c>
      <c r="B385" s="5" t="inlineStr">
        <is>
          <t>LG-40x15</t>
        </is>
      </c>
      <c r="C385" s="5" t="inlineStr">
        <is>
          <t>grade_beam</t>
        </is>
      </c>
      <c r="D385" s="5" t="inlineStr">
        <is>
          <t>grade_beam</t>
        </is>
      </c>
      <c r="E385" s="5" t="n">
        <v>1869.8</v>
      </c>
      <c r="F385" s="5" t="n">
        <v>2478.1</v>
      </c>
      <c r="G385" s="5" t="n">
        <v>664</v>
      </c>
      <c r="H385" s="5" t="n">
        <v>3</v>
      </c>
      <c r="I385" s="5" t="inlineStr">
        <is>
          <t>grade_beam</t>
        </is>
      </c>
      <c r="J385" s="5" t="inlineStr">
        <is>
          <t>yes</t>
        </is>
      </c>
      <c r="K385" s="5" t="n">
        <v>664</v>
      </c>
      <c r="L385" s="5" t="n">
        <v>0.16</v>
      </c>
      <c r="M385" s="5" t="n">
        <v>0</v>
      </c>
      <c r="N385" s="5" t="inlineStr">
        <is>
          <t>yes</t>
        </is>
      </c>
    </row>
    <row r="386">
      <c r="A386" s="5" t="n">
        <v>385</v>
      </c>
      <c r="B386" s="5" t="inlineStr">
        <is>
          <t>LG-40x15</t>
        </is>
      </c>
      <c r="C386" s="5" t="inlineStr">
        <is>
          <t>grade_beam</t>
        </is>
      </c>
      <c r="D386" s="5" t="inlineStr">
        <is>
          <t>grade_beam</t>
        </is>
      </c>
      <c r="E386" s="5" t="n">
        <v>1694.8</v>
      </c>
      <c r="F386" s="5" t="n">
        <v>2507.3</v>
      </c>
      <c r="G386" s="5" t="n">
        <v>666</v>
      </c>
      <c r="H386" s="5" t="n">
        <v>3</v>
      </c>
      <c r="I386" s="5" t="inlineStr">
        <is>
          <t>grade_beam</t>
        </is>
      </c>
      <c r="J386" s="5" t="inlineStr">
        <is>
          <t>yes</t>
        </is>
      </c>
      <c r="K386" s="5" t="n">
        <v>666</v>
      </c>
      <c r="L386" s="5" t="n">
        <v>0.3</v>
      </c>
      <c r="M386" s="5" t="n">
        <v>0</v>
      </c>
      <c r="N386" s="5" t="inlineStr">
        <is>
          <t>yes</t>
        </is>
      </c>
    </row>
    <row r="387">
      <c r="A387" s="5" t="n">
        <v>386</v>
      </c>
      <c r="B387" s="5" t="inlineStr">
        <is>
          <t>LG-40x15</t>
        </is>
      </c>
      <c r="C387" s="5" t="inlineStr">
        <is>
          <t>grade_beam</t>
        </is>
      </c>
      <c r="D387" s="5" t="inlineStr">
        <is>
          <t>grade_beam</t>
        </is>
      </c>
      <c r="E387" s="5" t="n">
        <v>1576</v>
      </c>
      <c r="F387" s="5" t="n">
        <v>2615.6</v>
      </c>
      <c r="G387" s="5" t="n">
        <v>667</v>
      </c>
      <c r="H387" s="5" t="n">
        <v>3</v>
      </c>
      <c r="I387" s="5" t="inlineStr">
        <is>
          <t>grade_beam</t>
        </is>
      </c>
      <c r="J387" s="5" t="inlineStr">
        <is>
          <t>yes</t>
        </is>
      </c>
      <c r="K387" s="5" t="n">
        <v>667</v>
      </c>
      <c r="L387" s="5" t="n">
        <v>0.21</v>
      </c>
      <c r="M387" s="5" t="n">
        <v>0</v>
      </c>
      <c r="N387" s="5" t="inlineStr">
        <is>
          <t>yes</t>
        </is>
      </c>
    </row>
    <row r="388">
      <c r="A388" s="5" t="n">
        <v>387</v>
      </c>
      <c r="B388" s="5" t="inlineStr">
        <is>
          <t>LG-40x15</t>
        </is>
      </c>
      <c r="C388" s="5" t="inlineStr">
        <is>
          <t>grade_beam</t>
        </is>
      </c>
      <c r="D388" s="5" t="inlineStr">
        <is>
          <t>grade_beam</t>
        </is>
      </c>
      <c r="E388" s="5" t="n">
        <v>1892.7</v>
      </c>
      <c r="F388" s="5" t="n">
        <v>2624</v>
      </c>
      <c r="G388" s="5" t="n">
        <v>663</v>
      </c>
      <c r="H388" s="5" t="n">
        <v>3</v>
      </c>
      <c r="I388" s="5" t="inlineStr">
        <is>
          <t>grade_beam</t>
        </is>
      </c>
      <c r="J388" s="5" t="inlineStr">
        <is>
          <t>yes</t>
        </is>
      </c>
      <c r="K388" s="5" t="n">
        <v>663</v>
      </c>
      <c r="L388" s="5" t="n">
        <v>0.22</v>
      </c>
      <c r="M388" s="5" t="n">
        <v>0</v>
      </c>
      <c r="N388" s="5" t="inlineStr">
        <is>
          <t>no</t>
        </is>
      </c>
    </row>
    <row r="389">
      <c r="A389" s="5" t="n">
        <v>388</v>
      </c>
      <c r="B389" s="5" t="inlineStr">
        <is>
          <t>LG-40x15</t>
        </is>
      </c>
      <c r="C389" s="5" t="inlineStr">
        <is>
          <t>grade_beam</t>
        </is>
      </c>
      <c r="D389" s="5" t="inlineStr">
        <is>
          <t>grade_beam</t>
        </is>
      </c>
      <c r="E389" s="5" t="n">
        <v>1780.2</v>
      </c>
      <c r="F389" s="5" t="n">
        <v>2842.7</v>
      </c>
      <c r="G389" s="5" t="n">
        <v>663</v>
      </c>
      <c r="H389" s="5" t="n">
        <v>3</v>
      </c>
      <c r="I389" s="5" t="inlineStr">
        <is>
          <t>grade_beam</t>
        </is>
      </c>
      <c r="J389" s="5" t="inlineStr">
        <is>
          <t>yes</t>
        </is>
      </c>
      <c r="K389" s="5" t="n">
        <v>663</v>
      </c>
      <c r="L389" s="5" t="n">
        <v>0.31</v>
      </c>
      <c r="M389" s="5" t="n">
        <v>0.12</v>
      </c>
      <c r="N389" s="5" t="inlineStr">
        <is>
          <t>yes</t>
        </is>
      </c>
    </row>
    <row r="390">
      <c r="A390" s="5" t="n">
        <v>389</v>
      </c>
      <c r="B390" s="5" t="inlineStr">
        <is>
          <t>LG-40x15</t>
        </is>
      </c>
      <c r="C390" s="5" t="inlineStr">
        <is>
          <t>grade_beam</t>
        </is>
      </c>
      <c r="D390" s="5" t="inlineStr">
        <is>
          <t>grade_beam</t>
        </is>
      </c>
      <c r="E390" s="5" t="n">
        <v>1590.6</v>
      </c>
      <c r="F390" s="5" t="n">
        <v>2788.5</v>
      </c>
      <c r="G390" s="5" t="n">
        <v>668</v>
      </c>
      <c r="H390" s="5" t="n">
        <v>3</v>
      </c>
      <c r="I390" s="5" t="inlineStr">
        <is>
          <t>grade_beam</t>
        </is>
      </c>
      <c r="J390" s="5" t="inlineStr">
        <is>
          <t>yes</t>
        </is>
      </c>
      <c r="K390" s="5" t="n">
        <v>668</v>
      </c>
      <c r="L390" s="5" t="n">
        <v>0.24</v>
      </c>
      <c r="M390" s="5" t="n">
        <v>0</v>
      </c>
      <c r="N390" s="5" t="inlineStr">
        <is>
          <t>no</t>
        </is>
      </c>
    </row>
    <row r="391">
      <c r="A391" s="5" t="n">
        <v>390</v>
      </c>
      <c r="B391" s="5" t="inlineStr">
        <is>
          <t>LG-40x15</t>
        </is>
      </c>
      <c r="C391" s="5" t="inlineStr">
        <is>
          <t>grade_beam</t>
        </is>
      </c>
      <c r="D391" s="5" t="inlineStr">
        <is>
          <t>grade_beam</t>
        </is>
      </c>
      <c r="E391" s="5" t="n">
        <v>1985.4</v>
      </c>
      <c r="F391" s="5" t="n">
        <v>2438.5</v>
      </c>
      <c r="G391" s="5" t="n">
        <v>663</v>
      </c>
      <c r="H391" s="5" t="n">
        <v>3</v>
      </c>
      <c r="I391" s="5" t="inlineStr">
        <is>
          <t>grade_beam</t>
        </is>
      </c>
      <c r="J391" s="5" t="inlineStr">
        <is>
          <t>yes</t>
        </is>
      </c>
      <c r="K391" s="5" t="n">
        <v>663</v>
      </c>
      <c r="L391" s="5" t="n">
        <v>0.23</v>
      </c>
      <c r="M391" s="5" t="n">
        <v>0.57</v>
      </c>
      <c r="N391" s="5" t="inlineStr">
        <is>
          <t>yes</t>
        </is>
      </c>
    </row>
    <row r="392">
      <c r="A392" s="5" t="n">
        <v>391</v>
      </c>
      <c r="B392" s="5" t="inlineStr">
        <is>
          <t>LG-40x15</t>
        </is>
      </c>
      <c r="C392" s="5" t="inlineStr">
        <is>
          <t>grade_beam</t>
        </is>
      </c>
      <c r="D392" s="5" t="inlineStr">
        <is>
          <t>grade_beam</t>
        </is>
      </c>
      <c r="E392" s="5" t="n">
        <v>979.2</v>
      </c>
      <c r="F392" s="5" t="n">
        <v>1997.9</v>
      </c>
      <c r="G392" s="5" t="n">
        <v>796</v>
      </c>
      <c r="H392" s="5" t="n">
        <v>3</v>
      </c>
      <c r="I392" s="5" t="inlineStr">
        <is>
          <t>grade_beam</t>
        </is>
      </c>
      <c r="J392" s="5" t="inlineStr">
        <is>
          <t>yes</t>
        </is>
      </c>
      <c r="K392" s="5" t="n">
        <v>796</v>
      </c>
      <c r="L392" s="5" t="n">
        <v>0.22</v>
      </c>
      <c r="M392" s="5" t="n">
        <v>0.02</v>
      </c>
      <c r="N392" s="5" t="inlineStr">
        <is>
          <t>yes</t>
        </is>
      </c>
    </row>
    <row r="393">
      <c r="A393" s="5" t="n">
        <v>392</v>
      </c>
      <c r="B393" s="5" t="inlineStr">
        <is>
          <t>LG-40x15</t>
        </is>
      </c>
      <c r="C393" s="5" t="inlineStr">
        <is>
          <t>grade_beam</t>
        </is>
      </c>
      <c r="D393" s="5" t="inlineStr">
        <is>
          <t>grade_beam</t>
        </is>
      </c>
      <c r="E393" s="5" t="n">
        <v>933.3</v>
      </c>
      <c r="F393" s="5" t="n">
        <v>1804.2</v>
      </c>
      <c r="G393" s="5" t="n">
        <v>931</v>
      </c>
      <c r="H393" s="5" t="n">
        <v>3</v>
      </c>
      <c r="I393" s="5" t="inlineStr">
        <is>
          <t>grade_beam</t>
        </is>
      </c>
      <c r="J393" s="5" t="inlineStr">
        <is>
          <t>yes</t>
        </is>
      </c>
      <c r="K393" s="5" t="n">
        <v>931</v>
      </c>
      <c r="L393" s="5" t="n">
        <v>0.19</v>
      </c>
      <c r="M393" s="5" t="n">
        <v>0.12</v>
      </c>
      <c r="N393" s="5" t="inlineStr">
        <is>
          <t>yes</t>
        </is>
      </c>
    </row>
    <row r="394">
      <c r="A394" s="5" t="n">
        <v>393</v>
      </c>
      <c r="B394" s="5" t="inlineStr">
        <is>
          <t>LG-40x15</t>
        </is>
      </c>
      <c r="C394" s="5" t="inlineStr">
        <is>
          <t>grade_beam</t>
        </is>
      </c>
      <c r="D394" s="5" t="inlineStr">
        <is>
          <t>grade_beam</t>
        </is>
      </c>
      <c r="E394" s="5" t="n">
        <v>1153.1</v>
      </c>
      <c r="F394" s="5" t="n">
        <v>1745.8</v>
      </c>
      <c r="G394" s="5" t="n">
        <v>931</v>
      </c>
      <c r="H394" s="5" t="n">
        <v>3</v>
      </c>
      <c r="I394" s="5" t="inlineStr">
        <is>
          <t>grade_beam</t>
        </is>
      </c>
      <c r="J394" s="5" t="inlineStr">
        <is>
          <t>yes</t>
        </is>
      </c>
      <c r="K394" s="5" t="n">
        <v>931</v>
      </c>
      <c r="L394" s="5" t="n">
        <v>0.21</v>
      </c>
      <c r="M394" s="5" t="n">
        <v>0.01</v>
      </c>
      <c r="N394" s="5" t="inlineStr">
        <is>
          <t>yes</t>
        </is>
      </c>
    </row>
    <row r="395">
      <c r="A395" s="5" t="n">
        <v>394</v>
      </c>
      <c r="B395" s="5" t="inlineStr">
        <is>
          <t>LG-40x15</t>
        </is>
      </c>
      <c r="C395" s="5" t="inlineStr">
        <is>
          <t>grade_beam</t>
        </is>
      </c>
      <c r="D395" s="5" t="inlineStr">
        <is>
          <t>grade_beam</t>
        </is>
      </c>
      <c r="E395" s="5" t="n">
        <v>1262.5</v>
      </c>
      <c r="F395" s="5" t="n">
        <v>2056.2</v>
      </c>
      <c r="G395" s="5" t="n">
        <v>798</v>
      </c>
      <c r="H395" s="5" t="n">
        <v>3</v>
      </c>
      <c r="I395" s="5" t="inlineStr">
        <is>
          <t>grade_beam</t>
        </is>
      </c>
      <c r="J395" s="5" t="inlineStr">
        <is>
          <t>yes</t>
        </is>
      </c>
      <c r="K395" s="5" t="n">
        <v>798</v>
      </c>
      <c r="L395" s="5" t="n">
        <v>0.29</v>
      </c>
      <c r="M395" s="5" t="n">
        <v>0.02</v>
      </c>
      <c r="N395" s="5" t="inlineStr">
        <is>
          <t>yes</t>
        </is>
      </c>
    </row>
    <row r="396">
      <c r="A396" s="5" t="n">
        <v>395</v>
      </c>
      <c r="B396" s="5" t="inlineStr">
        <is>
          <t>LG-40x15</t>
        </is>
      </c>
      <c r="C396" s="5" t="inlineStr">
        <is>
          <t>grade_beam</t>
        </is>
      </c>
      <c r="D396" s="5" t="inlineStr">
        <is>
          <t>grade_beam</t>
        </is>
      </c>
      <c r="E396" s="5" t="n">
        <v>1445.8</v>
      </c>
      <c r="F396" s="5" t="n">
        <v>2010.4</v>
      </c>
      <c r="G396" s="5" t="n">
        <v>798</v>
      </c>
      <c r="H396" s="5" t="n">
        <v>3</v>
      </c>
      <c r="I396" s="5" t="inlineStr">
        <is>
          <t>grade_beam</t>
        </is>
      </c>
      <c r="J396" s="5" t="inlineStr">
        <is>
          <t>yes</t>
        </is>
      </c>
      <c r="K396" s="5" t="n">
        <v>798</v>
      </c>
      <c r="L396" s="5" t="n">
        <v>0.21</v>
      </c>
      <c r="M396" s="5" t="n">
        <v>0.22</v>
      </c>
      <c r="N396" s="5" t="inlineStr">
        <is>
          <t>yes</t>
        </is>
      </c>
    </row>
    <row r="397">
      <c r="A397" s="5" t="n">
        <v>396</v>
      </c>
      <c r="B397" s="5" t="inlineStr">
        <is>
          <t>LG-40x15</t>
        </is>
      </c>
      <c r="C397" s="5" t="inlineStr">
        <is>
          <t>grade_beam</t>
        </is>
      </c>
      <c r="D397" s="5" t="inlineStr">
        <is>
          <t>grade_beam</t>
        </is>
      </c>
      <c r="E397" s="5" t="n">
        <v>1387.5</v>
      </c>
      <c r="F397" s="5" t="n">
        <v>1814.6</v>
      </c>
      <c r="G397" s="5" t="n">
        <v>800</v>
      </c>
      <c r="H397" s="5" t="n">
        <v>3</v>
      </c>
      <c r="I397" s="5" t="inlineStr">
        <is>
          <t>grade_beam</t>
        </is>
      </c>
      <c r="J397" s="5" t="inlineStr">
        <is>
          <t>yes</t>
        </is>
      </c>
      <c r="K397" s="5" t="n">
        <v>800</v>
      </c>
      <c r="L397" s="5" t="n">
        <v>0.21</v>
      </c>
      <c r="M397" s="5" t="n">
        <v>0.21</v>
      </c>
      <c r="N397" s="5" t="inlineStr">
        <is>
          <t>yes</t>
        </is>
      </c>
    </row>
    <row r="398">
      <c r="A398" s="5" t="n">
        <v>397</v>
      </c>
      <c r="B398" s="5" t="inlineStr">
        <is>
          <t>LG-40x15</t>
        </is>
      </c>
      <c r="C398" s="5" t="inlineStr">
        <is>
          <t>grade_beam</t>
        </is>
      </c>
      <c r="D398" s="5" t="inlineStr">
        <is>
          <t>grade_beam</t>
        </is>
      </c>
      <c r="E398" s="5" t="n">
        <v>1355.2</v>
      </c>
      <c r="F398" s="5" t="n">
        <v>1693.8</v>
      </c>
      <c r="G398" s="5" t="n">
        <v>931</v>
      </c>
      <c r="H398" s="5" t="n">
        <v>3</v>
      </c>
      <c r="I398" s="5" t="inlineStr">
        <is>
          <t>grade_beam</t>
        </is>
      </c>
      <c r="J398" s="5" t="inlineStr">
        <is>
          <t>yes</t>
        </is>
      </c>
      <c r="K398" s="5" t="n">
        <v>931</v>
      </c>
      <c r="L398" s="5" t="n">
        <v>0.17</v>
      </c>
      <c r="M398" s="5" t="n">
        <v>0.02</v>
      </c>
      <c r="N398" s="5" t="inlineStr">
        <is>
          <t>yes</t>
        </is>
      </c>
    </row>
    <row r="399">
      <c r="A399" s="5" t="n">
        <v>398</v>
      </c>
      <c r="B399" s="5" t="inlineStr">
        <is>
          <t>LG-40x15</t>
        </is>
      </c>
      <c r="C399" s="5" t="inlineStr">
        <is>
          <t>grade_beam</t>
        </is>
      </c>
      <c r="D399" s="5" t="inlineStr">
        <is>
          <t>grade_beam</t>
        </is>
      </c>
      <c r="E399" s="5" t="n">
        <v>1335.4</v>
      </c>
      <c r="F399" s="5" t="n">
        <v>1943.8</v>
      </c>
      <c r="G399" s="5" t="n">
        <v>795</v>
      </c>
      <c r="H399" s="5" t="n">
        <v>3</v>
      </c>
      <c r="I399" s="5" t="inlineStr">
        <is>
          <t>grade_beam</t>
        </is>
      </c>
      <c r="J399" s="5" t="inlineStr">
        <is>
          <t>yes</t>
        </is>
      </c>
      <c r="K399" s="5" t="n">
        <v>795</v>
      </c>
      <c r="L399" s="5" t="n">
        <v>0.17</v>
      </c>
      <c r="M399" s="5" t="n">
        <v>0</v>
      </c>
      <c r="N399" s="5" t="inlineStr">
        <is>
          <t>yes</t>
        </is>
      </c>
    </row>
    <row r="400">
      <c r="A400" s="5" t="n">
        <v>399</v>
      </c>
      <c r="B400" s="5" t="inlineStr">
        <is>
          <t>LG-40x15</t>
        </is>
      </c>
      <c r="C400" s="5" t="inlineStr">
        <is>
          <t>grade_beam</t>
        </is>
      </c>
      <c r="D400" s="5" t="inlineStr">
        <is>
          <t>grade_beam</t>
        </is>
      </c>
      <c r="E400" s="5" t="n">
        <v>1258.3</v>
      </c>
      <c r="F400" s="5" t="n">
        <v>1621.9</v>
      </c>
      <c r="G400" s="5" t="n">
        <v>930</v>
      </c>
      <c r="H400" s="5" t="n">
        <v>3</v>
      </c>
      <c r="I400" s="5" t="inlineStr">
        <is>
          <t>grade_beam</t>
        </is>
      </c>
      <c r="J400" s="5" t="inlineStr">
        <is>
          <t>yes</t>
        </is>
      </c>
      <c r="K400" s="5" t="n">
        <v>930</v>
      </c>
      <c r="L400" s="5" t="n">
        <v>0.24</v>
      </c>
      <c r="M400" s="5" t="n">
        <v>0</v>
      </c>
      <c r="N400" s="5" t="inlineStr">
        <is>
          <t>yes</t>
        </is>
      </c>
    </row>
    <row r="401">
      <c r="A401" s="5" t="n">
        <v>400</v>
      </c>
      <c r="B401" s="5" t="inlineStr">
        <is>
          <t>LG-40x15</t>
        </is>
      </c>
      <c r="C401" s="5" t="inlineStr">
        <is>
          <t>grade_beam</t>
        </is>
      </c>
      <c r="D401" s="5" t="inlineStr">
        <is>
          <t>grade_beam</t>
        </is>
      </c>
      <c r="E401" s="5" t="n">
        <v>1205.2</v>
      </c>
      <c r="F401" s="5" t="n">
        <v>1414.6</v>
      </c>
      <c r="G401" s="5" t="n">
        <v>930</v>
      </c>
      <c r="H401" s="5" t="n">
        <v>3</v>
      </c>
      <c r="I401" s="5" t="inlineStr">
        <is>
          <t>grade_beam</t>
        </is>
      </c>
      <c r="J401" s="5" t="inlineStr">
        <is>
          <t>yes</t>
        </is>
      </c>
      <c r="K401" s="5" t="n">
        <v>930</v>
      </c>
      <c r="L401" s="5" t="n">
        <v>0.25</v>
      </c>
      <c r="M401" s="5" t="n">
        <v>0</v>
      </c>
      <c r="N401" s="5" t="inlineStr">
        <is>
          <t>yes</t>
        </is>
      </c>
    </row>
    <row r="402">
      <c r="A402" s="5" t="n">
        <v>401</v>
      </c>
      <c r="B402" s="5" t="inlineStr">
        <is>
          <t>LG-40x15</t>
        </is>
      </c>
      <c r="C402" s="5" t="inlineStr">
        <is>
          <t>grade_beam</t>
        </is>
      </c>
      <c r="D402" s="5" t="inlineStr">
        <is>
          <t>grade_beam</t>
        </is>
      </c>
      <c r="E402" s="5" t="n">
        <v>1145.8</v>
      </c>
      <c r="F402" s="5" t="n">
        <v>1195.8</v>
      </c>
      <c r="G402" s="5" t="n">
        <v>930</v>
      </c>
      <c r="H402" s="5" t="n">
        <v>3</v>
      </c>
      <c r="I402" s="5" t="inlineStr">
        <is>
          <t>grade_beam</t>
        </is>
      </c>
      <c r="J402" s="5" t="inlineStr">
        <is>
          <t>yes</t>
        </is>
      </c>
      <c r="K402" s="5" t="n">
        <v>930</v>
      </c>
      <c r="L402" s="5" t="n">
        <v>0.14</v>
      </c>
      <c r="M402" s="5" t="n">
        <v>0.3</v>
      </c>
      <c r="N402" s="5" t="inlineStr">
        <is>
          <t>yes</t>
        </is>
      </c>
    </row>
    <row r="403">
      <c r="A403" s="5" t="n">
        <v>402</v>
      </c>
      <c r="B403" s="5" t="inlineStr">
        <is>
          <t>LG-40x15</t>
        </is>
      </c>
      <c r="C403" s="5" t="inlineStr">
        <is>
          <t>grade_beam</t>
        </is>
      </c>
      <c r="D403" s="5" t="inlineStr">
        <is>
          <t>grade_beam</t>
        </is>
      </c>
      <c r="E403" s="5" t="n">
        <v>932.3</v>
      </c>
      <c r="F403" s="5" t="n">
        <v>1313.5</v>
      </c>
      <c r="G403" s="5" t="n">
        <v>932</v>
      </c>
      <c r="H403" s="5" t="n">
        <v>3</v>
      </c>
      <c r="I403" s="5" t="inlineStr">
        <is>
          <t>grade_beam</t>
        </is>
      </c>
      <c r="J403" s="5" t="inlineStr">
        <is>
          <t>yes</t>
        </is>
      </c>
      <c r="K403" s="5" t="n">
        <v>932</v>
      </c>
      <c r="L403" s="5" t="n">
        <v>0.15</v>
      </c>
      <c r="M403" s="5" t="n">
        <v>0</v>
      </c>
      <c r="N403" s="5" t="inlineStr">
        <is>
          <t>yes</t>
        </is>
      </c>
    </row>
    <row r="404">
      <c r="A404" s="5" t="n">
        <v>403</v>
      </c>
      <c r="B404" s="5" t="inlineStr">
        <is>
          <t>LG-40x15</t>
        </is>
      </c>
      <c r="C404" s="5" t="inlineStr">
        <is>
          <t>grade_beam</t>
        </is>
      </c>
      <c r="D404" s="5" t="inlineStr">
        <is>
          <t>grade_beam</t>
        </is>
      </c>
      <c r="E404" s="5" t="n">
        <v>1036.5</v>
      </c>
      <c r="F404" s="5" t="n">
        <v>1702.1</v>
      </c>
      <c r="G404" s="5" t="n">
        <v>932</v>
      </c>
      <c r="H404" s="5" t="n">
        <v>3</v>
      </c>
      <c r="I404" s="5" t="inlineStr">
        <is>
          <t>grade_beam</t>
        </is>
      </c>
      <c r="J404" s="5" t="inlineStr">
        <is>
          <t>yes</t>
        </is>
      </c>
      <c r="K404" s="5" t="n">
        <v>932</v>
      </c>
      <c r="L404" s="5" t="n">
        <v>0.18</v>
      </c>
      <c r="M404" s="5" t="n">
        <v>0</v>
      </c>
      <c r="N404" s="5" t="inlineStr">
        <is>
          <t>yes</t>
        </is>
      </c>
    </row>
    <row r="405">
      <c r="A405" s="5" t="n">
        <v>404</v>
      </c>
      <c r="B405" s="5" t="inlineStr">
        <is>
          <t>LG-40x15</t>
        </is>
      </c>
      <c r="C405" s="5" t="inlineStr">
        <is>
          <t>grade_beam</t>
        </is>
      </c>
      <c r="D405" s="5" t="inlineStr">
        <is>
          <t>grade_beam</t>
        </is>
      </c>
      <c r="E405" s="5" t="n">
        <v>1122.9</v>
      </c>
      <c r="F405" s="5" t="n">
        <v>2076</v>
      </c>
      <c r="G405" s="5" t="n">
        <v>799</v>
      </c>
      <c r="H405" s="5" t="n">
        <v>3</v>
      </c>
      <c r="I405" s="5" t="inlineStr">
        <is>
          <t>grade_beam</t>
        </is>
      </c>
      <c r="J405" s="5" t="inlineStr">
        <is>
          <t>yes</t>
        </is>
      </c>
      <c r="K405" s="5" t="n">
        <v>799</v>
      </c>
      <c r="L405" s="5" t="n">
        <v>0.18</v>
      </c>
      <c r="M405" s="5" t="n">
        <v>0.05</v>
      </c>
      <c r="N405" s="5" t="inlineStr">
        <is>
          <t>yes</t>
        </is>
      </c>
    </row>
    <row r="406">
      <c r="A406" s="5" t="n">
        <v>405</v>
      </c>
      <c r="B406" s="5" t="inlineStr">
        <is>
          <t>LG-40x15</t>
        </is>
      </c>
      <c r="C406" s="5" t="inlineStr">
        <is>
          <t>grade_beam</t>
        </is>
      </c>
      <c r="D406" s="5" t="inlineStr">
        <is>
          <t>grade_beam</t>
        </is>
      </c>
      <c r="E406" s="5" t="n">
        <v>985.4</v>
      </c>
      <c r="F406" s="5" t="n">
        <v>1512.5</v>
      </c>
      <c r="G406" s="5" t="n">
        <v>932</v>
      </c>
      <c r="H406" s="5" t="n">
        <v>3</v>
      </c>
      <c r="I406" s="5" t="inlineStr">
        <is>
          <t>grade_beam</t>
        </is>
      </c>
      <c r="J406" s="5" t="inlineStr">
        <is>
          <t>yes</t>
        </is>
      </c>
      <c r="K406" s="5" t="n">
        <v>932</v>
      </c>
      <c r="L406" s="5" t="n">
        <v>0.16</v>
      </c>
      <c r="M406" s="5" t="n">
        <v>0</v>
      </c>
      <c r="N406" s="5" t="inlineStr">
        <is>
          <t>yes</t>
        </is>
      </c>
    </row>
    <row r="407">
      <c r="A407" s="5" t="n">
        <v>406</v>
      </c>
      <c r="B407" s="5" t="inlineStr">
        <is>
          <t>LG-40x15</t>
        </is>
      </c>
      <c r="C407" s="5" t="inlineStr">
        <is>
          <t>grade_beam</t>
        </is>
      </c>
      <c r="D407" s="5" t="inlineStr">
        <is>
          <t>grade_beam</t>
        </is>
      </c>
      <c r="E407" s="5" t="n">
        <v>1163.5</v>
      </c>
      <c r="F407" s="5" t="n">
        <v>1783.3</v>
      </c>
      <c r="G407" s="5" t="n">
        <v>794</v>
      </c>
      <c r="H407" s="5" t="n">
        <v>3</v>
      </c>
      <c r="I407" s="5" t="inlineStr">
        <is>
          <t>grade_beam</t>
        </is>
      </c>
      <c r="J407" s="5" t="inlineStr">
        <is>
          <t>yes</t>
        </is>
      </c>
      <c r="K407" s="5" t="n">
        <v>794</v>
      </c>
      <c r="L407" s="5" t="n">
        <v>0.21</v>
      </c>
      <c r="M407" s="5" t="n">
        <v>0.1</v>
      </c>
      <c r="N407" s="5" t="inlineStr">
        <is>
          <t>yes</t>
        </is>
      </c>
    </row>
    <row r="408">
      <c r="A408" s="5" t="n">
        <v>407</v>
      </c>
      <c r="B408" s="5" t="inlineStr">
        <is>
          <t>LG-40x15</t>
        </is>
      </c>
      <c r="C408" s="5" t="inlineStr">
        <is>
          <t>grade_beam</t>
        </is>
      </c>
      <c r="D408" s="5" t="inlineStr">
        <is>
          <t>grade_beam</t>
        </is>
      </c>
      <c r="E408" s="5" t="n">
        <v>1050</v>
      </c>
      <c r="F408" s="5" t="n">
        <v>1312.5</v>
      </c>
      <c r="G408" s="5" t="n">
        <v>933</v>
      </c>
      <c r="H408" s="5" t="n">
        <v>3</v>
      </c>
      <c r="I408" s="5" t="inlineStr">
        <is>
          <t>grade_beam</t>
        </is>
      </c>
      <c r="J408" s="5" t="inlineStr">
        <is>
          <t>yes</t>
        </is>
      </c>
      <c r="K408" s="5" t="n">
        <v>933</v>
      </c>
      <c r="L408" s="5" t="n">
        <v>0.19</v>
      </c>
      <c r="M408" s="5" t="n">
        <v>0</v>
      </c>
      <c r="N408" s="5" t="inlineStr">
        <is>
          <t>yes</t>
        </is>
      </c>
    </row>
    <row r="409">
      <c r="A409" s="5" t="n">
        <v>408</v>
      </c>
      <c r="B409" s="5" t="inlineStr">
        <is>
          <t>LG-40x15</t>
        </is>
      </c>
      <c r="C409" s="5" t="inlineStr">
        <is>
          <t>grade_beam</t>
        </is>
      </c>
      <c r="D409" s="5" t="inlineStr">
        <is>
          <t>grade_beam</t>
        </is>
      </c>
      <c r="E409" s="5" t="n">
        <v>881.3</v>
      </c>
      <c r="F409" s="5" t="n">
        <v>1619.8</v>
      </c>
      <c r="G409" s="5" t="n">
        <v>935</v>
      </c>
      <c r="H409" s="5" t="n">
        <v>3</v>
      </c>
      <c r="I409" s="5" t="inlineStr">
        <is>
          <t>grade_beam</t>
        </is>
      </c>
      <c r="J409" s="5" t="inlineStr">
        <is>
          <t>yes</t>
        </is>
      </c>
      <c r="K409" s="5" t="n">
        <v>935</v>
      </c>
      <c r="L409" s="5" t="n">
        <v>0.17</v>
      </c>
      <c r="M409" s="5" t="n">
        <v>0.36</v>
      </c>
      <c r="N409" s="5" t="inlineStr">
        <is>
          <t>yes</t>
        </is>
      </c>
    </row>
    <row r="410">
      <c r="A410" s="5" t="n">
        <v>409</v>
      </c>
      <c r="B410" s="5" t="inlineStr">
        <is>
          <t>LG-40x15</t>
        </is>
      </c>
      <c r="C410" s="5" t="inlineStr">
        <is>
          <t>grade_beam</t>
        </is>
      </c>
      <c r="D410" s="5" t="inlineStr">
        <is>
          <t>grade_beam</t>
        </is>
      </c>
      <c r="E410" s="5" t="n">
        <v>1395.8</v>
      </c>
      <c r="F410" s="5" t="n">
        <v>2176</v>
      </c>
      <c r="G410" s="5" t="n">
        <v>795</v>
      </c>
      <c r="H410" s="5" t="n">
        <v>3</v>
      </c>
      <c r="I410" s="5" t="inlineStr">
        <is>
          <t>grade_beam</t>
        </is>
      </c>
      <c r="J410" s="5" t="inlineStr">
        <is>
          <t>yes</t>
        </is>
      </c>
      <c r="K410" s="5" t="n">
        <v>795</v>
      </c>
      <c r="L410" s="5" t="n">
        <v>0.19</v>
      </c>
      <c r="M410" s="5" t="n">
        <v>0</v>
      </c>
      <c r="N410" s="5" t="inlineStr">
        <is>
          <t>yes</t>
        </is>
      </c>
    </row>
    <row r="411">
      <c r="A411" s="5" t="n">
        <v>410</v>
      </c>
      <c r="B411" s="5" t="inlineStr">
        <is>
          <t>LG-40x15</t>
        </is>
      </c>
      <c r="C411" s="5" t="inlineStr">
        <is>
          <t>grade_beam</t>
        </is>
      </c>
      <c r="D411" s="5" t="inlineStr">
        <is>
          <t>grade_beam</t>
        </is>
      </c>
      <c r="E411" s="5" t="n">
        <v>1502.1</v>
      </c>
      <c r="F411" s="5" t="n">
        <v>2182.3</v>
      </c>
      <c r="G411" s="5" t="n">
        <v>797</v>
      </c>
      <c r="H411" s="5" t="n">
        <v>3</v>
      </c>
      <c r="I411" s="5" t="inlineStr">
        <is>
          <t>grade_beam</t>
        </is>
      </c>
      <c r="J411" s="5" t="inlineStr">
        <is>
          <t>yes</t>
        </is>
      </c>
      <c r="K411" s="5" t="n">
        <v>797</v>
      </c>
      <c r="L411" s="5" t="n">
        <v>0.16</v>
      </c>
      <c r="M411" s="5" t="n">
        <v>0</v>
      </c>
      <c r="N411" s="5" t="inlineStr">
        <is>
          <t>no</t>
        </is>
      </c>
    </row>
    <row r="412">
      <c r="A412" s="5" t="n">
        <v>411</v>
      </c>
      <c r="B412" s="5" t="inlineStr">
        <is>
          <t>LG-40x15</t>
        </is>
      </c>
      <c r="C412" s="5" t="inlineStr">
        <is>
          <t>grade_beam</t>
        </is>
      </c>
      <c r="D412" s="5" t="inlineStr">
        <is>
          <t>grade_beam</t>
        </is>
      </c>
      <c r="E412" s="5" t="n">
        <v>1519.8</v>
      </c>
      <c r="F412" s="5" t="n">
        <v>2215.6</v>
      </c>
      <c r="G412" s="5" t="n">
        <v>665</v>
      </c>
      <c r="H412" s="5" t="n">
        <v>3</v>
      </c>
      <c r="I412" s="5" t="inlineStr">
        <is>
          <t>grade_beam</t>
        </is>
      </c>
      <c r="J412" s="5" t="inlineStr">
        <is>
          <t>yes</t>
        </is>
      </c>
      <c r="K412" s="5" t="n">
        <v>665</v>
      </c>
      <c r="L412" s="5" t="n">
        <v>0.2</v>
      </c>
      <c r="M412" s="5" t="n">
        <v>0</v>
      </c>
      <c r="N412" s="5" t="inlineStr">
        <is>
          <t>no</t>
        </is>
      </c>
    </row>
    <row r="413">
      <c r="A413" s="5" t="n">
        <v>412</v>
      </c>
      <c r="B413" s="5" t="inlineStr">
        <is>
          <t>LG 25x40</t>
        </is>
      </c>
      <c r="C413" s="5" t="inlineStr">
        <is>
          <t>grade_beam</t>
        </is>
      </c>
      <c r="D413" s="5" t="inlineStr">
        <is>
          <t>grade_beam</t>
        </is>
      </c>
      <c r="E413" s="5" t="n">
        <v>1286.5</v>
      </c>
      <c r="F413" s="5" t="n">
        <v>2475</v>
      </c>
      <c r="G413" s="5" t="n">
        <v>662</v>
      </c>
      <c r="H413" s="5" t="n">
        <v>1</v>
      </c>
      <c r="I413" s="5" t="inlineStr">
        <is>
          <t>grade_beam</t>
        </is>
      </c>
      <c r="J413" s="5" t="inlineStr">
        <is>
          <t>yes</t>
        </is>
      </c>
      <c r="K413" s="5" t="n">
        <v>662</v>
      </c>
      <c r="L413" s="5" t="n">
        <v>0.2</v>
      </c>
      <c r="M413" s="5" t="n">
        <v>0</v>
      </c>
      <c r="N413" s="5" t="inlineStr">
        <is>
          <t>no</t>
        </is>
      </c>
    </row>
    <row r="414">
      <c r="A414" s="5" t="n">
        <v>413</v>
      </c>
      <c r="B414" s="5" t="inlineStr">
        <is>
          <t>LG 25x40</t>
        </is>
      </c>
      <c r="C414" s="5" t="inlineStr">
        <is>
          <t>grade_beam</t>
        </is>
      </c>
      <c r="D414" s="5" t="inlineStr">
        <is>
          <t>grade_beam</t>
        </is>
      </c>
      <c r="E414" s="5" t="n">
        <v>1207.3</v>
      </c>
      <c r="F414" s="5" t="n">
        <v>2381.2</v>
      </c>
      <c r="G414" s="5" t="n">
        <v>793</v>
      </c>
      <c r="H414" s="5" t="n">
        <v>1</v>
      </c>
      <c r="I414" s="5" t="inlineStr">
        <is>
          <t>grade_beam</t>
        </is>
      </c>
      <c r="J414" s="5" t="inlineStr">
        <is>
          <t>yes</t>
        </is>
      </c>
      <c r="K414" s="5" t="n">
        <v>793</v>
      </c>
      <c r="L414" s="5" t="n">
        <v>0.12</v>
      </c>
      <c r="M414" s="5" t="n">
        <v>0</v>
      </c>
      <c r="N414" s="5" t="inlineStr">
        <is>
          <t>no</t>
        </is>
      </c>
    </row>
    <row r="415">
      <c r="A415" s="5" t="n">
        <v>414</v>
      </c>
      <c r="B415" s="5" t="inlineStr">
        <is>
          <t>LG-40x15</t>
        </is>
      </c>
      <c r="C415" s="5" t="inlineStr">
        <is>
          <t>grade_beam</t>
        </is>
      </c>
      <c r="D415" s="5" t="inlineStr">
        <is>
          <t>grade_beam</t>
        </is>
      </c>
      <c r="E415" s="5" t="n">
        <v>1356.2</v>
      </c>
      <c r="F415" s="5" t="n">
        <v>1731.3</v>
      </c>
      <c r="G415" s="5" t="n">
        <v>794</v>
      </c>
      <c r="H415" s="5" t="n">
        <v>3</v>
      </c>
      <c r="I415" s="5" t="inlineStr">
        <is>
          <t>grade_beam</t>
        </is>
      </c>
      <c r="J415" s="5" t="inlineStr">
        <is>
          <t>yes</t>
        </is>
      </c>
      <c r="K415" s="5" t="n">
        <v>794</v>
      </c>
      <c r="L415" s="5" t="n">
        <v>0.17</v>
      </c>
      <c r="M415" s="5" t="n">
        <v>0.35</v>
      </c>
      <c r="N415" s="5" t="inlineStr">
        <is>
          <t>yes</t>
        </is>
      </c>
    </row>
    <row r="416">
      <c r="A416" s="5" t="n">
        <v>415</v>
      </c>
      <c r="B416" s="5" t="inlineStr">
        <is>
          <t>LG 25X40</t>
        </is>
      </c>
      <c r="C416" s="5" t="inlineStr">
        <is>
          <t>grade_beam</t>
        </is>
      </c>
      <c r="D416" s="5" t="inlineStr">
        <is>
          <t>grade_beam</t>
        </is>
      </c>
      <c r="E416" s="5" t="n">
        <v>853.1</v>
      </c>
      <c r="F416" s="5" t="n">
        <v>2560.4</v>
      </c>
      <c r="G416" s="5" t="n">
        <v>792</v>
      </c>
      <c r="H416" s="5" t="n">
        <v>1</v>
      </c>
      <c r="I416" s="5" t="inlineStr">
        <is>
          <t>grade_beam</t>
        </is>
      </c>
      <c r="J416" s="5" t="inlineStr">
        <is>
          <t>yes</t>
        </is>
      </c>
      <c r="K416" s="5" t="n">
        <v>792</v>
      </c>
      <c r="L416" s="5" t="n">
        <v>0.16</v>
      </c>
      <c r="M416" s="5" t="n">
        <v>0.33</v>
      </c>
      <c r="N416" s="5" t="inlineStr">
        <is>
          <t>yes</t>
        </is>
      </c>
    </row>
    <row r="417">
      <c r="A417" s="5" t="n">
        <v>416</v>
      </c>
      <c r="B417" s="5" t="inlineStr">
        <is>
          <t>LG 25X40</t>
        </is>
      </c>
      <c r="C417" s="5" t="inlineStr">
        <is>
          <t>grade_beam</t>
        </is>
      </c>
      <c r="D417" s="5" t="inlineStr">
        <is>
          <t>grade_beam</t>
        </is>
      </c>
      <c r="E417" s="5" t="n">
        <v>1006.3</v>
      </c>
      <c r="F417" s="5" t="n">
        <v>2777.1</v>
      </c>
      <c r="G417" s="5" t="n">
        <v>661</v>
      </c>
      <c r="H417" s="5" t="n">
        <v>1</v>
      </c>
      <c r="I417" s="5" t="inlineStr">
        <is>
          <t>grade_beam</t>
        </is>
      </c>
      <c r="J417" s="5" t="inlineStr">
        <is>
          <t>yes</t>
        </is>
      </c>
      <c r="K417" s="5" t="n">
        <v>661</v>
      </c>
      <c r="L417" s="5" t="n">
        <v>0.16</v>
      </c>
      <c r="M417" s="5" t="n">
        <v>0.02</v>
      </c>
      <c r="N417" s="5" t="inlineStr">
        <is>
          <t>yes</t>
        </is>
      </c>
    </row>
    <row r="418">
      <c r="A418" s="5" t="n">
        <v>417</v>
      </c>
      <c r="B418" s="5" t="inlineStr">
        <is>
          <t>LG-40x15</t>
        </is>
      </c>
      <c r="C418" s="5" t="inlineStr">
        <is>
          <t>grade_beam</t>
        </is>
      </c>
      <c r="D418" s="5" t="inlineStr">
        <is>
          <t>grade_beam</t>
        </is>
      </c>
      <c r="E418" s="5" t="n">
        <v>1349</v>
      </c>
      <c r="F418" s="5" t="n">
        <v>2353.1</v>
      </c>
      <c r="G418" s="5" t="n">
        <v>665</v>
      </c>
      <c r="H418" s="5" t="n">
        <v>3</v>
      </c>
      <c r="I418" s="5" t="inlineStr">
        <is>
          <t>grade_beam</t>
        </is>
      </c>
      <c r="J418" s="5" t="inlineStr">
        <is>
          <t>yes</t>
        </is>
      </c>
      <c r="K418" s="5" t="n">
        <v>665</v>
      </c>
      <c r="L418" s="5" t="n">
        <v>0.16</v>
      </c>
      <c r="M418" s="5" t="n">
        <v>0</v>
      </c>
      <c r="N418" s="5" t="inlineStr">
        <is>
          <t>no</t>
        </is>
      </c>
    </row>
    <row r="419">
      <c r="A419" s="5" t="n">
        <v>418</v>
      </c>
      <c r="B419" s="5" t="inlineStr">
        <is>
          <t>LG-40x15</t>
        </is>
      </c>
      <c r="C419" s="5" t="inlineStr">
        <is>
          <t>grade_beam</t>
        </is>
      </c>
      <c r="D419" s="5" t="inlineStr">
        <is>
          <t>grade_beam</t>
        </is>
      </c>
      <c r="E419" s="5" t="n">
        <v>1322.9</v>
      </c>
      <c r="F419" s="5" t="n">
        <v>2327.1</v>
      </c>
      <c r="G419" s="5" t="n">
        <v>797</v>
      </c>
      <c r="H419" s="5" t="n">
        <v>3</v>
      </c>
      <c r="I419" s="5" t="inlineStr">
        <is>
          <t>grade_beam</t>
        </is>
      </c>
      <c r="J419" s="5" t="inlineStr">
        <is>
          <t>yes</t>
        </is>
      </c>
      <c r="K419" s="5" t="n">
        <v>797</v>
      </c>
      <c r="L419" s="5" t="n">
        <v>0.18</v>
      </c>
      <c r="M419" s="5" t="n">
        <v>0</v>
      </c>
      <c r="N419" s="5" t="inlineStr">
        <is>
          <t>no</t>
        </is>
      </c>
    </row>
    <row r="420">
      <c r="A420" s="5" t="n">
        <v>419</v>
      </c>
      <c r="B420" s="5" t="inlineStr">
        <is>
          <t>LG-40x15</t>
        </is>
      </c>
      <c r="C420" s="5" t="inlineStr">
        <is>
          <t>grade_beam</t>
        </is>
      </c>
      <c r="D420" s="5" t="inlineStr">
        <is>
          <t>grade_beam</t>
        </is>
      </c>
      <c r="E420" s="5" t="n">
        <v>1077.1</v>
      </c>
      <c r="F420" s="5" t="n">
        <v>1904.2</v>
      </c>
      <c r="G420" s="5" t="n">
        <v>799</v>
      </c>
      <c r="H420" s="5" t="n">
        <v>3</v>
      </c>
      <c r="I420" s="5" t="inlineStr">
        <is>
          <t>grade_beam</t>
        </is>
      </c>
      <c r="J420" s="5" t="inlineStr">
        <is>
          <t>yes</t>
        </is>
      </c>
      <c r="K420" s="5" t="n">
        <v>799</v>
      </c>
      <c r="L420" s="5" t="n">
        <v>0.18</v>
      </c>
      <c r="M420" s="5" t="n">
        <v>0</v>
      </c>
      <c r="N420" s="5" t="inlineStr">
        <is>
          <t>yes</t>
        </is>
      </c>
    </row>
    <row r="421">
      <c r="A421" s="5" t="n">
        <v>420</v>
      </c>
      <c r="B421" s="5" t="inlineStr">
        <is>
          <t>LG-40x15</t>
        </is>
      </c>
      <c r="C421" s="5" t="inlineStr">
        <is>
          <t>grade_beam</t>
        </is>
      </c>
      <c r="D421" s="5" t="inlineStr">
        <is>
          <t>grade_beam</t>
        </is>
      </c>
      <c r="E421" s="5" t="n">
        <v>1227.1</v>
      </c>
      <c r="F421" s="5" t="n">
        <v>1933.3</v>
      </c>
      <c r="G421" s="5" t="n">
        <v>796</v>
      </c>
      <c r="H421" s="5" t="n">
        <v>3</v>
      </c>
      <c r="I421" s="5" t="inlineStr">
        <is>
          <t>grade_beam</t>
        </is>
      </c>
      <c r="J421" s="5" t="inlineStr">
        <is>
          <t>yes</t>
        </is>
      </c>
      <c r="K421" s="5" t="n">
        <v>796</v>
      </c>
      <c r="L421" s="5" t="n">
        <v>0.21</v>
      </c>
      <c r="M421" s="5" t="n">
        <v>0.02</v>
      </c>
      <c r="N421" s="5" t="inlineStr">
        <is>
          <t>yes</t>
        </is>
      </c>
    </row>
    <row r="422">
      <c r="A422" s="5" t="n">
        <v>421</v>
      </c>
      <c r="B422" s="5" t="inlineStr">
        <is>
          <t>LG-40x15</t>
        </is>
      </c>
      <c r="C422" s="5" t="inlineStr">
        <is>
          <t>grade_beam</t>
        </is>
      </c>
      <c r="D422" s="5" t="inlineStr">
        <is>
          <t>grade_beam</t>
        </is>
      </c>
      <c r="E422" s="5" t="n">
        <v>945.8</v>
      </c>
      <c r="F422" s="5" t="n">
        <v>1839.6</v>
      </c>
      <c r="G422" s="5" t="n">
        <v>794</v>
      </c>
      <c r="H422" s="5" t="n">
        <v>3</v>
      </c>
      <c r="I422" s="5" t="inlineStr">
        <is>
          <t>grade_beam</t>
        </is>
      </c>
      <c r="J422" s="5" t="inlineStr">
        <is>
          <t>yes</t>
        </is>
      </c>
      <c r="K422" s="5" t="n">
        <v>794</v>
      </c>
      <c r="L422" s="5" t="n">
        <v>0.17</v>
      </c>
      <c r="M422" s="5" t="n">
        <v>0.02</v>
      </c>
      <c r="N422" s="5" t="inlineStr">
        <is>
          <t>yes</t>
        </is>
      </c>
    </row>
    <row r="423">
      <c r="A423" s="5" t="n">
        <v>422</v>
      </c>
      <c r="B423" s="5" t="inlineStr">
        <is>
          <t>LG-40x15</t>
        </is>
      </c>
      <c r="C423" s="5" t="inlineStr">
        <is>
          <t>grade_beam</t>
        </is>
      </c>
      <c r="D423" s="5" t="inlineStr">
        <is>
          <t>grade_beam</t>
        </is>
      </c>
      <c r="E423" s="5" t="n">
        <v>1247.9</v>
      </c>
      <c r="F423" s="5" t="n">
        <v>1258.3</v>
      </c>
      <c r="G423" s="5" t="n">
        <v>933</v>
      </c>
      <c r="H423" s="5" t="n">
        <v>3</v>
      </c>
      <c r="I423" s="5" t="inlineStr">
        <is>
          <t>grade_beam</t>
        </is>
      </c>
      <c r="J423" s="5" t="inlineStr">
        <is>
          <t>yes</t>
        </is>
      </c>
      <c r="K423" s="5" t="n">
        <v>933</v>
      </c>
      <c r="L423" s="5" t="n">
        <v>0.25</v>
      </c>
      <c r="M423" s="5" t="n">
        <v>0.2</v>
      </c>
      <c r="N423" s="5" t="inlineStr">
        <is>
          <t>yes</t>
        </is>
      </c>
    </row>
    <row r="424">
      <c r="A424" s="5" t="n">
        <v>423</v>
      </c>
      <c r="B424" s="5" t="inlineStr">
        <is>
          <t>LG-40x15</t>
        </is>
      </c>
      <c r="C424" s="5" t="inlineStr">
        <is>
          <t>grade_beam</t>
        </is>
      </c>
      <c r="D424" s="5" t="inlineStr">
        <is>
          <t>grade_beam</t>
        </is>
      </c>
      <c r="E424" s="5" t="n">
        <v>1103.1</v>
      </c>
      <c r="F424" s="5" t="n">
        <v>1535.4</v>
      </c>
      <c r="G424" s="5" t="n">
        <v>934</v>
      </c>
      <c r="H424" s="5" t="n">
        <v>3</v>
      </c>
      <c r="I424" s="5" t="inlineStr">
        <is>
          <t>grade_beam</t>
        </is>
      </c>
      <c r="J424" s="5" t="inlineStr">
        <is>
          <t>yes</t>
        </is>
      </c>
      <c r="K424" s="5" t="n">
        <v>934</v>
      </c>
      <c r="L424" s="5" t="n">
        <v>0.19</v>
      </c>
      <c r="M424" s="5" t="n">
        <v>0.01</v>
      </c>
      <c r="N424" s="5" t="inlineStr">
        <is>
          <t>yes</t>
        </is>
      </c>
    </row>
    <row r="425">
      <c r="A425" s="5" t="n">
        <v>424</v>
      </c>
      <c r="B425" s="5" t="inlineStr">
        <is>
          <t>LG-40x15</t>
        </is>
      </c>
      <c r="C425" s="5" t="inlineStr">
        <is>
          <t>grade_beam</t>
        </is>
      </c>
      <c r="D425" s="5" t="inlineStr">
        <is>
          <t>grade_beam</t>
        </is>
      </c>
      <c r="E425" s="5" t="n">
        <v>1308.3</v>
      </c>
      <c r="F425" s="5" t="n">
        <v>1504.2</v>
      </c>
      <c r="G425" s="5" t="n">
        <v>934</v>
      </c>
      <c r="H425" s="5" t="n">
        <v>3</v>
      </c>
      <c r="I425" s="5" t="inlineStr">
        <is>
          <t>grade_beam</t>
        </is>
      </c>
      <c r="J425" s="5" t="inlineStr">
        <is>
          <t>yes</t>
        </is>
      </c>
      <c r="K425" s="5" t="n">
        <v>934</v>
      </c>
      <c r="L425" s="5" t="n">
        <v>0.16</v>
      </c>
      <c r="M425" s="5" t="n">
        <v>0.24</v>
      </c>
      <c r="N425" s="5" t="inlineStr">
        <is>
          <t>yes</t>
        </is>
      </c>
    </row>
    <row r="426">
      <c r="A426" s="5" t="n">
        <v>425</v>
      </c>
      <c r="B426" s="5" t="inlineStr">
        <is>
          <t>LG-40x15</t>
        </is>
      </c>
      <c r="C426" s="5" t="inlineStr">
        <is>
          <t>grade_beam</t>
        </is>
      </c>
      <c r="D426" s="5" t="inlineStr">
        <is>
          <t>grade_beam</t>
        </is>
      </c>
      <c r="E426" s="5" t="n">
        <v>1667.7</v>
      </c>
      <c r="F426" s="5" t="n">
        <v>2375</v>
      </c>
      <c r="G426" s="5" t="n">
        <v>664</v>
      </c>
      <c r="H426" s="5" t="n">
        <v>3</v>
      </c>
      <c r="I426" s="5" t="inlineStr">
        <is>
          <t>grade_beam</t>
        </is>
      </c>
      <c r="J426" s="5" t="inlineStr">
        <is>
          <t>yes</t>
        </is>
      </c>
      <c r="K426" s="5" t="n">
        <v>664</v>
      </c>
      <c r="L426" s="5" t="n">
        <v>0.21</v>
      </c>
      <c r="M426" s="5" t="n">
        <v>0</v>
      </c>
      <c r="N426" s="5" t="inlineStr">
        <is>
          <t>yes</t>
        </is>
      </c>
    </row>
    <row r="427">
      <c r="A427" s="5" t="n">
        <v>426</v>
      </c>
      <c r="B427" s="5" t="inlineStr">
        <is>
          <t>LG-40x15</t>
        </is>
      </c>
      <c r="C427" s="5" t="inlineStr">
        <is>
          <t>grade_beam</t>
        </is>
      </c>
      <c r="D427" s="5" t="inlineStr">
        <is>
          <t>grade_beam</t>
        </is>
      </c>
      <c r="E427" s="5" t="n">
        <v>1521.9</v>
      </c>
      <c r="F427" s="5" t="n">
        <v>2303.1</v>
      </c>
      <c r="G427" s="5" t="n">
        <v>664</v>
      </c>
      <c r="H427" s="5" t="n">
        <v>3</v>
      </c>
      <c r="I427" s="5" t="inlineStr">
        <is>
          <t>grade_beam</t>
        </is>
      </c>
      <c r="J427" s="5" t="inlineStr">
        <is>
          <t>yes</t>
        </is>
      </c>
      <c r="K427" s="5" t="n">
        <v>664</v>
      </c>
      <c r="L427" s="5" t="n">
        <v>0.18</v>
      </c>
      <c r="M427" s="5" t="n">
        <v>0</v>
      </c>
      <c r="N427" s="5" t="inlineStr">
        <is>
          <t>yes</t>
        </is>
      </c>
    </row>
    <row r="428">
      <c r="A428" s="5" t="n">
        <v>427</v>
      </c>
      <c r="B428" s="5" t="inlineStr">
        <is>
          <t>LG-40x15</t>
        </is>
      </c>
      <c r="C428" s="5" t="inlineStr">
        <is>
          <t>grade_beam</t>
        </is>
      </c>
      <c r="D428" s="5" t="inlineStr">
        <is>
          <t>grade_beam</t>
        </is>
      </c>
      <c r="E428" s="5" t="n">
        <v>1928.1</v>
      </c>
      <c r="F428" s="5" t="n">
        <v>2642.7</v>
      </c>
      <c r="G428" s="5" t="n">
        <v>600</v>
      </c>
      <c r="H428" s="5" t="n">
        <v>3</v>
      </c>
      <c r="I428" s="5" t="inlineStr">
        <is>
          <t>grade_beam</t>
        </is>
      </c>
      <c r="J428" s="5" t="inlineStr">
        <is>
          <t>yes</t>
        </is>
      </c>
      <c r="K428" s="5" t="n">
        <v>600</v>
      </c>
      <c r="L428" s="5" t="n">
        <v>0.23</v>
      </c>
      <c r="M428" s="5" t="n">
        <v>0</v>
      </c>
      <c r="N428" s="5" t="inlineStr">
        <is>
          <t>yes</t>
        </is>
      </c>
    </row>
    <row r="429">
      <c r="A429" s="5" t="n">
        <v>428</v>
      </c>
      <c r="B429" s="5" t="inlineStr">
        <is>
          <t>LG-40x15</t>
        </is>
      </c>
      <c r="C429" s="5" t="inlineStr">
        <is>
          <t>grade_beam</t>
        </is>
      </c>
      <c r="D429" s="5" t="inlineStr">
        <is>
          <t>grade_beam</t>
        </is>
      </c>
      <c r="E429" s="5" t="n">
        <v>4309.4</v>
      </c>
      <c r="F429" s="5" t="n">
        <v>760.4</v>
      </c>
      <c r="G429" s="5" t="n">
        <v>61</v>
      </c>
      <c r="H429" s="5" t="n">
        <v>3</v>
      </c>
      <c r="I429" s="5" t="inlineStr">
        <is>
          <t>grade_beam</t>
        </is>
      </c>
      <c r="J429" s="5" t="inlineStr">
        <is>
          <t>yes</t>
        </is>
      </c>
      <c r="K429" s="5" t="n">
        <v>61</v>
      </c>
      <c r="L429" s="5" t="n">
        <v>0.12</v>
      </c>
      <c r="M429" s="5" t="n">
        <v>0</v>
      </c>
      <c r="N429" s="5" t="inlineStr">
        <is>
          <t>yes</t>
        </is>
      </c>
    </row>
    <row r="430">
      <c r="A430" s="5" t="n">
        <v>429</v>
      </c>
      <c r="B430" s="5" t="inlineStr">
        <is>
          <t>LG-40x15</t>
        </is>
      </c>
      <c r="C430" s="5" t="inlineStr">
        <is>
          <t>grade_beam</t>
        </is>
      </c>
      <c r="D430" s="5" t="inlineStr">
        <is>
          <t>grade_beam</t>
        </is>
      </c>
      <c r="E430" s="5" t="n">
        <v>4408.3</v>
      </c>
      <c r="F430" s="5" t="n">
        <v>819.8</v>
      </c>
      <c r="G430" s="5" t="n">
        <v>68</v>
      </c>
      <c r="H430" s="5" t="n">
        <v>3</v>
      </c>
      <c r="I430" s="5" t="inlineStr">
        <is>
          <t>grade_beam</t>
        </is>
      </c>
      <c r="J430" s="5" t="inlineStr">
        <is>
          <t>yes</t>
        </is>
      </c>
      <c r="K430" s="5" t="n">
        <v>68</v>
      </c>
      <c r="L430" s="5" t="n">
        <v>0.16</v>
      </c>
      <c r="M430" s="5" t="n">
        <v>0</v>
      </c>
      <c r="N430" s="5" t="inlineStr">
        <is>
          <t>yes</t>
        </is>
      </c>
    </row>
    <row r="431">
      <c r="A431" s="5" t="n">
        <v>430</v>
      </c>
      <c r="B431" s="5" t="inlineStr">
        <is>
          <t>LG-40x15</t>
        </is>
      </c>
      <c r="C431" s="5" t="inlineStr">
        <is>
          <t>grade_beam</t>
        </is>
      </c>
      <c r="D431" s="5" t="inlineStr">
        <is>
          <t>grade_beam</t>
        </is>
      </c>
      <c r="E431" s="5" t="n">
        <v>4560.4</v>
      </c>
      <c r="F431" s="5" t="n">
        <v>1252.1</v>
      </c>
      <c r="G431" s="5" t="n">
        <v>62</v>
      </c>
      <c r="H431" s="5" t="n">
        <v>3</v>
      </c>
      <c r="I431" s="5" t="inlineStr">
        <is>
          <t>grade_beam</t>
        </is>
      </c>
      <c r="J431" s="5" t="inlineStr">
        <is>
          <t>yes</t>
        </is>
      </c>
      <c r="K431" s="5" t="n">
        <v>62</v>
      </c>
      <c r="L431" s="5" t="n">
        <v>0.24</v>
      </c>
      <c r="M431" s="5" t="n">
        <v>0</v>
      </c>
      <c r="N431" s="5" t="inlineStr">
        <is>
          <t>yes</t>
        </is>
      </c>
    </row>
    <row r="432">
      <c r="A432" s="5" t="n">
        <v>431</v>
      </c>
      <c r="B432" s="5" t="inlineStr">
        <is>
          <t>LG-40x15</t>
        </is>
      </c>
      <c r="C432" s="5" t="inlineStr">
        <is>
          <t>grade_beam</t>
        </is>
      </c>
      <c r="D432" s="5" t="inlineStr">
        <is>
          <t>grade_beam</t>
        </is>
      </c>
      <c r="E432" s="5" t="n">
        <v>4558.3</v>
      </c>
      <c r="F432" s="5" t="n">
        <v>1074</v>
      </c>
      <c r="G432" s="5" t="n">
        <v>62</v>
      </c>
      <c r="H432" s="5" t="n">
        <v>3</v>
      </c>
      <c r="I432" s="5" t="inlineStr">
        <is>
          <t>grade_beam</t>
        </is>
      </c>
      <c r="J432" s="5" t="inlineStr">
        <is>
          <t>yes</t>
        </is>
      </c>
      <c r="K432" s="5" t="n">
        <v>62</v>
      </c>
      <c r="L432" s="5" t="n">
        <v>0.18</v>
      </c>
      <c r="M432" s="5" t="n">
        <v>0</v>
      </c>
      <c r="N432" s="5" t="inlineStr">
        <is>
          <t>yes</t>
        </is>
      </c>
    </row>
    <row r="433">
      <c r="A433" s="5" t="n">
        <v>432</v>
      </c>
      <c r="B433" s="5" t="inlineStr">
        <is>
          <t>LG-40x15</t>
        </is>
      </c>
      <c r="C433" s="5" t="inlineStr">
        <is>
          <t>grade_beam</t>
        </is>
      </c>
      <c r="D433" s="5" t="inlineStr">
        <is>
          <t>grade_beam</t>
        </is>
      </c>
      <c r="E433" s="5" t="n">
        <v>4558.3</v>
      </c>
      <c r="F433" s="5" t="n">
        <v>915.6</v>
      </c>
      <c r="G433" s="5" t="n">
        <v>62</v>
      </c>
      <c r="H433" s="5" t="n">
        <v>3</v>
      </c>
      <c r="I433" s="5" t="inlineStr">
        <is>
          <t>grade_beam</t>
        </is>
      </c>
      <c r="J433" s="5" t="inlineStr">
        <is>
          <t>yes</t>
        </is>
      </c>
      <c r="K433" s="5" t="n">
        <v>62</v>
      </c>
      <c r="L433" s="5" t="n">
        <v>0.19</v>
      </c>
      <c r="M433" s="5" t="n">
        <v>0</v>
      </c>
      <c r="N433" s="5" t="inlineStr">
        <is>
          <t>yes</t>
        </is>
      </c>
    </row>
    <row r="434">
      <c r="A434" s="5" t="n">
        <v>433</v>
      </c>
      <c r="B434" s="5" t="inlineStr">
        <is>
          <t>LG-40x15</t>
        </is>
      </c>
      <c r="C434" s="5" t="inlineStr">
        <is>
          <t>grade_beam</t>
        </is>
      </c>
      <c r="D434" s="5" t="inlineStr">
        <is>
          <t>grade_beam</t>
        </is>
      </c>
      <c r="E434" s="5" t="n">
        <v>4558.3</v>
      </c>
      <c r="F434" s="5" t="n">
        <v>771.9</v>
      </c>
      <c r="G434" s="5" t="n">
        <v>62</v>
      </c>
      <c r="H434" s="5" t="n">
        <v>3</v>
      </c>
      <c r="I434" s="5" t="inlineStr">
        <is>
          <t>grade_beam</t>
        </is>
      </c>
      <c r="J434" s="5" t="inlineStr">
        <is>
          <t>yes</t>
        </is>
      </c>
      <c r="K434" s="5" t="n">
        <v>62</v>
      </c>
      <c r="L434" s="5" t="n">
        <v>0.19</v>
      </c>
      <c r="M434" s="5" t="n">
        <v>0</v>
      </c>
      <c r="N434" s="5" t="inlineStr">
        <is>
          <t>yes</t>
        </is>
      </c>
    </row>
    <row r="435">
      <c r="A435" s="5" t="n">
        <v>434</v>
      </c>
      <c r="B435" s="5" t="inlineStr">
        <is>
          <t>LG-40x15</t>
        </is>
      </c>
      <c r="C435" s="5" t="inlineStr">
        <is>
          <t>grade_beam</t>
        </is>
      </c>
      <c r="D435" s="5" t="inlineStr">
        <is>
          <t>grade_beam</t>
        </is>
      </c>
      <c r="E435" s="5" t="n">
        <v>4558.3</v>
      </c>
      <c r="F435" s="5" t="n">
        <v>628.1</v>
      </c>
      <c r="G435" s="5" t="n">
        <v>62</v>
      </c>
      <c r="H435" s="5" t="n">
        <v>3</v>
      </c>
      <c r="I435" s="5" t="inlineStr">
        <is>
          <t>grade_beam</t>
        </is>
      </c>
      <c r="J435" s="5" t="inlineStr">
        <is>
          <t>yes</t>
        </is>
      </c>
      <c r="K435" s="5" t="n">
        <v>62</v>
      </c>
      <c r="L435" s="5" t="n">
        <v>0.2</v>
      </c>
      <c r="M435" s="5" t="n">
        <v>0</v>
      </c>
      <c r="N435" s="5" t="inlineStr">
        <is>
          <t>yes</t>
        </is>
      </c>
    </row>
    <row r="436">
      <c r="A436" s="5" t="n">
        <v>435</v>
      </c>
      <c r="B436" s="5" t="inlineStr">
        <is>
          <t>LG-40x15</t>
        </is>
      </c>
      <c r="C436" s="5" t="inlineStr">
        <is>
          <t>grade_beam</t>
        </is>
      </c>
      <c r="D436" s="5" t="inlineStr">
        <is>
          <t>grade_beam</t>
        </is>
      </c>
      <c r="E436" s="5" t="n">
        <v>4312.5</v>
      </c>
      <c r="F436" s="5" t="n">
        <v>1022.9</v>
      </c>
      <c r="G436" s="5" t="n">
        <v>61</v>
      </c>
      <c r="H436" s="5" t="n">
        <v>3</v>
      </c>
      <c r="I436" s="5" t="inlineStr">
        <is>
          <t>grade_beam</t>
        </is>
      </c>
      <c r="J436" s="5" t="inlineStr">
        <is>
          <t>yes</t>
        </is>
      </c>
      <c r="K436" s="5" t="n">
        <v>61</v>
      </c>
      <c r="L436" s="5" t="n">
        <v>0.24</v>
      </c>
      <c r="M436" s="5" t="n">
        <v>0</v>
      </c>
      <c r="N436" s="5" t="inlineStr">
        <is>
          <t>yes</t>
        </is>
      </c>
    </row>
    <row r="437">
      <c r="A437" s="5" t="n">
        <v>436</v>
      </c>
      <c r="B437" s="5" t="inlineStr">
        <is>
          <t>LG-40x15</t>
        </is>
      </c>
      <c r="C437" s="5" t="inlineStr">
        <is>
          <t>grade_beam</t>
        </is>
      </c>
      <c r="D437" s="5" t="inlineStr">
        <is>
          <t>grade_beam</t>
        </is>
      </c>
      <c r="E437" s="5" t="n">
        <v>4310.4</v>
      </c>
      <c r="F437" s="5" t="n">
        <v>582.3</v>
      </c>
      <c r="G437" s="5" t="n">
        <v>61</v>
      </c>
      <c r="H437" s="5" t="n">
        <v>3</v>
      </c>
      <c r="I437" s="5" t="inlineStr">
        <is>
          <t>grade_beam</t>
        </is>
      </c>
      <c r="J437" s="5" t="inlineStr">
        <is>
          <t>yes</t>
        </is>
      </c>
      <c r="K437" s="5" t="n">
        <v>61</v>
      </c>
      <c r="L437" s="5" t="n">
        <v>0.15</v>
      </c>
      <c r="M437" s="5" t="n">
        <v>0</v>
      </c>
      <c r="N437" s="5" t="inlineStr">
        <is>
          <t>yes</t>
        </is>
      </c>
    </row>
    <row r="438">
      <c r="A438" s="5" t="n">
        <v>437</v>
      </c>
      <c r="B438" s="5" t="inlineStr">
        <is>
          <t>LG-40x15</t>
        </is>
      </c>
      <c r="C438" s="5" t="inlineStr">
        <is>
          <t>grade_beam</t>
        </is>
      </c>
      <c r="D438" s="5" t="inlineStr">
        <is>
          <t>grade_beam</t>
        </is>
      </c>
      <c r="E438" s="5" t="n">
        <v>4313.5</v>
      </c>
      <c r="F438" s="5" t="n">
        <v>1216.7</v>
      </c>
      <c r="G438" s="5" t="n">
        <v>61</v>
      </c>
      <c r="H438" s="5" t="n">
        <v>3</v>
      </c>
      <c r="I438" s="5" t="inlineStr">
        <is>
          <t>grade_beam</t>
        </is>
      </c>
      <c r="J438" s="5" t="inlineStr">
        <is>
          <t>yes</t>
        </is>
      </c>
      <c r="K438" s="5" t="n">
        <v>61</v>
      </c>
      <c r="L438" s="5" t="n">
        <v>0.28</v>
      </c>
      <c r="M438" s="5" t="n">
        <v>0</v>
      </c>
      <c r="N438" s="5" t="inlineStr">
        <is>
          <t>yes</t>
        </is>
      </c>
    </row>
    <row r="439">
      <c r="A439" s="5" t="n">
        <v>438</v>
      </c>
      <c r="B439" s="5" t="inlineStr">
        <is>
          <t>LG-40x15</t>
        </is>
      </c>
      <c r="C439" s="5" t="inlineStr">
        <is>
          <t>grade_beam</t>
        </is>
      </c>
      <c r="D439" s="5" t="inlineStr">
        <is>
          <t>grade_beam</t>
        </is>
      </c>
      <c r="E439" s="5" t="n">
        <v>4434.4</v>
      </c>
      <c r="F439" s="5" t="n">
        <v>627.1</v>
      </c>
      <c r="G439" s="5" t="n">
        <v>67</v>
      </c>
      <c r="H439" s="5" t="n">
        <v>3</v>
      </c>
      <c r="I439" s="5" t="inlineStr">
        <is>
          <t>grade_beam</t>
        </is>
      </c>
      <c r="J439" s="5" t="inlineStr">
        <is>
          <t>yes</t>
        </is>
      </c>
      <c r="K439" s="5" t="n">
        <v>67</v>
      </c>
      <c r="L439" s="5" t="n">
        <v>0.18</v>
      </c>
      <c r="M439" s="5" t="n">
        <v>0.01</v>
      </c>
      <c r="N439" s="5" t="inlineStr">
        <is>
          <t>yes</t>
        </is>
      </c>
    </row>
    <row r="440">
      <c r="A440" s="5" t="n">
        <v>439</v>
      </c>
      <c r="B440" s="5" t="inlineStr">
        <is>
          <t>LG-40x15</t>
        </is>
      </c>
      <c r="C440" s="5" t="inlineStr">
        <is>
          <t>grade_beam</t>
        </is>
      </c>
      <c r="D440" s="5" t="inlineStr">
        <is>
          <t>grade_beam</t>
        </is>
      </c>
      <c r="E440" s="5" t="n">
        <v>4687.5</v>
      </c>
      <c r="F440" s="5" t="n">
        <v>674</v>
      </c>
      <c r="G440" s="5" t="n">
        <v>69</v>
      </c>
      <c r="H440" s="5" t="n">
        <v>3</v>
      </c>
      <c r="I440" s="5" t="inlineStr">
        <is>
          <t>grade_beam</t>
        </is>
      </c>
      <c r="J440" s="5" t="inlineStr">
        <is>
          <t>yes</t>
        </is>
      </c>
      <c r="K440" s="5" t="n">
        <v>69</v>
      </c>
      <c r="L440" s="5" t="n">
        <v>0.18</v>
      </c>
      <c r="M440" s="5" t="n">
        <v>0</v>
      </c>
      <c r="N440" s="5" t="inlineStr">
        <is>
          <t>yes</t>
        </is>
      </c>
    </row>
    <row r="441">
      <c r="A441" s="5" t="n">
        <v>440</v>
      </c>
      <c r="B441" s="5" t="inlineStr">
        <is>
          <t>LG-40x15</t>
        </is>
      </c>
      <c r="C441" s="5" t="inlineStr">
        <is>
          <t>grade_beam</t>
        </is>
      </c>
      <c r="D441" s="5" t="inlineStr">
        <is>
          <t>grade_beam</t>
        </is>
      </c>
      <c r="E441" s="5" t="n">
        <v>4432.3</v>
      </c>
      <c r="F441" s="5" t="n">
        <v>533.3</v>
      </c>
      <c r="G441" s="5" t="n">
        <v>65</v>
      </c>
      <c r="H441" s="5" t="n">
        <v>3</v>
      </c>
      <c r="I441" s="5" t="inlineStr">
        <is>
          <t>grade_beam</t>
        </is>
      </c>
      <c r="J441" s="5" t="inlineStr">
        <is>
          <t>yes</t>
        </is>
      </c>
      <c r="K441" s="5" t="n">
        <v>65</v>
      </c>
      <c r="L441" s="5" t="n">
        <v>0.21</v>
      </c>
      <c r="M441" s="5" t="n">
        <v>0</v>
      </c>
      <c r="N441" s="5" t="inlineStr">
        <is>
          <t>yes</t>
        </is>
      </c>
    </row>
    <row r="442">
      <c r="A442" s="5" t="n">
        <v>441</v>
      </c>
      <c r="B442" s="5" t="inlineStr">
        <is>
          <t>LG-40x15</t>
        </is>
      </c>
      <c r="C442" s="5" t="inlineStr">
        <is>
          <t>grade_beam</t>
        </is>
      </c>
      <c r="D442" s="5" t="inlineStr">
        <is>
          <t>grade_beam</t>
        </is>
      </c>
      <c r="E442" s="5" t="n">
        <v>4422.9</v>
      </c>
      <c r="F442" s="5" t="n">
        <v>966.7</v>
      </c>
      <c r="G442" s="5" t="n">
        <v>64</v>
      </c>
      <c r="H442" s="5" t="n">
        <v>3</v>
      </c>
      <c r="I442" s="5" t="inlineStr">
        <is>
          <t>grade_beam</t>
        </is>
      </c>
      <c r="J442" s="5" t="inlineStr">
        <is>
          <t>yes</t>
        </is>
      </c>
      <c r="K442" s="5" t="n">
        <v>64</v>
      </c>
      <c r="L442" s="5" t="n">
        <v>0.18</v>
      </c>
      <c r="M442" s="5" t="n">
        <v>0</v>
      </c>
      <c r="N442" s="5" t="inlineStr">
        <is>
          <t>yes</t>
        </is>
      </c>
    </row>
    <row r="443">
      <c r="A443" s="5" t="n">
        <v>442</v>
      </c>
      <c r="B443" s="5" t="inlineStr">
        <is>
          <t>LG-40x15</t>
        </is>
      </c>
      <c r="C443" s="5" t="inlineStr">
        <is>
          <t>grade_beam</t>
        </is>
      </c>
      <c r="D443" s="5" t="inlineStr">
        <is>
          <t>grade_beam</t>
        </is>
      </c>
      <c r="E443" s="5" t="n">
        <v>4686.5</v>
      </c>
      <c r="F443" s="5" t="n">
        <v>968.8</v>
      </c>
      <c r="G443" s="5" t="n">
        <v>64</v>
      </c>
      <c r="H443" s="5" t="n">
        <v>3</v>
      </c>
      <c r="I443" s="5" t="inlineStr">
        <is>
          <t>grade_beam</t>
        </is>
      </c>
      <c r="J443" s="5" t="inlineStr">
        <is>
          <t>yes</t>
        </is>
      </c>
      <c r="K443" s="5" t="n">
        <v>64</v>
      </c>
      <c r="L443" s="5" t="n">
        <v>0.12</v>
      </c>
      <c r="M443" s="5" t="n">
        <v>0.04</v>
      </c>
      <c r="N443" s="5" t="inlineStr">
        <is>
          <t>yes</t>
        </is>
      </c>
    </row>
    <row r="444">
      <c r="A444" s="5" t="n">
        <v>443</v>
      </c>
      <c r="B444" s="5" t="inlineStr">
        <is>
          <t>LG-40x15</t>
        </is>
      </c>
      <c r="C444" s="5" t="inlineStr">
        <is>
          <t>grade_beam</t>
        </is>
      </c>
      <c r="D444" s="5" t="inlineStr">
        <is>
          <t>grade_beam</t>
        </is>
      </c>
      <c r="E444" s="5" t="n">
        <v>4674</v>
      </c>
      <c r="F444" s="5" t="n">
        <v>1131.2</v>
      </c>
      <c r="G444" s="5" t="n">
        <v>70</v>
      </c>
      <c r="H444" s="5" t="n">
        <v>3</v>
      </c>
      <c r="I444" s="5" t="inlineStr">
        <is>
          <t>grade_beam</t>
        </is>
      </c>
      <c r="J444" s="5" t="inlineStr">
        <is>
          <t>yes</t>
        </is>
      </c>
      <c r="K444" s="5" t="n">
        <v>70</v>
      </c>
      <c r="L444" s="5" t="n">
        <v>0.24</v>
      </c>
      <c r="M444" s="5" t="n">
        <v>0</v>
      </c>
      <c r="N444" s="5" t="inlineStr">
        <is>
          <t>yes</t>
        </is>
      </c>
    </row>
    <row r="445">
      <c r="A445" s="5" t="n">
        <v>444</v>
      </c>
      <c r="B445" s="5" t="inlineStr">
        <is>
          <t>LG-40x15</t>
        </is>
      </c>
      <c r="C445" s="5" t="inlineStr">
        <is>
          <t>grade_beam</t>
        </is>
      </c>
      <c r="D445" s="5" t="inlineStr">
        <is>
          <t>grade_beam</t>
        </is>
      </c>
      <c r="E445" s="5" t="n">
        <v>4436.5</v>
      </c>
      <c r="F445" s="5" t="n">
        <v>1088.5</v>
      </c>
      <c r="G445" s="5" t="n">
        <v>66</v>
      </c>
      <c r="H445" s="5" t="n">
        <v>3</v>
      </c>
      <c r="I445" s="5" t="inlineStr">
        <is>
          <t>grade_beam</t>
        </is>
      </c>
      <c r="J445" s="5" t="inlineStr">
        <is>
          <t>yes</t>
        </is>
      </c>
      <c r="K445" s="5" t="n">
        <v>66</v>
      </c>
      <c r="L445" s="5" t="n">
        <v>0.12</v>
      </c>
      <c r="M445" s="5" t="n">
        <v>0</v>
      </c>
      <c r="N445" s="5" t="inlineStr">
        <is>
          <t>yes</t>
        </is>
      </c>
    </row>
    <row r="446">
      <c r="A446" s="5" t="n">
        <v>445</v>
      </c>
      <c r="B446" s="5" t="inlineStr">
        <is>
          <t>LG-40x15</t>
        </is>
      </c>
      <c r="C446" s="5" t="inlineStr">
        <is>
          <t>grade_beam</t>
        </is>
      </c>
      <c r="D446" s="5" t="inlineStr">
        <is>
          <t>grade_beam</t>
        </is>
      </c>
      <c r="E446" s="5" t="n">
        <v>4428.1</v>
      </c>
      <c r="F446" s="5" t="n">
        <v>1312.5</v>
      </c>
      <c r="G446" s="5" t="n">
        <v>63</v>
      </c>
      <c r="H446" s="5" t="n">
        <v>3</v>
      </c>
      <c r="I446" s="5" t="inlineStr">
        <is>
          <t>grade_beam</t>
        </is>
      </c>
      <c r="J446" s="5" t="inlineStr">
        <is>
          <t>yes</t>
        </is>
      </c>
      <c r="K446" s="5" t="n">
        <v>63</v>
      </c>
      <c r="L446" s="5" t="n">
        <v>0.21</v>
      </c>
      <c r="M446" s="5" t="n">
        <v>0</v>
      </c>
      <c r="N446" s="5" t="inlineStr">
        <is>
          <t>yes</t>
        </is>
      </c>
    </row>
    <row r="447">
      <c r="A447" s="5" t="n">
        <v>446</v>
      </c>
      <c r="B447" s="5" t="inlineStr">
        <is>
          <t>LG-40x15</t>
        </is>
      </c>
      <c r="C447" s="5" t="inlineStr">
        <is>
          <t>grade_beam</t>
        </is>
      </c>
      <c r="D447" s="5" t="inlineStr">
        <is>
          <t>grade_beam</t>
        </is>
      </c>
      <c r="E447" s="5" t="n">
        <v>4666.7</v>
      </c>
      <c r="F447" s="5" t="n">
        <v>1311.5</v>
      </c>
      <c r="G447" s="5" t="n">
        <v>63</v>
      </c>
      <c r="H447" s="5" t="n">
        <v>3</v>
      </c>
      <c r="I447" s="5" t="inlineStr">
        <is>
          <t>grade_beam</t>
        </is>
      </c>
      <c r="J447" s="5" t="inlineStr">
        <is>
          <t>yes</t>
        </is>
      </c>
      <c r="K447" s="5" t="n">
        <v>63</v>
      </c>
      <c r="L447" s="5" t="n">
        <v>0.25</v>
      </c>
      <c r="M447" s="5" t="n">
        <v>0</v>
      </c>
      <c r="N447" s="5" t="inlineStr">
        <is>
          <t>yes</t>
        </is>
      </c>
    </row>
    <row r="448">
      <c r="A448" s="5" t="n">
        <v>447</v>
      </c>
      <c r="B448" s="5" t="inlineStr">
        <is>
          <t>LG-40x15</t>
        </is>
      </c>
      <c r="C448" s="5" t="inlineStr">
        <is>
          <t>grade_beam</t>
        </is>
      </c>
      <c r="D448" s="5" t="inlineStr">
        <is>
          <t>grade_beam</t>
        </is>
      </c>
      <c r="E448" s="5" t="n">
        <v>4250</v>
      </c>
      <c r="F448" s="5" t="n">
        <v>628.1</v>
      </c>
      <c r="G448" s="5" t="n">
        <v>67</v>
      </c>
      <c r="H448" s="5" t="n">
        <v>3</v>
      </c>
      <c r="I448" s="5" t="inlineStr">
        <is>
          <t>grade_beam</t>
        </is>
      </c>
      <c r="J448" s="5" t="inlineStr">
        <is>
          <t>yes</t>
        </is>
      </c>
      <c r="K448" s="5" t="n">
        <v>67</v>
      </c>
      <c r="L448" s="5" t="n">
        <v>0.2</v>
      </c>
      <c r="M448" s="5" t="n">
        <v>0.09</v>
      </c>
      <c r="N448" s="5" t="inlineStr">
        <is>
          <t>yes</t>
        </is>
      </c>
    </row>
    <row r="449">
      <c r="A449" s="5" t="n">
        <v>448</v>
      </c>
      <c r="B449" s="5" t="inlineStr">
        <is>
          <t>LG-40x15</t>
        </is>
      </c>
      <c r="C449" s="5" t="inlineStr">
        <is>
          <t>grade_beam</t>
        </is>
      </c>
      <c r="D449" s="5" t="inlineStr">
        <is>
          <t>grade_beam</t>
        </is>
      </c>
      <c r="E449" s="5" t="n">
        <v>4682.3</v>
      </c>
      <c r="F449" s="5" t="n">
        <v>533.3</v>
      </c>
      <c r="G449" s="5" t="n">
        <v>65</v>
      </c>
      <c r="H449" s="5" t="n">
        <v>3</v>
      </c>
      <c r="I449" s="5" t="inlineStr">
        <is>
          <t>grade_beam</t>
        </is>
      </c>
      <c r="J449" s="5" t="inlineStr">
        <is>
          <t>yes</t>
        </is>
      </c>
      <c r="K449" s="5" t="n">
        <v>65</v>
      </c>
      <c r="L449" s="5" t="n">
        <v>0.22</v>
      </c>
      <c r="M449" s="5" t="n">
        <v>0.02</v>
      </c>
      <c r="N449" s="5" t="inlineStr">
        <is>
          <t>yes</t>
        </is>
      </c>
    </row>
    <row r="450">
      <c r="A450" s="5" t="n">
        <v>449</v>
      </c>
      <c r="B450" s="5" t="inlineStr">
        <is>
          <t>LG-40x15</t>
        </is>
      </c>
      <c r="C450" s="5" t="inlineStr">
        <is>
          <t>grade_beam</t>
        </is>
      </c>
      <c r="D450" s="5" t="inlineStr">
        <is>
          <t>grade_beam</t>
        </is>
      </c>
      <c r="E450" s="5" t="n">
        <v>4237.5</v>
      </c>
      <c r="F450" s="5" t="n">
        <v>1314.6</v>
      </c>
      <c r="G450" s="5" t="n">
        <v>63</v>
      </c>
      <c r="H450" s="5" t="n">
        <v>3</v>
      </c>
      <c r="I450" s="5" t="inlineStr">
        <is>
          <t>grade_beam</t>
        </is>
      </c>
      <c r="J450" s="5" t="inlineStr">
        <is>
          <t>yes</t>
        </is>
      </c>
      <c r="K450" s="5" t="n">
        <v>63</v>
      </c>
      <c r="L450" s="5" t="n">
        <v>0.14</v>
      </c>
      <c r="M450" s="5" t="n">
        <v>0.04</v>
      </c>
      <c r="N450" s="5" t="inlineStr">
        <is>
          <t>yes</t>
        </is>
      </c>
    </row>
    <row r="451">
      <c r="A451" s="5" t="n">
        <v>450</v>
      </c>
      <c r="B451" s="5" t="inlineStr">
        <is>
          <t>LG-40x15</t>
        </is>
      </c>
      <c r="C451" s="5" t="inlineStr">
        <is>
          <t>grade_beam</t>
        </is>
      </c>
      <c r="D451" s="5" t="inlineStr">
        <is>
          <t>grade_beam</t>
        </is>
      </c>
      <c r="E451" s="5" t="n">
        <v>4247.9</v>
      </c>
      <c r="F451" s="5" t="n">
        <v>1087.5</v>
      </c>
      <c r="G451" s="5" t="n">
        <v>66</v>
      </c>
      <c r="H451" s="5" t="n">
        <v>3</v>
      </c>
      <c r="I451" s="5" t="inlineStr">
        <is>
          <t>grade_beam</t>
        </is>
      </c>
      <c r="J451" s="5" t="inlineStr">
        <is>
          <t>yes</t>
        </is>
      </c>
      <c r="K451" s="5" t="n">
        <v>66</v>
      </c>
      <c r="L451" s="5" t="n">
        <v>0.15</v>
      </c>
      <c r="M451" s="5" t="n">
        <v>0.06</v>
      </c>
      <c r="N451" s="5" t="inlineStr">
        <is>
          <t>yes</t>
        </is>
      </c>
    </row>
    <row r="452">
      <c r="A452" s="5" t="n">
        <v>451</v>
      </c>
      <c r="B452" s="5" t="inlineStr">
        <is>
          <t>LG-40x15</t>
        </is>
      </c>
      <c r="C452" s="5" t="inlineStr">
        <is>
          <t>grade_beam</t>
        </is>
      </c>
      <c r="D452" s="5" t="inlineStr">
        <is>
          <t>grade_beam</t>
        </is>
      </c>
      <c r="E452" s="5" t="n">
        <v>4241.7</v>
      </c>
      <c r="F452" s="5" t="n">
        <v>856.3</v>
      </c>
      <c r="G452" s="5" t="n">
        <v>71</v>
      </c>
      <c r="H452" s="5" t="n">
        <v>3</v>
      </c>
      <c r="I452" s="5" t="inlineStr">
        <is>
          <t>grade_beam</t>
        </is>
      </c>
      <c r="J452" s="5" t="inlineStr">
        <is>
          <t>yes</t>
        </is>
      </c>
      <c r="K452" s="5" t="n">
        <v>71</v>
      </c>
      <c r="L452" s="5" t="n">
        <v>0.21</v>
      </c>
      <c r="M452" s="5" t="n">
        <v>0</v>
      </c>
      <c r="N452" s="5" t="inlineStr">
        <is>
          <t>yes</t>
        </is>
      </c>
    </row>
    <row r="453">
      <c r="A453" s="5" t="n">
        <v>452</v>
      </c>
      <c r="B453" s="5" t="inlineStr">
        <is>
          <t>LG-40x15</t>
        </is>
      </c>
      <c r="C453" s="5" t="inlineStr">
        <is>
          <t>grade_beam</t>
        </is>
      </c>
      <c r="D453" s="5" t="inlineStr">
        <is>
          <t>grade_beam</t>
        </is>
      </c>
      <c r="E453" s="5" t="n">
        <v>4310.4</v>
      </c>
      <c r="F453" s="5" t="n">
        <v>1469.8</v>
      </c>
      <c r="G453" s="5" t="n">
        <v>137</v>
      </c>
      <c r="H453" s="5" t="n">
        <v>3</v>
      </c>
      <c r="I453" s="5" t="inlineStr">
        <is>
          <t>grade_beam</t>
        </is>
      </c>
      <c r="J453" s="5" t="inlineStr">
        <is>
          <t>yes</t>
        </is>
      </c>
      <c r="K453" s="5" t="n">
        <v>137</v>
      </c>
      <c r="L453" s="5" t="n">
        <v>0.2</v>
      </c>
      <c r="M453" s="5" t="n">
        <v>0</v>
      </c>
      <c r="N453" s="5" t="inlineStr">
        <is>
          <t>yes</t>
        </is>
      </c>
    </row>
    <row r="454">
      <c r="A454" s="5" t="n">
        <v>453</v>
      </c>
      <c r="B454" s="5" t="inlineStr">
        <is>
          <t>LG-40x15</t>
        </is>
      </c>
      <c r="C454" s="5" t="inlineStr">
        <is>
          <t>grade_beam</t>
        </is>
      </c>
      <c r="D454" s="5" t="inlineStr">
        <is>
          <t>grade_beam</t>
        </is>
      </c>
      <c r="E454" s="5" t="n">
        <v>4558.3</v>
      </c>
      <c r="F454" s="5" t="n">
        <v>1458.3</v>
      </c>
      <c r="G454" s="5" t="n">
        <v>138</v>
      </c>
      <c r="H454" s="5" t="n">
        <v>3</v>
      </c>
      <c r="I454" s="5" t="inlineStr">
        <is>
          <t>grade_beam</t>
        </is>
      </c>
      <c r="J454" s="5" t="inlineStr">
        <is>
          <t>yes</t>
        </is>
      </c>
      <c r="K454" s="5" t="n">
        <v>138</v>
      </c>
      <c r="L454" s="5" t="n">
        <v>0.21</v>
      </c>
      <c r="M454" s="5" t="n">
        <v>0</v>
      </c>
      <c r="N454" s="5" t="inlineStr">
        <is>
          <t>yes</t>
        </is>
      </c>
    </row>
    <row r="455">
      <c r="A455" s="5" t="n">
        <v>454</v>
      </c>
      <c r="B455" s="5" t="inlineStr">
        <is>
          <t>LG-40x15</t>
        </is>
      </c>
      <c r="C455" s="5" t="inlineStr">
        <is>
          <t>grade_beam</t>
        </is>
      </c>
      <c r="D455" s="5" t="inlineStr">
        <is>
          <t>grade_beam</t>
        </is>
      </c>
      <c r="E455" s="5" t="n">
        <v>4620.8</v>
      </c>
      <c r="F455" s="5" t="n">
        <v>1455.2</v>
      </c>
      <c r="G455" s="5" t="n">
        <v>140</v>
      </c>
      <c r="H455" s="5" t="n">
        <v>3</v>
      </c>
      <c r="I455" s="5" t="inlineStr">
        <is>
          <t>grade_beam</t>
        </is>
      </c>
      <c r="J455" s="5" t="inlineStr">
        <is>
          <t>yes</t>
        </is>
      </c>
      <c r="K455" s="5" t="n">
        <v>140</v>
      </c>
      <c r="L455" s="5" t="n">
        <v>0.19</v>
      </c>
      <c r="M455" s="5" t="n">
        <v>0</v>
      </c>
      <c r="N455" s="5" t="inlineStr">
        <is>
          <t>yes</t>
        </is>
      </c>
    </row>
    <row r="456">
      <c r="A456" s="5" t="n">
        <v>455</v>
      </c>
      <c r="B456" s="5" t="inlineStr">
        <is>
          <t>LG-40x15</t>
        </is>
      </c>
      <c r="C456" s="5" t="inlineStr">
        <is>
          <t>grade_beam</t>
        </is>
      </c>
      <c r="D456" s="5" t="inlineStr">
        <is>
          <t>grade_beam</t>
        </is>
      </c>
      <c r="E456" s="5" t="n">
        <v>4310.4</v>
      </c>
      <c r="F456" s="5" t="n">
        <v>1710.4</v>
      </c>
      <c r="G456" s="5" t="n">
        <v>137</v>
      </c>
      <c r="H456" s="5" t="n">
        <v>3</v>
      </c>
      <c r="I456" s="5" t="inlineStr">
        <is>
          <t>grade_beam</t>
        </is>
      </c>
      <c r="J456" s="5" t="inlineStr">
        <is>
          <t>yes</t>
        </is>
      </c>
      <c r="K456" s="5" t="n">
        <v>137</v>
      </c>
      <c r="L456" s="5" t="n">
        <v>0.19</v>
      </c>
      <c r="M456" s="5" t="n">
        <v>0</v>
      </c>
      <c r="N456" s="5" t="inlineStr">
        <is>
          <t>yes</t>
        </is>
      </c>
    </row>
    <row r="457">
      <c r="A457" s="5" t="n">
        <v>456</v>
      </c>
      <c r="B457" s="5" t="inlineStr">
        <is>
          <t>LG-40x15</t>
        </is>
      </c>
      <c r="C457" s="5" t="inlineStr">
        <is>
          <t>grade_beam</t>
        </is>
      </c>
      <c r="D457" s="5" t="inlineStr">
        <is>
          <t>grade_beam</t>
        </is>
      </c>
      <c r="E457" s="5" t="n">
        <v>4310.4</v>
      </c>
      <c r="F457" s="5" t="n">
        <v>1915.6</v>
      </c>
      <c r="G457" s="5" t="n">
        <v>137</v>
      </c>
      <c r="H457" s="5" t="n">
        <v>3</v>
      </c>
      <c r="I457" s="5" t="inlineStr">
        <is>
          <t>grade_beam</t>
        </is>
      </c>
      <c r="J457" s="5" t="inlineStr">
        <is>
          <t>yes</t>
        </is>
      </c>
      <c r="K457" s="5" t="n">
        <v>137</v>
      </c>
      <c r="L457" s="5" t="n">
        <v>0.18</v>
      </c>
      <c r="M457" s="5" t="n">
        <v>0</v>
      </c>
      <c r="N457" s="5" t="inlineStr">
        <is>
          <t>yes</t>
        </is>
      </c>
    </row>
    <row r="458">
      <c r="A458" s="5" t="n">
        <v>457</v>
      </c>
      <c r="B458" s="5" t="inlineStr">
        <is>
          <t>LG-40x15</t>
        </is>
      </c>
      <c r="C458" s="5" t="inlineStr">
        <is>
          <t>grade_beam</t>
        </is>
      </c>
      <c r="D458" s="5" t="inlineStr">
        <is>
          <t>grade_beam</t>
        </is>
      </c>
      <c r="E458" s="5" t="n">
        <v>4556.2</v>
      </c>
      <c r="F458" s="5" t="n">
        <v>1871.9</v>
      </c>
      <c r="G458" s="5" t="n">
        <v>138</v>
      </c>
      <c r="H458" s="5" t="n">
        <v>3</v>
      </c>
      <c r="I458" s="5" t="inlineStr">
        <is>
          <t>grade_beam</t>
        </is>
      </c>
      <c r="J458" s="5" t="inlineStr">
        <is>
          <t>yes</t>
        </is>
      </c>
      <c r="K458" s="5" t="n">
        <v>138</v>
      </c>
      <c r="L458" s="5" t="n">
        <v>0.15</v>
      </c>
      <c r="M458" s="5" t="n">
        <v>0</v>
      </c>
      <c r="N458" s="5" t="inlineStr">
        <is>
          <t>yes</t>
        </is>
      </c>
    </row>
    <row r="459">
      <c r="A459" s="5" t="n">
        <v>458</v>
      </c>
      <c r="B459" s="5" t="inlineStr">
        <is>
          <t>LG-40x15</t>
        </is>
      </c>
      <c r="C459" s="5" t="inlineStr">
        <is>
          <t>grade_beam</t>
        </is>
      </c>
      <c r="D459" s="5" t="inlineStr">
        <is>
          <t>grade_beam</t>
        </is>
      </c>
      <c r="E459" s="5" t="n">
        <v>4674</v>
      </c>
      <c r="F459" s="5" t="n">
        <v>1764.6</v>
      </c>
      <c r="G459" s="5" t="n">
        <v>146</v>
      </c>
      <c r="H459" s="5" t="n">
        <v>3</v>
      </c>
      <c r="I459" s="5" t="inlineStr">
        <is>
          <t>grade_beam</t>
        </is>
      </c>
      <c r="J459" s="5" t="inlineStr">
        <is>
          <t>yes</t>
        </is>
      </c>
      <c r="K459" s="5" t="n">
        <v>146</v>
      </c>
      <c r="L459" s="5" t="n">
        <v>0.19</v>
      </c>
      <c r="M459" s="5" t="n">
        <v>0</v>
      </c>
      <c r="N459" s="5" t="inlineStr">
        <is>
          <t>yes</t>
        </is>
      </c>
    </row>
    <row r="460">
      <c r="A460" s="5" t="n">
        <v>459</v>
      </c>
      <c r="B460" s="5" t="inlineStr">
        <is>
          <t>LG-25x40</t>
        </is>
      </c>
      <c r="C460" s="5" t="inlineStr">
        <is>
          <t>grade_beam</t>
        </is>
      </c>
      <c r="D460" s="5" t="inlineStr">
        <is>
          <t>grade_beam</t>
        </is>
      </c>
      <c r="E460" s="5" t="n">
        <v>4415.6</v>
      </c>
      <c r="F460" s="5" t="n">
        <v>2124</v>
      </c>
      <c r="G460" s="5" t="n">
        <v>136</v>
      </c>
      <c r="H460" s="5" t="n">
        <v>1</v>
      </c>
      <c r="I460" s="5" t="inlineStr">
        <is>
          <t>grade_beam</t>
        </is>
      </c>
      <c r="J460" s="5" t="inlineStr">
        <is>
          <t>yes</t>
        </is>
      </c>
      <c r="K460" s="5" t="n">
        <v>136</v>
      </c>
      <c r="L460" s="5" t="n">
        <v>0.16</v>
      </c>
      <c r="M460" s="5" t="n">
        <v>0</v>
      </c>
      <c r="N460" s="5" t="inlineStr">
        <is>
          <t>yes</t>
        </is>
      </c>
    </row>
    <row r="461">
      <c r="A461" s="5" t="n">
        <v>460</v>
      </c>
      <c r="B461" s="5" t="inlineStr">
        <is>
          <t>LG-25x40</t>
        </is>
      </c>
      <c r="C461" s="5" t="inlineStr">
        <is>
          <t>grade_beam</t>
        </is>
      </c>
      <c r="D461" s="5" t="inlineStr">
        <is>
          <t>grade_beam</t>
        </is>
      </c>
      <c r="E461" s="5" t="n">
        <v>4234.4</v>
      </c>
      <c r="F461" s="5" t="n">
        <v>2125</v>
      </c>
      <c r="G461" s="5" t="n">
        <v>136</v>
      </c>
      <c r="H461" s="5" t="n">
        <v>1</v>
      </c>
      <c r="I461" s="5" t="inlineStr">
        <is>
          <t>grade_beam</t>
        </is>
      </c>
      <c r="J461" s="5" t="inlineStr">
        <is>
          <t>yes</t>
        </is>
      </c>
      <c r="K461" s="5" t="n">
        <v>136</v>
      </c>
      <c r="L461" s="5" t="n">
        <v>0.14</v>
      </c>
      <c r="M461" s="5" t="n">
        <v>0</v>
      </c>
      <c r="N461" s="5" t="inlineStr">
        <is>
          <t>yes</t>
        </is>
      </c>
    </row>
    <row r="462">
      <c r="A462" s="5" t="n">
        <v>461</v>
      </c>
      <c r="B462" s="5" t="inlineStr">
        <is>
          <t>LG-40x15</t>
        </is>
      </c>
      <c r="C462" s="5" t="inlineStr">
        <is>
          <t>grade_beam</t>
        </is>
      </c>
      <c r="D462" s="5" t="inlineStr">
        <is>
          <t>grade_beam</t>
        </is>
      </c>
      <c r="E462" s="5" t="n">
        <v>4243.8</v>
      </c>
      <c r="F462" s="5" t="n">
        <v>2012.5</v>
      </c>
      <c r="G462" s="5" t="n">
        <v>142</v>
      </c>
      <c r="H462" s="5" t="n">
        <v>3</v>
      </c>
      <c r="I462" s="5" t="inlineStr">
        <is>
          <t>grade_beam</t>
        </is>
      </c>
      <c r="J462" s="5" t="inlineStr">
        <is>
          <t>yes</t>
        </is>
      </c>
      <c r="K462" s="5" t="n">
        <v>142</v>
      </c>
      <c r="L462" s="5" t="n">
        <v>0.15</v>
      </c>
      <c r="M462" s="5" t="n">
        <v>0.01</v>
      </c>
      <c r="N462" s="5" t="inlineStr">
        <is>
          <t>yes</t>
        </is>
      </c>
    </row>
    <row r="463">
      <c r="A463" s="5" t="n">
        <v>462</v>
      </c>
      <c r="B463" s="5" t="inlineStr">
        <is>
          <t>LG-40x15</t>
        </is>
      </c>
      <c r="C463" s="5" t="inlineStr">
        <is>
          <t>grade_beam</t>
        </is>
      </c>
      <c r="D463" s="5" t="inlineStr">
        <is>
          <t>grade_beam</t>
        </is>
      </c>
      <c r="E463" s="5" t="n">
        <v>4432.3</v>
      </c>
      <c r="F463" s="5" t="n">
        <v>2012.5</v>
      </c>
      <c r="G463" s="5" t="n">
        <v>142</v>
      </c>
      <c r="H463" s="5" t="n">
        <v>3</v>
      </c>
      <c r="I463" s="5" t="inlineStr">
        <is>
          <t>grade_beam</t>
        </is>
      </c>
      <c r="J463" s="5" t="inlineStr">
        <is>
          <t>yes</t>
        </is>
      </c>
      <c r="K463" s="5" t="n">
        <v>142</v>
      </c>
      <c r="L463" s="5" t="n">
        <v>0.15</v>
      </c>
      <c r="M463" s="5" t="n">
        <v>0</v>
      </c>
      <c r="N463" s="5" t="inlineStr">
        <is>
          <t>yes</t>
        </is>
      </c>
    </row>
    <row r="464">
      <c r="A464" s="5" t="n">
        <v>463</v>
      </c>
      <c r="B464" s="5" t="inlineStr">
        <is>
          <t>LG-40x15</t>
        </is>
      </c>
      <c r="C464" s="5" t="inlineStr">
        <is>
          <t>grade_beam</t>
        </is>
      </c>
      <c r="D464" s="5" t="inlineStr">
        <is>
          <t>grade_beam</t>
        </is>
      </c>
      <c r="E464" s="5" t="n">
        <v>4249</v>
      </c>
      <c r="F464" s="5" t="n">
        <v>1783.3</v>
      </c>
      <c r="G464" s="5" t="n">
        <v>141</v>
      </c>
      <c r="H464" s="5" t="n">
        <v>3</v>
      </c>
      <c r="I464" s="5" t="inlineStr">
        <is>
          <t>grade_beam</t>
        </is>
      </c>
      <c r="J464" s="5" t="inlineStr">
        <is>
          <t>yes</t>
        </is>
      </c>
      <c r="K464" s="5" t="n">
        <v>141</v>
      </c>
      <c r="L464" s="5" t="n">
        <v>0.18</v>
      </c>
      <c r="M464" s="5" t="n">
        <v>0</v>
      </c>
      <c r="N464" s="5" t="inlineStr">
        <is>
          <t>yes</t>
        </is>
      </c>
    </row>
    <row r="465">
      <c r="A465" s="5" t="n">
        <v>464</v>
      </c>
      <c r="B465" s="5" t="inlineStr">
        <is>
          <t>LG-40x15</t>
        </is>
      </c>
      <c r="C465" s="5" t="inlineStr">
        <is>
          <t>grade_beam</t>
        </is>
      </c>
      <c r="D465" s="5" t="inlineStr">
        <is>
          <t>grade_beam</t>
        </is>
      </c>
      <c r="E465" s="5" t="n">
        <v>4456.2</v>
      </c>
      <c r="F465" s="5" t="n">
        <v>1783.3</v>
      </c>
      <c r="G465" s="5" t="n">
        <v>141</v>
      </c>
      <c r="H465" s="5" t="n">
        <v>3</v>
      </c>
      <c r="I465" s="5" t="inlineStr">
        <is>
          <t>grade_beam</t>
        </is>
      </c>
      <c r="J465" s="5" t="inlineStr">
        <is>
          <t>yes</t>
        </is>
      </c>
      <c r="K465" s="5" t="n">
        <v>141</v>
      </c>
      <c r="L465" s="5" t="n">
        <v>0.18</v>
      </c>
      <c r="M465" s="5" t="n">
        <v>0</v>
      </c>
      <c r="N465" s="5" t="inlineStr">
        <is>
          <t>yes</t>
        </is>
      </c>
    </row>
    <row r="466">
      <c r="A466" s="5" t="n">
        <v>465</v>
      </c>
      <c r="B466" s="5" t="inlineStr">
        <is>
          <t>LG-40x15</t>
        </is>
      </c>
      <c r="C466" s="5" t="inlineStr">
        <is>
          <t>grade_beam</t>
        </is>
      </c>
      <c r="D466" s="5" t="inlineStr">
        <is>
          <t>grade_beam</t>
        </is>
      </c>
      <c r="E466" s="5" t="n">
        <v>4429.2</v>
      </c>
      <c r="F466" s="5" t="n">
        <v>1645.8</v>
      </c>
      <c r="G466" s="5" t="n">
        <v>144</v>
      </c>
      <c r="H466" s="5" t="n">
        <v>3</v>
      </c>
      <c r="I466" s="5" t="inlineStr">
        <is>
          <t>grade_beam</t>
        </is>
      </c>
      <c r="J466" s="5" t="inlineStr">
        <is>
          <t>yes</t>
        </is>
      </c>
      <c r="K466" s="5" t="n">
        <v>144</v>
      </c>
      <c r="L466" s="5" t="n">
        <v>0.27</v>
      </c>
      <c r="M466" s="5" t="n">
        <v>0</v>
      </c>
      <c r="N466" s="5" t="inlineStr">
        <is>
          <t>yes</t>
        </is>
      </c>
    </row>
    <row r="467">
      <c r="A467" s="5" t="n">
        <v>466</v>
      </c>
      <c r="B467" s="5" t="inlineStr">
        <is>
          <t>LG-40x15</t>
        </is>
      </c>
      <c r="C467" s="5" t="inlineStr">
        <is>
          <t>grade_beam</t>
        </is>
      </c>
      <c r="D467" s="5" t="inlineStr">
        <is>
          <t>grade_beam</t>
        </is>
      </c>
      <c r="E467" s="5" t="n">
        <v>4240.6</v>
      </c>
      <c r="F467" s="5" t="n">
        <v>1554.2</v>
      </c>
      <c r="G467" s="5" t="n">
        <v>143</v>
      </c>
      <c r="H467" s="5" t="n">
        <v>3</v>
      </c>
      <c r="I467" s="5" t="inlineStr">
        <is>
          <t>grade_beam</t>
        </is>
      </c>
      <c r="J467" s="5" t="inlineStr">
        <is>
          <t>yes</t>
        </is>
      </c>
      <c r="K467" s="5" t="n">
        <v>143</v>
      </c>
      <c r="L467" s="5" t="n">
        <v>0.15</v>
      </c>
      <c r="M467" s="5" t="n">
        <v>0</v>
      </c>
      <c r="N467" s="5" t="inlineStr">
        <is>
          <t>yes</t>
        </is>
      </c>
    </row>
    <row r="468">
      <c r="A468" s="5" t="n">
        <v>467</v>
      </c>
      <c r="B468" s="5" t="inlineStr">
        <is>
          <t>LG-40x15</t>
        </is>
      </c>
      <c r="C468" s="5" t="inlineStr">
        <is>
          <t>grade_beam</t>
        </is>
      </c>
      <c r="D468" s="5" t="inlineStr">
        <is>
          <t>grade_beam</t>
        </is>
      </c>
      <c r="E468" s="5" t="n">
        <v>4452.1</v>
      </c>
      <c r="F468" s="5" t="n">
        <v>1555.2</v>
      </c>
      <c r="G468" s="5" t="n">
        <v>143</v>
      </c>
      <c r="H468" s="5" t="n">
        <v>3</v>
      </c>
      <c r="I468" s="5" t="inlineStr">
        <is>
          <t>grade_beam</t>
        </is>
      </c>
      <c r="J468" s="5" t="inlineStr">
        <is>
          <t>yes</t>
        </is>
      </c>
      <c r="K468" s="5" t="n">
        <v>143</v>
      </c>
      <c r="L468" s="5" t="n">
        <v>0.12</v>
      </c>
      <c r="M468" s="5" t="n">
        <v>0</v>
      </c>
      <c r="N468" s="5" t="inlineStr">
        <is>
          <t>yes</t>
        </is>
      </c>
    </row>
    <row r="469">
      <c r="A469" s="5" t="n">
        <v>468</v>
      </c>
      <c r="B469" s="5" t="inlineStr">
        <is>
          <t>LG-40x15</t>
        </is>
      </c>
      <c r="C469" s="5" t="inlineStr">
        <is>
          <t>grade_beam</t>
        </is>
      </c>
      <c r="D469" s="5" t="inlineStr">
        <is>
          <t>grade_beam</t>
        </is>
      </c>
      <c r="E469" s="5" t="n">
        <v>4420.8</v>
      </c>
      <c r="F469" s="5" t="n">
        <v>1353.1</v>
      </c>
      <c r="G469" s="5" t="n">
        <v>139</v>
      </c>
      <c r="H469" s="5" t="n">
        <v>3</v>
      </c>
      <c r="I469" s="5" t="inlineStr">
        <is>
          <t>grade_beam</t>
        </is>
      </c>
      <c r="J469" s="5" t="inlineStr">
        <is>
          <t>yes</t>
        </is>
      </c>
      <c r="K469" s="5" t="n">
        <v>139</v>
      </c>
      <c r="L469" s="5" t="n">
        <v>0.26</v>
      </c>
      <c r="M469" s="5" t="n">
        <v>0</v>
      </c>
      <c r="N469" s="5" t="inlineStr">
        <is>
          <t>yes</t>
        </is>
      </c>
    </row>
    <row r="470">
      <c r="A470" s="5" t="n">
        <v>469</v>
      </c>
      <c r="B470" s="5" t="inlineStr">
        <is>
          <t>LG-40x15</t>
        </is>
      </c>
      <c r="C470" s="5" t="inlineStr">
        <is>
          <t>grade_beam</t>
        </is>
      </c>
      <c r="D470" s="5" t="inlineStr">
        <is>
          <t>grade_beam</t>
        </is>
      </c>
      <c r="E470" s="5" t="n">
        <v>4237.5</v>
      </c>
      <c r="F470" s="5" t="n">
        <v>1352.1</v>
      </c>
      <c r="G470" s="5" t="n">
        <v>139</v>
      </c>
      <c r="H470" s="5" t="n">
        <v>3</v>
      </c>
      <c r="I470" s="5" t="inlineStr">
        <is>
          <t>grade_beam</t>
        </is>
      </c>
      <c r="J470" s="5" t="inlineStr">
        <is>
          <t>yes</t>
        </is>
      </c>
      <c r="K470" s="5" t="n">
        <v>139</v>
      </c>
      <c r="L470" s="5" t="n">
        <v>0.23</v>
      </c>
      <c r="M470" s="5" t="n">
        <v>0</v>
      </c>
      <c r="N470" s="5" t="inlineStr">
        <is>
          <t>yes</t>
        </is>
      </c>
    </row>
    <row r="471">
      <c r="A471" s="5" t="n">
        <v>470</v>
      </c>
      <c r="B471" s="5" t="inlineStr">
        <is>
          <t>LG-40x15</t>
        </is>
      </c>
      <c r="C471" s="5" t="inlineStr">
        <is>
          <t>grade_beam</t>
        </is>
      </c>
      <c r="D471" s="5" t="inlineStr">
        <is>
          <t>grade_beam</t>
        </is>
      </c>
      <c r="E471" s="5" t="n">
        <v>4674</v>
      </c>
      <c r="F471" s="5" t="n">
        <v>1354.2</v>
      </c>
      <c r="G471" s="5" t="n">
        <v>139</v>
      </c>
      <c r="H471" s="5" t="n">
        <v>3</v>
      </c>
      <c r="I471" s="5" t="inlineStr">
        <is>
          <t>grade_beam</t>
        </is>
      </c>
      <c r="J471" s="5" t="inlineStr">
        <is>
          <t>yes</t>
        </is>
      </c>
      <c r="K471" s="5" t="n">
        <v>139</v>
      </c>
      <c r="L471" s="5" t="n">
        <v>0.3</v>
      </c>
      <c r="M471" s="5" t="n">
        <v>0</v>
      </c>
      <c r="N471" s="5" t="inlineStr">
        <is>
          <t>yes</t>
        </is>
      </c>
    </row>
    <row r="472">
      <c r="A472" s="5" t="n">
        <v>471</v>
      </c>
      <c r="B472" s="5" t="inlineStr">
        <is>
          <t>LG-40x15</t>
        </is>
      </c>
      <c r="C472" s="5" t="inlineStr">
        <is>
          <t>grade_beam</t>
        </is>
      </c>
      <c r="D472" s="5" t="inlineStr">
        <is>
          <t>grade_beam</t>
        </is>
      </c>
      <c r="E472" s="5" t="n">
        <v>4665.6</v>
      </c>
      <c r="F472" s="5" t="n">
        <v>1518.8</v>
      </c>
      <c r="G472" s="5" t="n">
        <v>147</v>
      </c>
      <c r="H472" s="5" t="n">
        <v>3</v>
      </c>
      <c r="I472" s="5" t="inlineStr">
        <is>
          <t>grade_beam</t>
        </is>
      </c>
      <c r="J472" s="5" t="inlineStr">
        <is>
          <t>yes</t>
        </is>
      </c>
      <c r="K472" s="5" t="n">
        <v>147</v>
      </c>
      <c r="L472" s="5" t="n">
        <v>0.16</v>
      </c>
      <c r="M472" s="5" t="n">
        <v>0</v>
      </c>
      <c r="N472" s="5" t="inlineStr">
        <is>
          <t>yes</t>
        </is>
      </c>
    </row>
    <row r="473">
      <c r="A473" s="5" t="n">
        <v>472</v>
      </c>
      <c r="B473" s="5" t="inlineStr">
        <is>
          <t>LG-40x15</t>
        </is>
      </c>
      <c r="C473" s="5" t="inlineStr">
        <is>
          <t>grade_beam</t>
        </is>
      </c>
      <c r="D473" s="5" t="inlineStr">
        <is>
          <t>grade_beam</t>
        </is>
      </c>
      <c r="E473" s="5" t="n">
        <v>4671.9</v>
      </c>
      <c r="F473" s="5" t="n">
        <v>1933.3</v>
      </c>
      <c r="G473" s="5" t="n">
        <v>145</v>
      </c>
      <c r="H473" s="5" t="n">
        <v>3</v>
      </c>
      <c r="I473" s="5" t="inlineStr">
        <is>
          <t>grade_beam</t>
        </is>
      </c>
      <c r="J473" s="5" t="inlineStr">
        <is>
          <t>yes</t>
        </is>
      </c>
      <c r="K473" s="5" t="n">
        <v>145</v>
      </c>
      <c r="L473" s="5" t="n">
        <v>0.17</v>
      </c>
      <c r="M473" s="5" t="n">
        <v>0</v>
      </c>
      <c r="N473" s="5" t="inlineStr">
        <is>
          <t>yes</t>
        </is>
      </c>
    </row>
    <row r="474">
      <c r="A474" s="5" t="n">
        <v>473</v>
      </c>
      <c r="B474" s="5" t="inlineStr">
        <is>
          <t>LG-40x15</t>
        </is>
      </c>
      <c r="C474" s="5" t="inlineStr">
        <is>
          <t>grade_beam</t>
        </is>
      </c>
      <c r="D474" s="5" t="inlineStr">
        <is>
          <t>grade_beam</t>
        </is>
      </c>
      <c r="E474" s="5" t="n">
        <v>4674</v>
      </c>
      <c r="F474" s="5" t="n">
        <v>1606.3</v>
      </c>
      <c r="G474" s="5" t="n">
        <v>148</v>
      </c>
      <c r="H474" s="5" t="n">
        <v>3</v>
      </c>
      <c r="I474" s="5" t="inlineStr">
        <is>
          <t>grade_beam</t>
        </is>
      </c>
      <c r="J474" s="5" t="inlineStr">
        <is>
          <t>yes</t>
        </is>
      </c>
      <c r="K474" s="5" t="n">
        <v>148</v>
      </c>
      <c r="L474" s="5" t="n">
        <v>0.15</v>
      </c>
      <c r="M474" s="5" t="n">
        <v>0.07000000000000001</v>
      </c>
      <c r="N474" s="5" t="inlineStr">
        <is>
          <t>yes</t>
        </is>
      </c>
    </row>
    <row r="475">
      <c r="A475" s="5" t="n">
        <v>474</v>
      </c>
      <c r="B475" s="5" t="inlineStr">
        <is>
          <t>LG-40x15</t>
        </is>
      </c>
      <c r="C475" s="5" t="inlineStr">
        <is>
          <t>grade_beam</t>
        </is>
      </c>
      <c r="D475" s="5" t="inlineStr">
        <is>
          <t>grade_beam</t>
        </is>
      </c>
      <c r="E475" s="5" t="n">
        <v>4557.3</v>
      </c>
      <c r="F475" s="5" t="n">
        <v>2008.3</v>
      </c>
      <c r="G475" s="5" t="n">
        <v>138</v>
      </c>
      <c r="H475" s="5" t="n">
        <v>3</v>
      </c>
      <c r="I475" s="5" t="inlineStr">
        <is>
          <t>grade_beam</t>
        </is>
      </c>
      <c r="J475" s="5" t="inlineStr">
        <is>
          <t>yes</t>
        </is>
      </c>
      <c r="K475" s="5" t="n">
        <v>138</v>
      </c>
      <c r="L475" s="5" t="n">
        <v>0.19</v>
      </c>
      <c r="M475" s="5" t="n">
        <v>0</v>
      </c>
      <c r="N475" s="5" t="inlineStr">
        <is>
          <t>yes</t>
        </is>
      </c>
    </row>
    <row r="476">
      <c r="A476" s="5" t="n">
        <v>475</v>
      </c>
      <c r="B476" s="5" t="inlineStr">
        <is>
          <t>LG-25x40</t>
        </is>
      </c>
      <c r="C476" s="5" t="inlineStr">
        <is>
          <t>grade_beam</t>
        </is>
      </c>
      <c r="D476" s="5" t="inlineStr">
        <is>
          <t>grade_beam</t>
        </is>
      </c>
      <c r="E476" s="5" t="n">
        <v>4307.3</v>
      </c>
      <c r="F476" s="5" t="n">
        <v>3477.1</v>
      </c>
      <c r="G476" s="5" t="n">
        <v>448</v>
      </c>
      <c r="H476" s="5" t="n">
        <v>0</v>
      </c>
      <c r="I476" s="5" t="inlineStr">
        <is>
          <t>unidentified</t>
        </is>
      </c>
      <c r="J476" s="5" t="inlineStr">
        <is>
          <t>unidentified</t>
        </is>
      </c>
      <c r="K476" s="5" t="inlineStr">
        <is>
          <t>unmatched</t>
        </is>
      </c>
      <c r="L476" s="5" t="n"/>
      <c r="M476" s="5" t="n"/>
      <c r="N476" s="5" t="inlineStr">
        <is>
          <t>yes</t>
        </is>
      </c>
    </row>
    <row r="477">
      <c r="A477" s="5" t="n">
        <v>476</v>
      </c>
      <c r="B477" s="5" t="inlineStr">
        <is>
          <t>LG-40x15</t>
        </is>
      </c>
      <c r="C477" s="5" t="inlineStr">
        <is>
          <t>grade_beam</t>
        </is>
      </c>
      <c r="D477" s="5" t="inlineStr">
        <is>
          <t>grade_beam</t>
        </is>
      </c>
      <c r="E477" s="5" t="n">
        <v>4014.6</v>
      </c>
      <c r="F477" s="5" t="n">
        <v>3291.7</v>
      </c>
      <c r="G477" s="5" t="n">
        <v>445</v>
      </c>
      <c r="H477" s="5" t="n">
        <v>3</v>
      </c>
      <c r="I477" s="5" t="inlineStr">
        <is>
          <t>grade_beam</t>
        </is>
      </c>
      <c r="J477" s="5" t="inlineStr">
        <is>
          <t>yes</t>
        </is>
      </c>
      <c r="K477" s="5" t="n">
        <v>445</v>
      </c>
      <c r="L477" s="5" t="n">
        <v>0.18</v>
      </c>
      <c r="M477" s="5" t="n">
        <v>0</v>
      </c>
      <c r="N477" s="5" t="inlineStr">
        <is>
          <t>yes</t>
        </is>
      </c>
    </row>
    <row r="478">
      <c r="A478" s="5" t="n">
        <v>477</v>
      </c>
      <c r="B478" s="5" t="inlineStr">
        <is>
          <t>LG-40x15</t>
        </is>
      </c>
      <c r="C478" s="5" t="inlineStr">
        <is>
          <t>grade_beam</t>
        </is>
      </c>
      <c r="D478" s="5" t="inlineStr">
        <is>
          <t>grade_beam</t>
        </is>
      </c>
      <c r="E478" s="5" t="n">
        <v>4099</v>
      </c>
      <c r="F478" s="5" t="n">
        <v>3276</v>
      </c>
      <c r="G478" s="5" t="n">
        <v>444</v>
      </c>
      <c r="H478" s="5" t="n">
        <v>3</v>
      </c>
      <c r="I478" s="5" t="inlineStr">
        <is>
          <t>grade_beam</t>
        </is>
      </c>
      <c r="J478" s="5" t="inlineStr">
        <is>
          <t>yes</t>
        </is>
      </c>
      <c r="K478" s="5" t="n">
        <v>444</v>
      </c>
      <c r="L478" s="5" t="n">
        <v>0.19</v>
      </c>
      <c r="M478" s="5" t="n">
        <v>0.16</v>
      </c>
      <c r="N478" s="5" t="inlineStr">
        <is>
          <t>yes</t>
        </is>
      </c>
    </row>
    <row r="479">
      <c r="A479" s="5" t="n">
        <v>478</v>
      </c>
      <c r="B479" s="5" t="inlineStr">
        <is>
          <t>LG-40x15</t>
        </is>
      </c>
      <c r="C479" s="5" t="inlineStr">
        <is>
          <t>grade_beam</t>
        </is>
      </c>
      <c r="D479" s="5" t="inlineStr">
        <is>
          <t>grade_beam</t>
        </is>
      </c>
      <c r="E479" s="5" t="n">
        <v>1900</v>
      </c>
      <c r="F479" s="5" t="n">
        <v>2884.4</v>
      </c>
      <c r="G479" s="5" t="n">
        <v>605</v>
      </c>
      <c r="H479" s="5" t="n">
        <v>3</v>
      </c>
      <c r="I479" s="5" t="inlineStr">
        <is>
          <t>grade_beam</t>
        </is>
      </c>
      <c r="J479" s="5" t="inlineStr">
        <is>
          <t>yes</t>
        </is>
      </c>
      <c r="K479" s="5" t="n">
        <v>605</v>
      </c>
      <c r="L479" s="5" t="n">
        <v>0.2</v>
      </c>
      <c r="M479" s="5" t="n">
        <v>0</v>
      </c>
      <c r="N479" s="5" t="inlineStr">
        <is>
          <t>no</t>
        </is>
      </c>
    </row>
    <row r="480">
      <c r="A480" s="5" t="n">
        <v>479</v>
      </c>
      <c r="B480" s="5" t="inlineStr">
        <is>
          <t>LG-40x15</t>
        </is>
      </c>
      <c r="C480" s="5" t="inlineStr">
        <is>
          <t>grade_beam</t>
        </is>
      </c>
      <c r="D480" s="5" t="inlineStr">
        <is>
          <t>grade_beam</t>
        </is>
      </c>
      <c r="E480" s="5" t="n">
        <v>2405.2</v>
      </c>
      <c r="F480" s="5" t="n">
        <v>3032.3</v>
      </c>
      <c r="G480" s="5" t="n">
        <v>598</v>
      </c>
      <c r="H480" s="5" t="n">
        <v>3</v>
      </c>
      <c r="I480" s="5" t="inlineStr">
        <is>
          <t>grade_beam</t>
        </is>
      </c>
      <c r="J480" s="5" t="inlineStr">
        <is>
          <t>yes</t>
        </is>
      </c>
      <c r="K480" s="5" t="n">
        <v>598</v>
      </c>
      <c r="L480" s="5" t="n">
        <v>0.16</v>
      </c>
      <c r="M480" s="5" t="n">
        <v>0</v>
      </c>
      <c r="N480" s="5" t="inlineStr">
        <is>
          <t>yes</t>
        </is>
      </c>
    </row>
    <row r="481">
      <c r="A481" s="5" t="n">
        <v>480</v>
      </c>
      <c r="B481" s="5" t="inlineStr">
        <is>
          <t>LG-40x15</t>
        </is>
      </c>
      <c r="C481" s="5" t="inlineStr">
        <is>
          <t>grade_beam</t>
        </is>
      </c>
      <c r="D481" s="5" t="inlineStr">
        <is>
          <t>grade_beam</t>
        </is>
      </c>
      <c r="E481" s="5" t="n">
        <v>2571.9</v>
      </c>
      <c r="F481" s="5" t="n">
        <v>2851</v>
      </c>
      <c r="G481" s="5" t="n">
        <v>599</v>
      </c>
      <c r="H481" s="5" t="n">
        <v>3</v>
      </c>
      <c r="I481" s="5" t="inlineStr">
        <is>
          <t>grade_beam</t>
        </is>
      </c>
      <c r="J481" s="5" t="inlineStr">
        <is>
          <t>yes</t>
        </is>
      </c>
      <c r="K481" s="5" t="n">
        <v>599</v>
      </c>
      <c r="L481" s="5" t="n">
        <v>0.17</v>
      </c>
      <c r="M481" s="5" t="n">
        <v>0.13</v>
      </c>
      <c r="N481" s="5" t="inlineStr">
        <is>
          <t>yes</t>
        </is>
      </c>
    </row>
    <row r="482">
      <c r="A482" s="5" t="n">
        <v>481</v>
      </c>
      <c r="B482" s="5" t="inlineStr">
        <is>
          <t>LG-40x15</t>
        </is>
      </c>
      <c r="C482" s="5" t="inlineStr">
        <is>
          <t>grade_beam</t>
        </is>
      </c>
      <c r="D482" s="5" t="inlineStr">
        <is>
          <t>grade_beam</t>
        </is>
      </c>
      <c r="E482" s="5" t="n">
        <v>2240.6</v>
      </c>
      <c r="F482" s="5" t="n">
        <v>2684.4</v>
      </c>
      <c r="G482" s="5" t="n">
        <v>599</v>
      </c>
      <c r="H482" s="5" t="n">
        <v>3</v>
      </c>
      <c r="I482" s="5" t="inlineStr">
        <is>
          <t>grade_beam</t>
        </is>
      </c>
      <c r="J482" s="5" t="inlineStr">
        <is>
          <t>yes</t>
        </is>
      </c>
      <c r="K482" s="5" t="n">
        <v>599</v>
      </c>
      <c r="L482" s="5" t="n">
        <v>0.16</v>
      </c>
      <c r="M482" s="5" t="n">
        <v>0</v>
      </c>
      <c r="N482" s="5" t="inlineStr">
        <is>
          <t>yes</t>
        </is>
      </c>
    </row>
    <row r="483">
      <c r="A483" s="5" t="n">
        <v>482</v>
      </c>
      <c r="B483" s="5" t="inlineStr">
        <is>
          <t>LG-40x15</t>
        </is>
      </c>
      <c r="C483" s="5" t="inlineStr">
        <is>
          <t>grade_beam</t>
        </is>
      </c>
      <c r="D483" s="5" t="inlineStr">
        <is>
          <t>grade_beam</t>
        </is>
      </c>
      <c r="E483" s="5" t="n">
        <v>2349</v>
      </c>
      <c r="F483" s="5" t="n">
        <v>2740.6</v>
      </c>
      <c r="G483" s="5" t="n">
        <v>599</v>
      </c>
      <c r="H483" s="5" t="n">
        <v>3</v>
      </c>
      <c r="I483" s="5" t="inlineStr">
        <is>
          <t>grade_beam</t>
        </is>
      </c>
      <c r="J483" s="5" t="inlineStr">
        <is>
          <t>yes</t>
        </is>
      </c>
      <c r="K483" s="5" t="n">
        <v>602</v>
      </c>
      <c r="L483" s="5" t="n">
        <v>1.15</v>
      </c>
      <c r="M483" s="5" t="n">
        <v>1</v>
      </c>
      <c r="N483" s="5" t="inlineStr">
        <is>
          <t>yes</t>
        </is>
      </c>
    </row>
    <row r="484">
      <c r="A484" s="5" t="n">
        <v>483</v>
      </c>
      <c r="B484" s="5" t="inlineStr">
        <is>
          <t>LG-40x15</t>
        </is>
      </c>
      <c r="C484" s="5" t="inlineStr">
        <is>
          <t>grade_beam</t>
        </is>
      </c>
      <c r="D484" s="5" t="inlineStr">
        <is>
          <t>grade_beam</t>
        </is>
      </c>
      <c r="E484" s="5" t="n">
        <v>2026</v>
      </c>
      <c r="F484" s="5" t="n">
        <v>2578.1</v>
      </c>
      <c r="G484" s="5" t="n">
        <v>599</v>
      </c>
      <c r="H484" s="5" t="n">
        <v>3</v>
      </c>
      <c r="I484" s="5" t="inlineStr">
        <is>
          <t>grade_beam</t>
        </is>
      </c>
      <c r="J484" s="5" t="inlineStr">
        <is>
          <t>yes</t>
        </is>
      </c>
      <c r="K484" s="5" t="n">
        <v>599</v>
      </c>
      <c r="L484" s="5" t="n">
        <v>0.2</v>
      </c>
      <c r="M484" s="5" t="n">
        <v>0.23</v>
      </c>
      <c r="N484" s="5" t="inlineStr">
        <is>
          <t>yes</t>
        </is>
      </c>
    </row>
    <row r="485">
      <c r="A485" s="5" t="n">
        <v>484</v>
      </c>
      <c r="B485" s="5" t="inlineStr">
        <is>
          <t>LG-40x15</t>
        </is>
      </c>
      <c r="C485" s="5" t="inlineStr">
        <is>
          <t>grade_beam</t>
        </is>
      </c>
      <c r="D485" s="5" t="inlineStr">
        <is>
          <t>grade_beam</t>
        </is>
      </c>
      <c r="E485" s="5" t="n">
        <v>2134.4</v>
      </c>
      <c r="F485" s="5" t="n">
        <v>2632.3</v>
      </c>
      <c r="G485" s="5" t="n">
        <v>593</v>
      </c>
      <c r="H485" s="5" t="n">
        <v>12</v>
      </c>
      <c r="I485" s="5" t="inlineStr">
        <is>
          <t>isolated_footing</t>
        </is>
      </c>
      <c r="J485" s="5" t="inlineStr">
        <is>
          <t>no</t>
        </is>
      </c>
      <c r="K485" s="5" t="n">
        <v>599</v>
      </c>
      <c r="L485" s="5" t="n">
        <v>0.19</v>
      </c>
      <c r="M485" s="5" t="n">
        <v>0</v>
      </c>
      <c r="N485" s="5" t="inlineStr">
        <is>
          <t>yes</t>
        </is>
      </c>
    </row>
    <row r="486">
      <c r="A486" s="5" t="n">
        <v>485</v>
      </c>
      <c r="B486" s="5" t="inlineStr">
        <is>
          <t>LG-25x40</t>
        </is>
      </c>
      <c r="C486" s="5" t="inlineStr">
        <is>
          <t>grade_beam</t>
        </is>
      </c>
      <c r="D486" s="5" t="inlineStr">
        <is>
          <t>grade_beam</t>
        </is>
      </c>
      <c r="E486" s="5" t="n">
        <v>4439.6</v>
      </c>
      <c r="F486" s="5" t="n">
        <v>2154.2</v>
      </c>
      <c r="G486" s="5" t="n">
        <v>258</v>
      </c>
      <c r="H486" s="5" t="n">
        <v>1</v>
      </c>
      <c r="I486" s="5" t="inlineStr">
        <is>
          <t>grade_beam</t>
        </is>
      </c>
      <c r="J486" s="5" t="inlineStr">
        <is>
          <t>yes</t>
        </is>
      </c>
      <c r="K486" s="5" t="n">
        <v>258</v>
      </c>
      <c r="L486" s="5" t="n">
        <v>0.25</v>
      </c>
      <c r="M486" s="5" t="n">
        <v>0</v>
      </c>
      <c r="N486" s="5" t="inlineStr">
        <is>
          <t>yes</t>
        </is>
      </c>
    </row>
    <row r="487">
      <c r="A487" s="5" t="n">
        <v>486</v>
      </c>
      <c r="B487" s="5" t="inlineStr">
        <is>
          <t>LG-25x40</t>
        </is>
      </c>
      <c r="C487" s="5" t="inlineStr">
        <is>
          <t>grade_beam</t>
        </is>
      </c>
      <c r="D487" s="5" t="inlineStr">
        <is>
          <t>grade_beam</t>
        </is>
      </c>
      <c r="E487" s="5" t="n">
        <v>4254.2</v>
      </c>
      <c r="F487" s="5" t="n">
        <v>2154.2</v>
      </c>
      <c r="G487" s="5" t="n">
        <v>258</v>
      </c>
      <c r="H487" s="5" t="n">
        <v>1</v>
      </c>
      <c r="I487" s="5" t="inlineStr">
        <is>
          <t>grade_beam</t>
        </is>
      </c>
      <c r="J487" s="5" t="inlineStr">
        <is>
          <t>yes</t>
        </is>
      </c>
      <c r="K487" s="5" t="n">
        <v>258</v>
      </c>
      <c r="L487" s="5" t="n">
        <v>0.24</v>
      </c>
      <c r="M487" s="5" t="n">
        <v>0</v>
      </c>
      <c r="N487" s="5" t="inlineStr">
        <is>
          <t>yes</t>
        </is>
      </c>
    </row>
    <row r="488">
      <c r="A488" s="5" t="n">
        <v>487</v>
      </c>
      <c r="B488" s="5" t="inlineStr">
        <is>
          <t>LG-40x15</t>
        </is>
      </c>
      <c r="C488" s="5" t="inlineStr">
        <is>
          <t>grade_beam</t>
        </is>
      </c>
      <c r="D488" s="5" t="inlineStr">
        <is>
          <t>grade_beam</t>
        </is>
      </c>
      <c r="E488" s="5" t="n">
        <v>733.3</v>
      </c>
      <c r="F488" s="5" t="n">
        <v>1303.1</v>
      </c>
      <c r="G488" s="5" t="n">
        <v>917</v>
      </c>
      <c r="H488" s="5" t="n">
        <v>16</v>
      </c>
      <c r="I488" s="5" t="inlineStr">
        <is>
          <t>isolated_footing</t>
        </is>
      </c>
      <c r="J488" s="5" t="inlineStr">
        <is>
          <t>no</t>
        </is>
      </c>
      <c r="K488" s="5" t="n">
        <v>936</v>
      </c>
      <c r="L488" s="5" t="n">
        <v>0.2</v>
      </c>
      <c r="M488" s="5" t="n">
        <v>0</v>
      </c>
      <c r="N488" s="5" t="inlineStr">
        <is>
          <t>no</t>
        </is>
      </c>
    </row>
    <row r="489">
      <c r="A489" s="5" t="n">
        <v>488</v>
      </c>
      <c r="B489" s="5" t="inlineStr">
        <is>
          <t>LG-40x15</t>
        </is>
      </c>
      <c r="C489" s="5" t="inlineStr">
        <is>
          <t>grade_beam</t>
        </is>
      </c>
      <c r="D489" s="5" t="inlineStr">
        <is>
          <t>grade_beam</t>
        </is>
      </c>
      <c r="E489" s="5" t="n">
        <v>679.2</v>
      </c>
      <c r="F489" s="5" t="n">
        <v>1282.3</v>
      </c>
      <c r="G489" s="5" t="n">
        <v>937</v>
      </c>
      <c r="H489" s="5" t="n">
        <v>3</v>
      </c>
      <c r="I489" s="5" t="inlineStr">
        <is>
          <t>grade_beam</t>
        </is>
      </c>
      <c r="J489" s="5" t="inlineStr">
        <is>
          <t>yes</t>
        </is>
      </c>
      <c r="K489" s="5" t="n">
        <v>937</v>
      </c>
      <c r="L489" s="5" t="n">
        <v>0.16</v>
      </c>
      <c r="M489" s="5" t="n">
        <v>0.35</v>
      </c>
      <c r="N489" s="5" t="inlineStr">
        <is>
          <t>yes</t>
        </is>
      </c>
    </row>
    <row r="490">
      <c r="A490" s="5" t="n">
        <v>489</v>
      </c>
      <c r="B490" s="5" t="inlineStr">
        <is>
          <t>SF1 80x25</t>
        </is>
      </c>
      <c r="C490" s="5" t="inlineStr">
        <is>
          <t>strip_footing</t>
        </is>
      </c>
      <c r="D490" s="5" t="inlineStr">
        <is>
          <t>strip_footing</t>
        </is>
      </c>
      <c r="E490" s="5" t="n">
        <v>917.7</v>
      </c>
      <c r="F490" s="5" t="n">
        <v>2526</v>
      </c>
      <c r="G490" s="5" t="n">
        <v>788</v>
      </c>
      <c r="H490" s="5" t="n">
        <v>5</v>
      </c>
      <c r="I490" s="5" t="inlineStr">
        <is>
          <t>strip_footing</t>
        </is>
      </c>
      <c r="J490" s="5" t="inlineStr">
        <is>
          <t>yes</t>
        </is>
      </c>
      <c r="K490" s="5" t="n">
        <v>788</v>
      </c>
      <c r="L490" s="5" t="n">
        <v>0</v>
      </c>
      <c r="M490" s="5" t="n">
        <v>0.17</v>
      </c>
      <c r="N490" s="5" t="inlineStr">
        <is>
          <t>yes</t>
        </is>
      </c>
    </row>
    <row r="491">
      <c r="A491" s="5" t="n">
        <v>490</v>
      </c>
      <c r="B491" s="5" t="inlineStr">
        <is>
          <t>SF1-80x25</t>
        </is>
      </c>
      <c r="C491" s="5" t="inlineStr">
        <is>
          <t>strip_footing</t>
        </is>
      </c>
      <c r="D491" s="5" t="inlineStr">
        <is>
          <t>strip_footing</t>
        </is>
      </c>
      <c r="E491" s="5" t="n">
        <v>921.9</v>
      </c>
      <c r="F491" s="5" t="n">
        <v>1178.1</v>
      </c>
      <c r="G491" s="5" t="n">
        <v>928</v>
      </c>
      <c r="H491" s="5" t="n">
        <v>5</v>
      </c>
      <c r="I491" s="5" t="inlineStr">
        <is>
          <t>strip_footing</t>
        </is>
      </c>
      <c r="J491" s="5" t="inlineStr">
        <is>
          <t>yes</t>
        </is>
      </c>
      <c r="K491" s="5" t="n">
        <v>928</v>
      </c>
      <c r="L491" s="5" t="n">
        <v>0.26</v>
      </c>
      <c r="M491" s="5" t="n">
        <v>0.33</v>
      </c>
      <c r="N491" s="5" t="inlineStr">
        <is>
          <t>yes</t>
        </is>
      </c>
    </row>
    <row r="492">
      <c r="A492" s="5" t="n">
        <v>491</v>
      </c>
      <c r="B492" s="5" t="inlineStr">
        <is>
          <t>SF1 80x25</t>
        </is>
      </c>
      <c r="C492" s="5" t="inlineStr">
        <is>
          <t>strip_footing</t>
        </is>
      </c>
      <c r="D492" s="5" t="inlineStr">
        <is>
          <t>strip_footing</t>
        </is>
      </c>
      <c r="E492" s="5" t="n">
        <v>1088.5</v>
      </c>
      <c r="F492" s="5" t="n">
        <v>2727.1</v>
      </c>
      <c r="G492" s="5" t="n">
        <v>660</v>
      </c>
      <c r="H492" s="5" t="n">
        <v>5</v>
      </c>
      <c r="I492" s="5" t="inlineStr">
        <is>
          <t>strip_footing</t>
        </is>
      </c>
      <c r="J492" s="5" t="inlineStr">
        <is>
          <t>yes</t>
        </is>
      </c>
      <c r="K492" s="5" t="n">
        <v>660</v>
      </c>
      <c r="L492" s="5" t="n">
        <v>0.74</v>
      </c>
      <c r="M492" s="5" t="n">
        <v>0</v>
      </c>
      <c r="N492" s="5" t="inlineStr">
        <is>
          <t>no</t>
        </is>
      </c>
    </row>
    <row r="493">
      <c r="A493" s="5" t="n">
        <v>492</v>
      </c>
      <c r="B493" s="5" t="inlineStr">
        <is>
          <t>SF1 80x25</t>
        </is>
      </c>
      <c r="C493" s="5" t="inlineStr">
        <is>
          <t>strip_footing</t>
        </is>
      </c>
      <c r="D493" s="5" t="inlineStr">
        <is>
          <t>strip_footing</t>
        </is>
      </c>
      <c r="E493" s="5" t="n">
        <v>4782.3</v>
      </c>
      <c r="F493" s="5" t="n">
        <v>706.2</v>
      </c>
      <c r="G493" s="5" t="n">
        <v>59</v>
      </c>
      <c r="H493" s="5" t="n">
        <v>5</v>
      </c>
      <c r="I493" s="5" t="inlineStr">
        <is>
          <t>strip_footing</t>
        </is>
      </c>
      <c r="J493" s="5" t="inlineStr">
        <is>
          <t>yes</t>
        </is>
      </c>
      <c r="K493" s="5" t="n">
        <v>59</v>
      </c>
      <c r="L493" s="5" t="n">
        <v>0.08</v>
      </c>
      <c r="M493" s="5" t="n">
        <v>0.01</v>
      </c>
      <c r="N493" s="5" t="inlineStr">
        <is>
          <t>yes</t>
        </is>
      </c>
    </row>
    <row r="494">
      <c r="A494" s="5" t="n">
        <v>493</v>
      </c>
      <c r="B494" s="5" t="inlineStr">
        <is>
          <t>SF1 80x25</t>
        </is>
      </c>
      <c r="C494" s="5" t="inlineStr">
        <is>
          <t>strip_footing</t>
        </is>
      </c>
      <c r="D494" s="5" t="inlineStr">
        <is>
          <t>strip_footing</t>
        </is>
      </c>
      <c r="E494" s="5" t="n">
        <v>4650</v>
      </c>
      <c r="F494" s="5" t="n">
        <v>2028.1</v>
      </c>
      <c r="G494" s="5" t="n">
        <v>131</v>
      </c>
      <c r="H494" s="5" t="n">
        <v>5</v>
      </c>
      <c r="I494" s="5" t="inlineStr">
        <is>
          <t>strip_footing</t>
        </is>
      </c>
      <c r="J494" s="5" t="inlineStr">
        <is>
          <t>yes</t>
        </is>
      </c>
      <c r="K494" s="5" t="n">
        <v>131</v>
      </c>
      <c r="L494" s="5" t="n">
        <v>0</v>
      </c>
      <c r="M494" s="5" t="n">
        <v>0</v>
      </c>
      <c r="N494" s="5" t="inlineStr">
        <is>
          <t>no</t>
        </is>
      </c>
    </row>
    <row r="495">
      <c r="A495" s="5" t="n">
        <v>494</v>
      </c>
      <c r="B495" s="5" t="inlineStr">
        <is>
          <t>SF1 80x25</t>
        </is>
      </c>
      <c r="C495" s="5" t="inlineStr">
        <is>
          <t>strip_footing</t>
        </is>
      </c>
      <c r="D495" s="5" t="inlineStr">
        <is>
          <t>strip_footing</t>
        </is>
      </c>
      <c r="E495" s="5" t="n">
        <v>4867.7</v>
      </c>
      <c r="F495" s="5" t="n">
        <v>1766.7</v>
      </c>
      <c r="G495" s="5" t="n">
        <v>132</v>
      </c>
      <c r="H495" s="5" t="n">
        <v>5</v>
      </c>
      <c r="I495" s="5" t="inlineStr">
        <is>
          <t>strip_footing</t>
        </is>
      </c>
      <c r="J495" s="5" t="inlineStr">
        <is>
          <t>yes</t>
        </is>
      </c>
      <c r="K495" s="5" t="n">
        <v>132</v>
      </c>
      <c r="L495" s="5" t="n">
        <v>0</v>
      </c>
      <c r="M495" s="5" t="n">
        <v>0.02</v>
      </c>
      <c r="N495" s="5" t="inlineStr">
        <is>
          <t>yes</t>
        </is>
      </c>
    </row>
    <row r="496">
      <c r="A496" s="5" t="n">
        <v>495</v>
      </c>
      <c r="B496" s="5" t="inlineStr">
        <is>
          <t>SF1 80x25</t>
        </is>
      </c>
      <c r="C496" s="5" t="inlineStr">
        <is>
          <t>strip_footing</t>
        </is>
      </c>
      <c r="D496" s="5" t="inlineStr">
        <is>
          <t>strip_footing</t>
        </is>
      </c>
      <c r="E496" s="5" t="n">
        <v>4780.2</v>
      </c>
      <c r="F496" s="5" t="n">
        <v>1862.5</v>
      </c>
      <c r="G496" s="5" t="n">
        <v>151</v>
      </c>
      <c r="H496" s="5" t="n">
        <v>22</v>
      </c>
      <c r="I496" s="5" t="inlineStr">
        <is>
          <t>sump_pit</t>
        </is>
      </c>
      <c r="J496" s="5" t="inlineStr">
        <is>
          <t>no</t>
        </is>
      </c>
      <c r="K496" s="5" t="inlineStr">
        <is>
          <t>unmatched</t>
        </is>
      </c>
      <c r="L496" s="5" t="n"/>
      <c r="M496" s="5" t="n"/>
      <c r="N496" s="5" t="inlineStr">
        <is>
          <t>yes</t>
        </is>
      </c>
    </row>
    <row r="497">
      <c r="A497" s="5" t="n">
        <v>496</v>
      </c>
      <c r="B497" s="5" t="inlineStr">
        <is>
          <t>SF1 80x25</t>
        </is>
      </c>
      <c r="C497" s="5" t="inlineStr">
        <is>
          <t>strip_footing</t>
        </is>
      </c>
      <c r="D497" s="5" t="inlineStr">
        <is>
          <t>strip_footing</t>
        </is>
      </c>
      <c r="E497" s="5" t="n">
        <v>4246.9</v>
      </c>
      <c r="F497" s="5" t="n">
        <v>504.2</v>
      </c>
      <c r="G497" s="5" t="n">
        <v>57</v>
      </c>
      <c r="H497" s="5" t="n">
        <v>5</v>
      </c>
      <c r="I497" s="5" t="inlineStr">
        <is>
          <t>strip_footing</t>
        </is>
      </c>
      <c r="J497" s="5" t="inlineStr">
        <is>
          <t>yes</t>
        </is>
      </c>
      <c r="K497" s="5" t="n">
        <v>57</v>
      </c>
      <c r="L497" s="5" t="n">
        <v>0.65</v>
      </c>
      <c r="M497" s="5" t="n">
        <v>0.13</v>
      </c>
      <c r="N497" s="5" t="inlineStr">
        <is>
          <t>yes</t>
        </is>
      </c>
    </row>
    <row r="498">
      <c r="A498" s="5" t="n">
        <v>497</v>
      </c>
      <c r="B498" s="5" t="inlineStr">
        <is>
          <t>SF1 80x25</t>
        </is>
      </c>
      <c r="C498" s="5" t="inlineStr">
        <is>
          <t>strip_footing</t>
        </is>
      </c>
      <c r="D498" s="5" t="inlineStr">
        <is>
          <t>strip_footing</t>
        </is>
      </c>
      <c r="E498" s="5" t="n">
        <v>4782.3</v>
      </c>
      <c r="F498" s="5" t="n">
        <v>2072.9</v>
      </c>
      <c r="G498" s="5" t="n">
        <v>135</v>
      </c>
      <c r="H498" s="5" t="n">
        <v>5</v>
      </c>
      <c r="I498" s="5" t="inlineStr">
        <is>
          <t>strip_footing</t>
        </is>
      </c>
      <c r="J498" s="5" t="inlineStr">
        <is>
          <t>yes</t>
        </is>
      </c>
      <c r="K498" s="5" t="n">
        <v>135</v>
      </c>
      <c r="L498" s="5" t="n">
        <v>0</v>
      </c>
      <c r="M498" s="5" t="n">
        <v>0</v>
      </c>
      <c r="N498" s="5" t="inlineStr">
        <is>
          <t>no</t>
        </is>
      </c>
    </row>
    <row r="499">
      <c r="A499" s="5" t="n">
        <v>498</v>
      </c>
      <c r="B499" s="5" t="inlineStr">
        <is>
          <t>SF1-80x25</t>
        </is>
      </c>
      <c r="C499" s="5" t="inlineStr">
        <is>
          <t>strip_footing</t>
        </is>
      </c>
      <c r="D499" s="5" t="inlineStr">
        <is>
          <t>strip_footing</t>
        </is>
      </c>
      <c r="E499" s="5" t="n">
        <v>4180.2</v>
      </c>
      <c r="F499" s="5" t="n">
        <v>1240.6</v>
      </c>
      <c r="G499" s="5" t="n">
        <v>56</v>
      </c>
      <c r="H499" s="5" t="n">
        <v>5</v>
      </c>
      <c r="I499" s="5" t="inlineStr">
        <is>
          <t>strip_footing</t>
        </is>
      </c>
      <c r="J499" s="5" t="inlineStr">
        <is>
          <t>yes</t>
        </is>
      </c>
      <c r="K499" s="5" t="n">
        <v>56</v>
      </c>
      <c r="L499" s="5" t="n">
        <v>0.22</v>
      </c>
      <c r="M499" s="5" t="n">
        <v>0.01</v>
      </c>
      <c r="N499" s="5" t="inlineStr">
        <is>
          <t>yes</t>
        </is>
      </c>
    </row>
    <row r="500">
      <c r="A500" s="5" t="n">
        <v>499</v>
      </c>
      <c r="B500" s="5" t="inlineStr">
        <is>
          <t>SF1-80x25</t>
        </is>
      </c>
      <c r="C500" s="5" t="inlineStr">
        <is>
          <t>strip_footing</t>
        </is>
      </c>
      <c r="D500" s="5" t="inlineStr">
        <is>
          <t>strip_footing</t>
        </is>
      </c>
      <c r="E500" s="5" t="n">
        <v>4180.2</v>
      </c>
      <c r="F500" s="5" t="n">
        <v>1014.6</v>
      </c>
      <c r="G500" s="5" t="n">
        <v>56</v>
      </c>
      <c r="H500" s="5" t="n">
        <v>5</v>
      </c>
      <c r="I500" s="5" t="inlineStr">
        <is>
          <t>strip_footing</t>
        </is>
      </c>
      <c r="J500" s="5" t="inlineStr">
        <is>
          <t>yes</t>
        </is>
      </c>
      <c r="K500" s="5" t="n">
        <v>56</v>
      </c>
      <c r="L500" s="5" t="n">
        <v>0.21</v>
      </c>
      <c r="M500" s="5" t="n">
        <v>0.01</v>
      </c>
      <c r="N500" s="5" t="inlineStr">
        <is>
          <t>yes</t>
        </is>
      </c>
    </row>
    <row r="501">
      <c r="A501" s="5" t="n">
        <v>500</v>
      </c>
      <c r="B501" s="5" t="inlineStr">
        <is>
          <t>SF1-80x25</t>
        </is>
      </c>
      <c r="C501" s="5" t="inlineStr">
        <is>
          <t>strip_footing</t>
        </is>
      </c>
      <c r="D501" s="5" t="inlineStr">
        <is>
          <t>strip_footing</t>
        </is>
      </c>
      <c r="E501" s="5" t="n">
        <v>4182.3</v>
      </c>
      <c r="F501" s="5" t="n">
        <v>780.2</v>
      </c>
      <c r="G501" s="5" t="n">
        <v>56</v>
      </c>
      <c r="H501" s="5" t="n">
        <v>5</v>
      </c>
      <c r="I501" s="5" t="inlineStr">
        <is>
          <t>strip_footing</t>
        </is>
      </c>
      <c r="J501" s="5" t="inlineStr">
        <is>
          <t>yes</t>
        </is>
      </c>
      <c r="K501" s="5" t="n">
        <v>56</v>
      </c>
      <c r="L501" s="5" t="n">
        <v>0.27</v>
      </c>
      <c r="M501" s="5" t="n">
        <v>0.01</v>
      </c>
      <c r="N501" s="5" t="inlineStr">
        <is>
          <t>yes</t>
        </is>
      </c>
    </row>
    <row r="502">
      <c r="A502" s="5" t="n">
        <v>501</v>
      </c>
      <c r="B502" s="5" t="inlineStr">
        <is>
          <t>SF1-80x25</t>
        </is>
      </c>
      <c r="C502" s="5" t="inlineStr">
        <is>
          <t>strip_footing</t>
        </is>
      </c>
      <c r="D502" s="5" t="inlineStr">
        <is>
          <t>strip_footing</t>
        </is>
      </c>
      <c r="E502" s="5" t="n">
        <v>4182.3</v>
      </c>
      <c r="F502" s="5" t="n">
        <v>600</v>
      </c>
      <c r="G502" s="5" t="n">
        <v>56</v>
      </c>
      <c r="H502" s="5" t="n">
        <v>5</v>
      </c>
      <c r="I502" s="5" t="inlineStr">
        <is>
          <t>strip_footing</t>
        </is>
      </c>
      <c r="J502" s="5" t="inlineStr">
        <is>
          <t>yes</t>
        </is>
      </c>
      <c r="K502" s="5" t="n">
        <v>56</v>
      </c>
      <c r="L502" s="5" t="n">
        <v>0.27</v>
      </c>
      <c r="M502" s="5" t="n">
        <v>0.01</v>
      </c>
      <c r="N502" s="5" t="inlineStr">
        <is>
          <t>yes</t>
        </is>
      </c>
    </row>
    <row r="503">
      <c r="A503" s="5" t="n">
        <v>502</v>
      </c>
      <c r="B503" s="5" t="inlineStr">
        <is>
          <t>SF1-80x25</t>
        </is>
      </c>
      <c r="C503" s="5" t="inlineStr">
        <is>
          <t>strip_footing</t>
        </is>
      </c>
      <c r="D503" s="5" t="inlineStr">
        <is>
          <t>strip_footing</t>
        </is>
      </c>
      <c r="E503" s="5" t="n">
        <v>4180.2</v>
      </c>
      <c r="F503" s="5" t="n">
        <v>1709.4</v>
      </c>
      <c r="G503" s="5" t="n">
        <v>250</v>
      </c>
      <c r="H503" s="5" t="n">
        <v>5</v>
      </c>
      <c r="I503" s="5" t="inlineStr">
        <is>
          <t>strip_footing</t>
        </is>
      </c>
      <c r="J503" s="5" t="inlineStr">
        <is>
          <t>yes</t>
        </is>
      </c>
      <c r="K503" s="5" t="n">
        <v>250</v>
      </c>
      <c r="L503" s="5" t="n">
        <v>0.23</v>
      </c>
      <c r="M503" s="5" t="n">
        <v>0.01</v>
      </c>
      <c r="N503" s="5" t="inlineStr">
        <is>
          <t>yes</t>
        </is>
      </c>
    </row>
    <row r="504">
      <c r="A504" s="5" t="n">
        <v>503</v>
      </c>
      <c r="B504" s="5" t="inlineStr">
        <is>
          <t>SF1-80x25</t>
        </is>
      </c>
      <c r="C504" s="5" t="inlineStr">
        <is>
          <t>strip_footing</t>
        </is>
      </c>
      <c r="D504" s="5" t="inlineStr">
        <is>
          <t>strip_footing</t>
        </is>
      </c>
      <c r="E504" s="5" t="n">
        <v>4181.2</v>
      </c>
      <c r="F504" s="5" t="n">
        <v>1950</v>
      </c>
      <c r="G504" s="5" t="n">
        <v>250</v>
      </c>
      <c r="H504" s="5" t="n">
        <v>5</v>
      </c>
      <c r="I504" s="5" t="inlineStr">
        <is>
          <t>strip_footing</t>
        </is>
      </c>
      <c r="J504" s="5" t="inlineStr">
        <is>
          <t>yes</t>
        </is>
      </c>
      <c r="K504" s="5" t="n">
        <v>250</v>
      </c>
      <c r="L504" s="5" t="n">
        <v>0.27</v>
      </c>
      <c r="M504" s="5" t="n">
        <v>0.01</v>
      </c>
      <c r="N504" s="5" t="inlineStr">
        <is>
          <t>yes</t>
        </is>
      </c>
    </row>
    <row r="505">
      <c r="A505" s="5" t="n">
        <v>504</v>
      </c>
      <c r="B505" s="5" t="inlineStr">
        <is>
          <t>SF1-80x25</t>
        </is>
      </c>
      <c r="C505" s="5" t="inlineStr">
        <is>
          <t>strip_footing</t>
        </is>
      </c>
      <c r="D505" s="5" t="inlineStr">
        <is>
          <t>strip_footing</t>
        </is>
      </c>
      <c r="E505" s="5" t="n">
        <v>4180.2</v>
      </c>
      <c r="F505" s="5" t="n">
        <v>2102.1</v>
      </c>
      <c r="G505" s="5" t="n">
        <v>250</v>
      </c>
      <c r="H505" s="5" t="n">
        <v>5</v>
      </c>
      <c r="I505" s="5" t="inlineStr">
        <is>
          <t>strip_footing</t>
        </is>
      </c>
      <c r="J505" s="5" t="inlineStr">
        <is>
          <t>yes</t>
        </is>
      </c>
      <c r="K505" s="5" t="n">
        <v>250</v>
      </c>
      <c r="L505" s="5" t="n">
        <v>0.23</v>
      </c>
      <c r="M505" s="5" t="n">
        <v>0.01</v>
      </c>
      <c r="N505" s="5" t="inlineStr">
        <is>
          <t>yes</t>
        </is>
      </c>
    </row>
    <row r="506">
      <c r="A506" s="5" t="n">
        <v>505</v>
      </c>
      <c r="B506" s="5" t="inlineStr">
        <is>
          <t>SF1 80x25</t>
        </is>
      </c>
      <c r="C506" s="5" t="inlineStr">
        <is>
          <t>strip_footing</t>
        </is>
      </c>
      <c r="D506" s="5" t="inlineStr">
        <is>
          <t>strip_footing</t>
        </is>
      </c>
      <c r="E506" s="5" t="n">
        <v>4987.5</v>
      </c>
      <c r="F506" s="5" t="n">
        <v>1695.8</v>
      </c>
      <c r="G506" s="5" t="n">
        <v>134</v>
      </c>
      <c r="H506" s="5" t="n">
        <v>5</v>
      </c>
      <c r="I506" s="5" t="inlineStr">
        <is>
          <t>strip_footing</t>
        </is>
      </c>
      <c r="J506" s="5" t="inlineStr">
        <is>
          <t>yes</t>
        </is>
      </c>
      <c r="K506" s="5" t="n">
        <v>134</v>
      </c>
      <c r="L506" s="5" t="n">
        <v>0.57</v>
      </c>
      <c r="M506" s="5" t="n">
        <v>0</v>
      </c>
      <c r="N506" s="5" t="inlineStr">
        <is>
          <t>yes</t>
        </is>
      </c>
    </row>
    <row r="507">
      <c r="A507" s="5" t="n">
        <v>506</v>
      </c>
      <c r="B507" s="5" t="inlineStr">
        <is>
          <t>SF1 80x25</t>
        </is>
      </c>
      <c r="C507" s="5" t="inlineStr">
        <is>
          <t>strip_footing</t>
        </is>
      </c>
      <c r="D507" s="5" t="inlineStr">
        <is>
          <t>strip_footing</t>
        </is>
      </c>
      <c r="E507" s="5" t="n">
        <v>4739.6</v>
      </c>
      <c r="F507" s="5" t="n">
        <v>1432.3</v>
      </c>
      <c r="G507" s="5" t="n">
        <v>133</v>
      </c>
      <c r="H507" s="5" t="n">
        <v>5</v>
      </c>
      <c r="I507" s="5" t="inlineStr">
        <is>
          <t>strip_footing</t>
        </is>
      </c>
      <c r="J507" s="5" t="inlineStr">
        <is>
          <t>yes</t>
        </is>
      </c>
      <c r="K507" s="5" t="n">
        <v>133</v>
      </c>
      <c r="L507" s="5" t="n">
        <v>0.58</v>
      </c>
      <c r="M507" s="5" t="n">
        <v>0</v>
      </c>
      <c r="N507" s="5" t="inlineStr">
        <is>
          <t>yes</t>
        </is>
      </c>
    </row>
    <row r="508">
      <c r="A508" s="5" t="n">
        <v>507</v>
      </c>
      <c r="B508" s="5" t="inlineStr">
        <is>
          <t>SF1 80x25</t>
        </is>
      </c>
      <c r="C508" s="5" t="inlineStr">
        <is>
          <t>strip_footing</t>
        </is>
      </c>
      <c r="D508" s="5" t="inlineStr">
        <is>
          <t>strip_footing</t>
        </is>
      </c>
      <c r="E508" s="5" t="n">
        <v>4740.6</v>
      </c>
      <c r="F508" s="5" t="n">
        <v>1222.9</v>
      </c>
      <c r="G508" s="5" t="n">
        <v>58</v>
      </c>
      <c r="H508" s="5" t="n">
        <v>5</v>
      </c>
      <c r="I508" s="5" t="inlineStr">
        <is>
          <t>strip_footing</t>
        </is>
      </c>
      <c r="J508" s="5" t="inlineStr">
        <is>
          <t>yes</t>
        </is>
      </c>
      <c r="K508" s="5" t="n">
        <v>58</v>
      </c>
      <c r="L508" s="5" t="n">
        <v>0.54</v>
      </c>
      <c r="M508" s="5" t="n">
        <v>0</v>
      </c>
      <c r="N508" s="5" t="inlineStr">
        <is>
          <t>yes</t>
        </is>
      </c>
    </row>
    <row r="509">
      <c r="A509" s="5" t="n">
        <v>508</v>
      </c>
      <c r="B509" s="5" t="inlineStr">
        <is>
          <t>SF1 80x25</t>
        </is>
      </c>
      <c r="C509" s="5" t="inlineStr">
        <is>
          <t>strip_footing</t>
        </is>
      </c>
      <c r="D509" s="5" t="inlineStr">
        <is>
          <t>strip_footing</t>
        </is>
      </c>
      <c r="E509" s="5" t="n">
        <v>4793.8</v>
      </c>
      <c r="F509" s="5" t="n">
        <v>935.4</v>
      </c>
      <c r="G509" s="5" t="n">
        <v>60</v>
      </c>
      <c r="H509" s="5" t="n">
        <v>5</v>
      </c>
      <c r="I509" s="5" t="inlineStr">
        <is>
          <t>strip_footing</t>
        </is>
      </c>
      <c r="J509" s="5" t="inlineStr">
        <is>
          <t>yes</t>
        </is>
      </c>
      <c r="K509" s="5" t="n">
        <v>60</v>
      </c>
      <c r="L509" s="5" t="n">
        <v>0.53</v>
      </c>
      <c r="M509" s="5" t="n">
        <v>0</v>
      </c>
      <c r="N509" s="5" t="inlineStr">
        <is>
          <t>yes</t>
        </is>
      </c>
    </row>
    <row r="510">
      <c r="A510" s="5" t="n">
        <v>509</v>
      </c>
      <c r="B510" s="5" t="inlineStr">
        <is>
          <t>SF1 80x25</t>
        </is>
      </c>
      <c r="C510" s="5" t="inlineStr">
        <is>
          <t>strip_footing</t>
        </is>
      </c>
      <c r="D510" s="5" t="inlineStr">
        <is>
          <t>strip_footing</t>
        </is>
      </c>
      <c r="E510" s="5" t="n">
        <v>4421.9</v>
      </c>
      <c r="F510" s="5" t="n">
        <v>480.2</v>
      </c>
      <c r="G510" s="5" t="n">
        <v>57</v>
      </c>
      <c r="H510" s="5" t="n">
        <v>5</v>
      </c>
      <c r="I510" s="5" t="inlineStr">
        <is>
          <t>strip_footing</t>
        </is>
      </c>
      <c r="J510" s="5" t="inlineStr">
        <is>
          <t>yes</t>
        </is>
      </c>
      <c r="K510" s="5" t="n">
        <v>57</v>
      </c>
      <c r="L510" s="5" t="n">
        <v>0.6</v>
      </c>
      <c r="M510" s="5" t="n">
        <v>0.02</v>
      </c>
      <c r="N510" s="5" t="inlineStr">
        <is>
          <t>yes</t>
        </is>
      </c>
    </row>
    <row r="511">
      <c r="A511" s="5" t="n">
        <v>510</v>
      </c>
      <c r="B511" s="5" t="inlineStr">
        <is>
          <t>SF1 80x25</t>
        </is>
      </c>
      <c r="C511" s="5" t="inlineStr">
        <is>
          <t>strip_footing</t>
        </is>
      </c>
      <c r="D511" s="5" t="inlineStr">
        <is>
          <t>strip_footing</t>
        </is>
      </c>
      <c r="E511" s="5" t="n">
        <v>4652.1</v>
      </c>
      <c r="F511" s="5" t="n">
        <v>2229.2</v>
      </c>
      <c r="G511" s="5" t="n">
        <v>309</v>
      </c>
      <c r="H511" s="5" t="n">
        <v>2</v>
      </c>
      <c r="I511" s="5" t="inlineStr">
        <is>
          <t>unidentified</t>
        </is>
      </c>
      <c r="J511" s="5" t="inlineStr">
        <is>
          <t>unidentified</t>
        </is>
      </c>
      <c r="K511" s="5" t="n">
        <v>252</v>
      </c>
      <c r="L511" s="5" t="n">
        <v>0</v>
      </c>
      <c r="M511" s="5" t="n">
        <v>0.02</v>
      </c>
      <c r="N511" s="5" t="inlineStr">
        <is>
          <t>yes</t>
        </is>
      </c>
    </row>
    <row r="512">
      <c r="A512" s="5" t="n">
        <v>511</v>
      </c>
      <c r="B512" s="5" t="inlineStr">
        <is>
          <t>SF4- 120x25</t>
        </is>
      </c>
      <c r="C512" s="5" t="inlineStr">
        <is>
          <t>strip_footing</t>
        </is>
      </c>
      <c r="D512" s="5" t="inlineStr">
        <is>
          <t>strip_footing</t>
        </is>
      </c>
      <c r="E512" s="5" t="n">
        <v>4658.3</v>
      </c>
      <c r="F512" s="5" t="n">
        <v>2132.3</v>
      </c>
      <c r="G512" s="5" t="n">
        <v>98</v>
      </c>
      <c r="H512" s="5" t="n">
        <v>34</v>
      </c>
      <c r="I512" s="5" t="inlineStr">
        <is>
          <t>core_wall</t>
        </is>
      </c>
      <c r="J512" s="5" t="inlineStr">
        <is>
          <t>no</t>
        </is>
      </c>
      <c r="K512" s="5" t="n">
        <v>257</v>
      </c>
      <c r="L512" s="5" t="n">
        <v>0</v>
      </c>
      <c r="M512" s="5" t="n">
        <v>0.02</v>
      </c>
      <c r="N512" s="5" t="inlineStr">
        <is>
          <t>yes</t>
        </is>
      </c>
    </row>
    <row r="513">
      <c r="A513" s="5" t="n">
        <v>512</v>
      </c>
      <c r="B513" s="5" t="inlineStr">
        <is>
          <t>SF4- 120x25</t>
        </is>
      </c>
      <c r="C513" s="5" t="inlineStr">
        <is>
          <t>strip_footing</t>
        </is>
      </c>
      <c r="D513" s="5" t="inlineStr">
        <is>
          <t>strip_footing</t>
        </is>
      </c>
      <c r="E513" s="5" t="n">
        <v>1109.4</v>
      </c>
      <c r="F513" s="5" t="n">
        <v>2508.3</v>
      </c>
      <c r="G513" s="5" t="n">
        <v>810</v>
      </c>
      <c r="H513" s="5" t="n">
        <v>2</v>
      </c>
      <c r="I513" s="5" t="inlineStr">
        <is>
          <t>unidentified</t>
        </is>
      </c>
      <c r="J513" s="5" t="inlineStr">
        <is>
          <t>unidentified</t>
        </is>
      </c>
      <c r="K513" s="5" t="inlineStr">
        <is>
          <t>unmatched</t>
        </is>
      </c>
      <c r="L513" s="5" t="n"/>
      <c r="M513" s="5" t="n"/>
      <c r="N513" s="5" t="inlineStr">
        <is>
          <t>yes</t>
        </is>
      </c>
    </row>
    <row r="514">
      <c r="A514" s="5" t="n">
        <v>513</v>
      </c>
      <c r="B514" s="5" t="inlineStr">
        <is>
          <t>SF4- 120x25</t>
        </is>
      </c>
      <c r="C514" s="5" t="inlineStr">
        <is>
          <t>strip_footing</t>
        </is>
      </c>
      <c r="D514" s="5" t="inlineStr">
        <is>
          <t>strip_footing</t>
        </is>
      </c>
      <c r="E514" s="5" t="n">
        <v>919.8</v>
      </c>
      <c r="F514" s="5" t="n">
        <v>2661.5</v>
      </c>
      <c r="G514" s="5" t="n">
        <v>820</v>
      </c>
      <c r="H514" s="5" t="n">
        <v>2</v>
      </c>
      <c r="I514" s="5" t="inlineStr">
        <is>
          <t>unidentified</t>
        </is>
      </c>
      <c r="J514" s="5" t="inlineStr">
        <is>
          <t>unidentified</t>
        </is>
      </c>
      <c r="K514" s="5" t="n">
        <v>791</v>
      </c>
      <c r="L514" s="5" t="n">
        <v>0</v>
      </c>
      <c r="M514" s="5" t="n">
        <v>0</v>
      </c>
      <c r="N514" s="5" t="inlineStr">
        <is>
          <t>no</t>
        </is>
      </c>
    </row>
    <row r="515">
      <c r="A515" s="5" t="n">
        <v>514</v>
      </c>
      <c r="B515" s="5" t="inlineStr">
        <is>
          <t>Radier</t>
        </is>
      </c>
      <c r="C515" s="5" t="inlineStr">
        <is>
          <t>raft</t>
        </is>
      </c>
      <c r="D515" s="5" t="inlineStr">
        <is>
          <t>raft</t>
        </is>
      </c>
      <c r="E515" s="5" t="n">
        <v>4853.1</v>
      </c>
      <c r="F515" s="5" t="n">
        <v>2710.4</v>
      </c>
      <c r="G515" s="5" t="n">
        <v>281</v>
      </c>
      <c r="H515" s="5" t="n">
        <v>39</v>
      </c>
      <c r="I515" s="5" t="inlineStr">
        <is>
          <t>raft</t>
        </is>
      </c>
      <c r="J515" s="5" t="inlineStr">
        <is>
          <t>yes</t>
        </is>
      </c>
      <c r="K515" s="5" t="n">
        <v>281</v>
      </c>
      <c r="L515" s="5" t="n">
        <v>0.21</v>
      </c>
      <c r="M515" s="5" t="n">
        <v>0</v>
      </c>
      <c r="N515" s="5" t="inlineStr">
        <is>
          <t>no</t>
        </is>
      </c>
    </row>
    <row r="516">
      <c r="A516" s="5" t="n">
        <v>515</v>
      </c>
      <c r="B516" s="5" t="inlineStr">
        <is>
          <t>Radier</t>
        </is>
      </c>
      <c r="C516" s="5" t="inlineStr">
        <is>
          <t>raft</t>
        </is>
      </c>
      <c r="D516" s="5" t="inlineStr">
        <is>
          <t>raft</t>
        </is>
      </c>
      <c r="E516" s="5" t="n">
        <v>4737.5</v>
      </c>
      <c r="F516" s="5" t="n">
        <v>3137.5</v>
      </c>
      <c r="G516" s="5" t="n">
        <v>384</v>
      </c>
      <c r="H516" s="5" t="n">
        <v>39</v>
      </c>
      <c r="I516" s="5" t="inlineStr">
        <is>
          <t>raft</t>
        </is>
      </c>
      <c r="J516" s="5" t="inlineStr">
        <is>
          <t>yes</t>
        </is>
      </c>
      <c r="K516" s="5" t="n">
        <v>384</v>
      </c>
      <c r="L516" s="5" t="n">
        <v>0.24</v>
      </c>
      <c r="M516" s="5" t="n">
        <v>0</v>
      </c>
      <c r="N516" s="5" t="inlineStr">
        <is>
          <t>no</t>
        </is>
      </c>
    </row>
    <row r="517">
      <c r="A517" s="5" t="n">
        <v>516</v>
      </c>
      <c r="B517" s="5" t="inlineStr">
        <is>
          <t>Radier</t>
        </is>
      </c>
      <c r="C517" s="5" t="inlineStr">
        <is>
          <t>raft</t>
        </is>
      </c>
      <c r="D517" s="5" t="inlineStr">
        <is>
          <t>raft</t>
        </is>
      </c>
      <c r="E517" s="5" t="n">
        <v>4045.8</v>
      </c>
      <c r="F517" s="5" t="n">
        <v>3431.3</v>
      </c>
      <c r="G517" s="5" t="n">
        <v>446</v>
      </c>
      <c r="H517" s="5" t="n">
        <v>39</v>
      </c>
      <c r="I517" s="5" t="inlineStr">
        <is>
          <t>raft</t>
        </is>
      </c>
      <c r="J517" s="5" t="inlineStr">
        <is>
          <t>yes</t>
        </is>
      </c>
      <c r="K517" s="5" t="n">
        <v>446</v>
      </c>
      <c r="L517" s="5" t="n">
        <v>0.23</v>
      </c>
      <c r="M517" s="5" t="n">
        <v>0</v>
      </c>
      <c r="N517" s="5" t="inlineStr">
        <is>
          <t>no</t>
        </is>
      </c>
    </row>
    <row r="518">
      <c r="A518" s="5" t="n">
        <v>517</v>
      </c>
      <c r="B518" s="5" t="inlineStr">
        <is>
          <t>Radier</t>
        </is>
      </c>
      <c r="C518" s="5" t="inlineStr">
        <is>
          <t>raft</t>
        </is>
      </c>
      <c r="D518" s="5" t="inlineStr">
        <is>
          <t>raft</t>
        </is>
      </c>
      <c r="E518" s="5" t="n">
        <v>3229.2</v>
      </c>
      <c r="F518" s="5" t="n">
        <v>3562.5</v>
      </c>
      <c r="G518" s="5" t="n">
        <v>525</v>
      </c>
      <c r="H518" s="5" t="n">
        <v>39</v>
      </c>
      <c r="I518" s="5" t="inlineStr">
        <is>
          <t>raft</t>
        </is>
      </c>
      <c r="J518" s="5" t="inlineStr">
        <is>
          <t>yes</t>
        </is>
      </c>
      <c r="K518" s="5" t="n">
        <v>525</v>
      </c>
      <c r="L518" s="5" t="n">
        <v>0.22</v>
      </c>
      <c r="M518" s="5" t="n">
        <v>0</v>
      </c>
      <c r="N518" s="5" t="inlineStr">
        <is>
          <t>no</t>
        </is>
      </c>
    </row>
    <row r="519">
      <c r="A519" s="5" t="n">
        <v>518</v>
      </c>
      <c r="B519" s="5" t="inlineStr">
        <is>
          <t>Radier</t>
        </is>
      </c>
      <c r="C519" s="5" t="inlineStr">
        <is>
          <t>raft</t>
        </is>
      </c>
      <c r="D519" s="5" t="inlineStr">
        <is>
          <t>raft</t>
        </is>
      </c>
      <c r="E519" s="5" t="n">
        <v>2768.8</v>
      </c>
      <c r="F519" s="5" t="n">
        <v>3500</v>
      </c>
      <c r="G519" s="5" t="n">
        <v>526</v>
      </c>
      <c r="H519" s="5" t="n">
        <v>39</v>
      </c>
      <c r="I519" s="5" t="inlineStr">
        <is>
          <t>raft</t>
        </is>
      </c>
      <c r="J519" s="5" t="inlineStr">
        <is>
          <t>yes</t>
        </is>
      </c>
      <c r="K519" s="5" t="n">
        <v>526</v>
      </c>
      <c r="L519" s="5" t="n">
        <v>0.21</v>
      </c>
      <c r="M519" s="5" t="n">
        <v>0</v>
      </c>
      <c r="N519" s="5" t="inlineStr">
        <is>
          <t>no</t>
        </is>
      </c>
    </row>
    <row r="520">
      <c r="A520" s="5" t="n">
        <v>519</v>
      </c>
      <c r="B520" s="5" t="inlineStr">
        <is>
          <t>Radier</t>
        </is>
      </c>
      <c r="C520" s="5" t="inlineStr">
        <is>
          <t>raft</t>
        </is>
      </c>
      <c r="D520" s="5" t="inlineStr">
        <is>
          <t>raft</t>
        </is>
      </c>
      <c r="E520" s="5" t="n">
        <v>2145.8</v>
      </c>
      <c r="F520" s="5" t="n">
        <v>3207.3</v>
      </c>
      <c r="G520" s="5" t="n">
        <v>608</v>
      </c>
      <c r="H520" s="5" t="n">
        <v>39</v>
      </c>
      <c r="I520" s="5" t="inlineStr">
        <is>
          <t>raft</t>
        </is>
      </c>
      <c r="J520" s="5" t="inlineStr">
        <is>
          <t>yes</t>
        </is>
      </c>
      <c r="K520" s="5" t="n">
        <v>608</v>
      </c>
      <c r="L520" s="5" t="n">
        <v>0.23</v>
      </c>
      <c r="M520" s="5" t="n">
        <v>0</v>
      </c>
      <c r="N520" s="5" t="inlineStr">
        <is>
          <t>no</t>
        </is>
      </c>
    </row>
    <row r="521">
      <c r="A521" s="5" t="n">
        <v>520</v>
      </c>
      <c r="B521" s="5" t="inlineStr">
        <is>
          <t>Radier</t>
        </is>
      </c>
      <c r="C521" s="5" t="inlineStr">
        <is>
          <t>raft</t>
        </is>
      </c>
      <c r="D521" s="5" t="inlineStr">
        <is>
          <t>raft</t>
        </is>
      </c>
      <c r="E521" s="5" t="n">
        <v>1275</v>
      </c>
      <c r="F521" s="5" t="n">
        <v>2747.9</v>
      </c>
      <c r="G521" s="5" t="n">
        <v>669</v>
      </c>
      <c r="H521" s="5" t="n">
        <v>39</v>
      </c>
      <c r="I521" s="5" t="inlineStr">
        <is>
          <t>raft</t>
        </is>
      </c>
      <c r="J521" s="5" t="inlineStr">
        <is>
          <t>yes</t>
        </is>
      </c>
      <c r="K521" s="5" t="n">
        <v>669</v>
      </c>
      <c r="L521" s="5" t="n">
        <v>0.21</v>
      </c>
      <c r="M521" s="5" t="n">
        <v>0</v>
      </c>
      <c r="N521" s="5" t="inlineStr">
        <is>
          <t>no</t>
        </is>
      </c>
    </row>
    <row r="522">
      <c r="A522" s="5" t="n">
        <v>521</v>
      </c>
      <c r="B522" s="5" t="inlineStr">
        <is>
          <t>Radier</t>
        </is>
      </c>
      <c r="C522" s="5" t="inlineStr">
        <is>
          <t>raft</t>
        </is>
      </c>
      <c r="D522" s="5" t="inlineStr">
        <is>
          <t>raft</t>
        </is>
      </c>
      <c r="E522" s="5" t="n">
        <v>914.6</v>
      </c>
      <c r="F522" s="5" t="n">
        <v>2250</v>
      </c>
      <c r="G522" s="5" t="n">
        <v>801</v>
      </c>
      <c r="H522" s="5" t="n">
        <v>39</v>
      </c>
      <c r="I522" s="5" t="inlineStr">
        <is>
          <t>raft</t>
        </is>
      </c>
      <c r="J522" s="5" t="inlineStr">
        <is>
          <t>yes</t>
        </is>
      </c>
      <c r="K522" s="5" t="n">
        <v>801</v>
      </c>
      <c r="L522" s="5" t="n">
        <v>0.24</v>
      </c>
      <c r="M522" s="5" t="n">
        <v>0</v>
      </c>
      <c r="N522" s="5" t="inlineStr">
        <is>
          <t>no</t>
        </is>
      </c>
    </row>
    <row r="523">
      <c r="A523" s="5" t="n">
        <v>522</v>
      </c>
      <c r="B523" s="5" t="inlineStr">
        <is>
          <t>Radier</t>
        </is>
      </c>
      <c r="C523" s="5" t="inlineStr">
        <is>
          <t>raft</t>
        </is>
      </c>
      <c r="D523" s="5" t="inlineStr">
        <is>
          <t>raft</t>
        </is>
      </c>
      <c r="E523" s="5" t="n">
        <v>696.9</v>
      </c>
      <c r="F523" s="5" t="n">
        <v>1437.5</v>
      </c>
      <c r="G523" s="5" t="n">
        <v>938</v>
      </c>
      <c r="H523" s="5" t="n">
        <v>39</v>
      </c>
      <c r="I523" s="5" t="inlineStr">
        <is>
          <t>raft</t>
        </is>
      </c>
      <c r="J523" s="5" t="inlineStr">
        <is>
          <t>yes</t>
        </is>
      </c>
      <c r="K523" s="5" t="n">
        <v>938</v>
      </c>
      <c r="L523" s="5" t="n">
        <v>0.24</v>
      </c>
      <c r="M523" s="5" t="n">
        <v>0</v>
      </c>
      <c r="N523" s="5" t="inlineStr">
        <is>
          <t>no</t>
        </is>
      </c>
    </row>
    <row r="524">
      <c r="A524" s="5" t="n">
        <v>523</v>
      </c>
      <c r="B524" s="5" t="inlineStr">
        <is>
          <t>Radier</t>
        </is>
      </c>
      <c r="C524" s="5" t="inlineStr">
        <is>
          <t>raft</t>
        </is>
      </c>
      <c r="D524" s="5" t="inlineStr">
        <is>
          <t>raft</t>
        </is>
      </c>
      <c r="E524" s="5" t="n">
        <v>4581.2</v>
      </c>
      <c r="F524" s="5" t="n">
        <v>487.5</v>
      </c>
      <c r="G524" s="5" t="n">
        <v>72</v>
      </c>
      <c r="H524" s="5" t="n">
        <v>39</v>
      </c>
      <c r="I524" s="5" t="inlineStr">
        <is>
          <t>raft</t>
        </is>
      </c>
      <c r="J524" s="5" t="inlineStr">
        <is>
          <t>yes</t>
        </is>
      </c>
      <c r="K524" s="5" t="n">
        <v>72</v>
      </c>
      <c r="L524" s="5" t="n">
        <v>0.22</v>
      </c>
      <c r="M524" s="5" t="n">
        <v>0</v>
      </c>
      <c r="N524" s="5" t="inlineStr">
        <is>
          <t>no</t>
        </is>
      </c>
    </row>
    <row r="525">
      <c r="A525" s="5" t="n">
        <v>524</v>
      </c>
      <c r="B525" s="5" t="inlineStr">
        <is>
          <t>Radier</t>
        </is>
      </c>
      <c r="C525" s="5" t="inlineStr">
        <is>
          <t>raft</t>
        </is>
      </c>
      <c r="D525" s="5" t="inlineStr">
        <is>
          <t>raft</t>
        </is>
      </c>
      <c r="E525" s="5" t="n">
        <v>4688.5</v>
      </c>
      <c r="F525" s="5" t="n">
        <v>818.8</v>
      </c>
      <c r="G525" s="5" t="n">
        <v>73</v>
      </c>
      <c r="H525" s="5" t="n">
        <v>39</v>
      </c>
      <c r="I525" s="5" t="inlineStr">
        <is>
          <t>raft</t>
        </is>
      </c>
      <c r="J525" s="5" t="inlineStr">
        <is>
          <t>yes</t>
        </is>
      </c>
      <c r="K525" s="5" t="n">
        <v>73</v>
      </c>
      <c r="L525" s="5" t="n">
        <v>0.23</v>
      </c>
      <c r="M525" s="5" t="n">
        <v>0</v>
      </c>
      <c r="N525" s="5" t="inlineStr">
        <is>
          <t>no</t>
        </is>
      </c>
    </row>
    <row r="526">
      <c r="A526" s="5" t="n">
        <v>525</v>
      </c>
      <c r="B526" s="5" t="inlineStr">
        <is>
          <t>Radier</t>
        </is>
      </c>
      <c r="C526" s="5" t="inlineStr">
        <is>
          <t>raft</t>
        </is>
      </c>
      <c r="D526" s="5" t="inlineStr">
        <is>
          <t>raft</t>
        </is>
      </c>
      <c r="E526" s="5" t="n">
        <v>4849</v>
      </c>
      <c r="F526" s="5" t="n">
        <v>1550</v>
      </c>
      <c r="G526" s="5" t="n">
        <v>150</v>
      </c>
      <c r="H526" s="5" t="n">
        <v>39</v>
      </c>
      <c r="I526" s="5" t="inlineStr">
        <is>
          <t>raft</t>
        </is>
      </c>
      <c r="J526" s="5" t="inlineStr">
        <is>
          <t>yes</t>
        </is>
      </c>
      <c r="K526" s="5" t="n">
        <v>150</v>
      </c>
      <c r="L526" s="5" t="n">
        <v>0.19</v>
      </c>
      <c r="M526" s="5" t="n">
        <v>0</v>
      </c>
      <c r="N526" s="5" t="inlineStr">
        <is>
          <t>no</t>
        </is>
      </c>
    </row>
    <row r="527">
      <c r="A527" s="5" t="n">
        <v>526</v>
      </c>
      <c r="B527" s="5" t="inlineStr">
        <is>
          <t>Radier</t>
        </is>
      </c>
      <c r="C527" s="5" t="inlineStr">
        <is>
          <t>raft</t>
        </is>
      </c>
      <c r="D527" s="5" t="inlineStr">
        <is>
          <t>raft</t>
        </is>
      </c>
      <c r="E527" s="5" t="n">
        <v>4251</v>
      </c>
      <c r="F527" s="5" t="n">
        <v>1458.3</v>
      </c>
      <c r="G527" s="5" t="n">
        <v>149</v>
      </c>
      <c r="H527" s="5" t="n">
        <v>39</v>
      </c>
      <c r="I527" s="5" t="inlineStr">
        <is>
          <t>raft</t>
        </is>
      </c>
      <c r="J527" s="5" t="inlineStr">
        <is>
          <t>yes</t>
        </is>
      </c>
      <c r="K527" s="5" t="n">
        <v>149</v>
      </c>
      <c r="L527" s="5" t="n">
        <v>0.2</v>
      </c>
      <c r="M527" s="5" t="n">
        <v>0</v>
      </c>
      <c r="N527" s="5" t="inlineStr">
        <is>
          <t>no</t>
        </is>
      </c>
    </row>
    <row r="528">
      <c r="A528" s="5" t="n">
        <v>527</v>
      </c>
      <c r="B528" s="5" t="inlineStr">
        <is>
          <t>FOSSE DE RELEVAGE2.00x1.50x1.50</t>
        </is>
      </c>
      <c r="C528" s="5" t="inlineStr">
        <is>
          <t>pit</t>
        </is>
      </c>
      <c r="D528" s="5" t="inlineStr">
        <is>
          <t>sump_pit</t>
        </is>
      </c>
      <c r="E528" s="5" t="n">
        <v>4681.2</v>
      </c>
      <c r="F528" s="5" t="n">
        <v>1870.8</v>
      </c>
      <c r="G528" s="5" t="n">
        <v>104</v>
      </c>
      <c r="H528" s="5" t="n">
        <v>28</v>
      </c>
      <c r="I528" s="5" t="inlineStr">
        <is>
          <t>core_wall</t>
        </is>
      </c>
      <c r="J528" s="5" t="inlineStr">
        <is>
          <t>no</t>
        </is>
      </c>
      <c r="K528" s="5" t="n">
        <v>151</v>
      </c>
      <c r="L528" s="5" t="n">
        <v>0.9399999999999999</v>
      </c>
      <c r="M528" s="5" t="n">
        <v>0</v>
      </c>
      <c r="N528" s="5" t="inlineStr">
        <is>
          <t>yes</t>
        </is>
      </c>
    </row>
    <row r="529">
      <c r="A529" s="5" t="n">
        <v>528</v>
      </c>
      <c r="B529" s="5" t="inlineStr">
        <is>
          <t>RADIER</t>
        </is>
      </c>
      <c r="C529" s="5" t="inlineStr">
        <is>
          <t>raft</t>
        </is>
      </c>
      <c r="D529" s="5" t="inlineStr">
        <is>
          <t>raft</t>
        </is>
      </c>
      <c r="E529" s="5" t="n">
        <v>4747.9</v>
      </c>
      <c r="F529" s="5" t="n">
        <v>1854.2</v>
      </c>
      <c r="G529" s="5" t="n">
        <v>114</v>
      </c>
      <c r="H529" s="5" t="n">
        <v>30</v>
      </c>
      <c r="I529" s="5" t="inlineStr">
        <is>
          <t>retaining_wall</t>
        </is>
      </c>
      <c r="J529" s="5" t="inlineStr">
        <is>
          <t>no</t>
        </is>
      </c>
      <c r="K529" s="5" t="inlineStr">
        <is>
          <t>unmatched</t>
        </is>
      </c>
      <c r="L529" s="5" t="n"/>
      <c r="M529" s="5" t="n"/>
      <c r="N529" s="5" t="inlineStr">
        <is>
          <t>no</t>
        </is>
      </c>
    </row>
    <row r="530">
      <c r="A530" s="5" t="n">
        <v>529</v>
      </c>
      <c r="B530" s="5" t="inlineStr">
        <is>
          <t>FOSSE DE RELEVAGE2.00x1.50x1.50</t>
        </is>
      </c>
      <c r="C530" s="5" t="inlineStr">
        <is>
          <t>pit</t>
        </is>
      </c>
      <c r="D530" s="5" t="inlineStr">
        <is>
          <t>sump_pit</t>
        </is>
      </c>
      <c r="E530" s="5" t="n">
        <v>4917.7</v>
      </c>
      <c r="F530" s="5" t="n">
        <v>3254.2</v>
      </c>
      <c r="G530" s="5" t="n">
        <v>385</v>
      </c>
      <c r="H530" s="5" t="n">
        <v>22</v>
      </c>
      <c r="I530" s="5" t="inlineStr">
        <is>
          <t>sump_pit</t>
        </is>
      </c>
      <c r="J530" s="5" t="inlineStr">
        <is>
          <t>yes</t>
        </is>
      </c>
      <c r="K530" s="5" t="n">
        <v>385</v>
      </c>
      <c r="L530" s="5" t="n">
        <v>0.86</v>
      </c>
      <c r="M530" s="5" t="n">
        <v>0</v>
      </c>
      <c r="N530" s="5" t="inlineStr">
        <is>
          <t>yes</t>
        </is>
      </c>
    </row>
    <row r="531">
      <c r="A531" s="5" t="n">
        <v>530</v>
      </c>
      <c r="B531" s="5" t="inlineStr">
        <is>
          <t>RADIER</t>
        </is>
      </c>
      <c r="C531" s="5" t="inlineStr">
        <is>
          <t>raft</t>
        </is>
      </c>
      <c r="D531" s="5" t="inlineStr">
        <is>
          <t>raft</t>
        </is>
      </c>
      <c r="E531" s="5" t="n">
        <v>4989.6</v>
      </c>
      <c r="F531" s="5" t="n">
        <v>3245.8</v>
      </c>
      <c r="G531" s="5" t="n">
        <v>341</v>
      </c>
      <c r="H531" s="5" t="n">
        <v>26</v>
      </c>
      <c r="I531" s="5" t="inlineStr">
        <is>
          <t>core_wall</t>
        </is>
      </c>
      <c r="J531" s="5" t="inlineStr">
        <is>
          <t>no</t>
        </is>
      </c>
      <c r="K531" s="5" t="inlineStr">
        <is>
          <t>unmatched</t>
        </is>
      </c>
      <c r="L531" s="5" t="n"/>
      <c r="M531" s="5" t="n"/>
      <c r="N531" s="5" t="inlineStr">
        <is>
          <t>no</t>
        </is>
      </c>
    </row>
    <row r="532">
      <c r="A532" s="5" t="n">
        <v>531</v>
      </c>
      <c r="B532" s="5" t="inlineStr">
        <is>
          <t>FOSSE DE RELEVAGE2.00x1.50x1.50</t>
        </is>
      </c>
      <c r="C532" s="5" t="inlineStr">
        <is>
          <t>pit</t>
        </is>
      </c>
      <c r="D532" s="5" t="inlineStr">
        <is>
          <t>sump_pit</t>
        </is>
      </c>
      <c r="E532" s="5" t="n">
        <v>2663.5</v>
      </c>
      <c r="F532" s="5" t="n">
        <v>3360.4</v>
      </c>
      <c r="G532" s="5" t="n">
        <v>553</v>
      </c>
      <c r="H532" s="5" t="n">
        <v>11</v>
      </c>
      <c r="I532" s="5" t="inlineStr">
        <is>
          <t>sump_pit</t>
        </is>
      </c>
      <c r="J532" s="5" t="inlineStr">
        <is>
          <t>yes</t>
        </is>
      </c>
      <c r="K532" s="5" t="n">
        <v>553</v>
      </c>
      <c r="L532" s="5" t="n">
        <v>0.18</v>
      </c>
      <c r="M532" s="5" t="n">
        <v>0</v>
      </c>
      <c r="N532" s="5" t="inlineStr">
        <is>
          <t>no</t>
        </is>
      </c>
    </row>
    <row r="533">
      <c r="A533" s="5" t="n">
        <v>532</v>
      </c>
      <c r="B533" s="5" t="inlineStr">
        <is>
          <t>RADIER</t>
        </is>
      </c>
      <c r="C533" s="5" t="inlineStr">
        <is>
          <t>raft</t>
        </is>
      </c>
      <c r="D533" s="5" t="inlineStr">
        <is>
          <t>raft</t>
        </is>
      </c>
      <c r="E533" s="5" t="n">
        <v>2641.7</v>
      </c>
      <c r="F533" s="5" t="n">
        <v>3382.3</v>
      </c>
      <c r="G533" s="5" t="n">
        <v>514</v>
      </c>
      <c r="H533" s="5" t="n">
        <v>5</v>
      </c>
      <c r="I533" s="5" t="inlineStr">
        <is>
          <t>strip_footing</t>
        </is>
      </c>
      <c r="J533" s="5" t="inlineStr">
        <is>
          <t>no</t>
        </is>
      </c>
      <c r="K533" s="5" t="inlineStr">
        <is>
          <t>unmatched</t>
        </is>
      </c>
      <c r="L533" s="5" t="n"/>
      <c r="M533" s="5" t="n"/>
      <c r="N533" s="5" t="inlineStr">
        <is>
          <t>no</t>
        </is>
      </c>
    </row>
    <row r="534">
      <c r="A534" s="5" t="n">
        <v>533</v>
      </c>
      <c r="B534" s="5" t="inlineStr">
        <is>
          <t>FOSSE DE RELEVAGE2.00x1.50x1.50</t>
        </is>
      </c>
      <c r="C534" s="5" t="inlineStr">
        <is>
          <t>pit</t>
        </is>
      </c>
      <c r="D534" s="5" t="inlineStr">
        <is>
          <t>sump_pit</t>
        </is>
      </c>
      <c r="E534" s="5" t="n">
        <v>1518.8</v>
      </c>
      <c r="F534" s="5" t="n">
        <v>2786.5</v>
      </c>
      <c r="G534" s="5" t="n">
        <v>671</v>
      </c>
      <c r="H534" s="5" t="n">
        <v>11</v>
      </c>
      <c r="I534" s="5" t="inlineStr">
        <is>
          <t>sump_pit</t>
        </is>
      </c>
      <c r="J534" s="5" t="inlineStr">
        <is>
          <t>yes</t>
        </is>
      </c>
      <c r="K534" s="5" t="n">
        <v>671</v>
      </c>
      <c r="L534" s="5" t="n">
        <v>0.2</v>
      </c>
      <c r="M534" s="5" t="n">
        <v>0</v>
      </c>
      <c r="N534" s="5" t="inlineStr">
        <is>
          <t>no</t>
        </is>
      </c>
    </row>
    <row r="535">
      <c r="A535" s="5" t="n">
        <v>534</v>
      </c>
      <c r="B535" s="5" t="inlineStr">
        <is>
          <t>RADIER</t>
        </is>
      </c>
      <c r="C535" s="5" t="inlineStr">
        <is>
          <t>raft</t>
        </is>
      </c>
      <c r="D535" s="5" t="inlineStr">
        <is>
          <t>raft</t>
        </is>
      </c>
      <c r="E535" s="5" t="n">
        <v>1497.9</v>
      </c>
      <c r="F535" s="5" t="n">
        <v>2808.3</v>
      </c>
      <c r="G535" s="5" t="n">
        <v>648</v>
      </c>
      <c r="H535" s="5" t="n">
        <v>30</v>
      </c>
      <c r="I535" s="5" t="inlineStr">
        <is>
          <t>retaining_wall</t>
        </is>
      </c>
      <c r="J535" s="5" t="inlineStr">
        <is>
          <t>no</t>
        </is>
      </c>
      <c r="K535" s="5" t="inlineStr">
        <is>
          <t>unmatched</t>
        </is>
      </c>
      <c r="L535" s="5" t="n"/>
      <c r="M535" s="5" t="n"/>
      <c r="N535" s="5" t="inlineStr">
        <is>
          <t>no</t>
        </is>
      </c>
    </row>
    <row r="536">
      <c r="A536" s="5" t="n">
        <v>535</v>
      </c>
      <c r="B536" s="5" t="inlineStr">
        <is>
          <t>Radier1</t>
        </is>
      </c>
      <c r="C536" s="5" t="inlineStr">
        <is>
          <t>raft</t>
        </is>
      </c>
      <c r="D536" s="5" t="inlineStr">
        <is>
          <t>raft</t>
        </is>
      </c>
      <c r="E536" s="5" t="n">
        <v>1757.3</v>
      </c>
      <c r="F536" s="5" t="n">
        <v>2705.2</v>
      </c>
      <c r="G536" s="5" t="n">
        <v>670</v>
      </c>
      <c r="H536" s="5" t="n">
        <v>39</v>
      </c>
      <c r="I536" s="5" t="inlineStr">
        <is>
          <t>raft</t>
        </is>
      </c>
      <c r="J536" s="5" t="inlineStr">
        <is>
          <t>yes</t>
        </is>
      </c>
      <c r="K536" s="5" t="n">
        <v>670</v>
      </c>
      <c r="L536" s="5" t="n">
        <v>0.2</v>
      </c>
      <c r="M536" s="5" t="n">
        <v>0</v>
      </c>
      <c r="N536" s="5" t="inlineStr">
        <is>
          <t>no</t>
        </is>
      </c>
    </row>
    <row r="537">
      <c r="A537" s="5" t="n">
        <v>536</v>
      </c>
      <c r="B537" s="5" t="inlineStr">
        <is>
          <t>FOSSE DE RELEVAGE2.00x1.50x1.50</t>
        </is>
      </c>
      <c r="C537" s="5" t="inlineStr">
        <is>
          <t>pit</t>
        </is>
      </c>
      <c r="D537" s="5" t="inlineStr">
        <is>
          <t>sump_pit</t>
        </is>
      </c>
      <c r="E537" s="5" t="n">
        <v>969.8</v>
      </c>
      <c r="F537" s="5" t="n">
        <v>1158.3</v>
      </c>
      <c r="G537" s="5" t="n">
        <v>939</v>
      </c>
      <c r="H537" s="5" t="n">
        <v>22</v>
      </c>
      <c r="I537" s="5" t="inlineStr">
        <is>
          <t>sump_pit</t>
        </is>
      </c>
      <c r="J537" s="5" t="inlineStr">
        <is>
          <t>yes</t>
        </is>
      </c>
      <c r="K537" s="5" t="n">
        <v>939</v>
      </c>
      <c r="L537" s="5" t="n">
        <v>0.85</v>
      </c>
      <c r="M537" s="5" t="n">
        <v>0</v>
      </c>
      <c r="N537" s="5" t="inlineStr">
        <is>
          <t>no</t>
        </is>
      </c>
    </row>
    <row r="538">
      <c r="A538" s="5" t="n">
        <v>537</v>
      </c>
      <c r="B538" s="5" t="inlineStr">
        <is>
          <t>RADIER</t>
        </is>
      </c>
      <c r="C538" s="5" t="inlineStr">
        <is>
          <t>raft</t>
        </is>
      </c>
      <c r="D538" s="5" t="inlineStr">
        <is>
          <t>raft</t>
        </is>
      </c>
      <c r="E538" s="5" t="n">
        <v>962.5</v>
      </c>
      <c r="F538" s="5" t="n">
        <v>1096.9</v>
      </c>
      <c r="G538" s="5" t="n">
        <v>894</v>
      </c>
      <c r="H538" s="5" t="n">
        <v>26</v>
      </c>
      <c r="I538" s="5" t="inlineStr">
        <is>
          <t>core_wall</t>
        </is>
      </c>
      <c r="J538" s="5" t="inlineStr">
        <is>
          <t>no</t>
        </is>
      </c>
      <c r="K538" s="5" t="inlineStr">
        <is>
          <t>unmatched</t>
        </is>
      </c>
      <c r="L538" s="5" t="n"/>
      <c r="M538" s="5" t="n"/>
      <c r="N538" s="5" t="inlineStr">
        <is>
          <t>no</t>
        </is>
      </c>
    </row>
    <row r="539">
      <c r="A539" s="5" t="n">
        <v>538</v>
      </c>
      <c r="B539" s="5" t="inlineStr">
        <is>
          <t>RADIER 190CM</t>
        </is>
      </c>
      <c r="C539" s="5" t="inlineStr">
        <is>
          <t>raft</t>
        </is>
      </c>
      <c r="D539" s="5" t="inlineStr">
        <is>
          <t>raft</t>
        </is>
      </c>
      <c r="E539" s="5" t="n">
        <v>1040.6</v>
      </c>
      <c r="F539" s="5" t="n">
        <v>1269.8</v>
      </c>
      <c r="G539" s="5" t="inlineStr">
        <is>
          <t>unmatched</t>
        </is>
      </c>
      <c r="H539" s="5" t="inlineStr"/>
      <c r="I539" s="5" t="inlineStr"/>
      <c r="J539" s="5" t="inlineStr"/>
      <c r="K539" s="5" t="inlineStr">
        <is>
          <t>unmatched</t>
        </is>
      </c>
      <c r="L539" s="5" t="n"/>
      <c r="M539" s="5" t="n"/>
      <c r="N539" s="5" t="inlineStr">
        <is>
          <t>no</t>
        </is>
      </c>
    </row>
    <row r="540">
      <c r="A540" s="5" t="n">
        <v>539</v>
      </c>
      <c r="B540" s="5" t="inlineStr">
        <is>
          <t>VP20/SF1 80x25</t>
        </is>
      </c>
      <c r="C540" s="5" t="inlineStr">
        <is>
          <t>retaining_wall+strip_footing</t>
        </is>
      </c>
      <c r="D540" s="5" t="inlineStr">
        <is>
          <t>retaining_wall / strip_footing</t>
        </is>
      </c>
      <c r="E540" s="5" t="n">
        <v>4861.5</v>
      </c>
      <c r="F540" s="5" t="n">
        <v>2495.8</v>
      </c>
      <c r="G540" s="5" t="n">
        <v>228</v>
      </c>
      <c r="H540" s="5" t="n">
        <v>30</v>
      </c>
      <c r="I540" s="5" t="inlineStr">
        <is>
          <t>retaining_wall</t>
        </is>
      </c>
      <c r="J540" s="5" t="inlineStr">
        <is>
          <t>yes</t>
        </is>
      </c>
      <c r="K540" s="5" t="n">
        <v>255</v>
      </c>
      <c r="L540" s="5" t="n">
        <v>0</v>
      </c>
      <c r="M540" s="5" t="n">
        <v>0.03</v>
      </c>
      <c r="N540" s="5" t="inlineStr">
        <is>
          <t>yes</t>
        </is>
      </c>
    </row>
    <row r="541">
      <c r="A541" s="5" t="n">
        <v>540</v>
      </c>
      <c r="B541" s="5" t="inlineStr">
        <is>
          <t>VP20/SF1 80x25</t>
        </is>
      </c>
      <c r="C541" s="5" t="inlineStr">
        <is>
          <t>retaining_wall+strip_footing</t>
        </is>
      </c>
      <c r="D541" s="5" t="inlineStr">
        <is>
          <t>retaining_wall / strip_footing</t>
        </is>
      </c>
      <c r="E541" s="5" t="n">
        <v>4781.2</v>
      </c>
      <c r="F541" s="5" t="n">
        <v>2420.8</v>
      </c>
      <c r="G541" s="5" t="n">
        <v>253</v>
      </c>
      <c r="H541" s="5" t="n">
        <v>5</v>
      </c>
      <c r="I541" s="5" t="inlineStr">
        <is>
          <t>strip_footing</t>
        </is>
      </c>
      <c r="J541" s="5" t="inlineStr">
        <is>
          <t>yes</t>
        </is>
      </c>
      <c r="K541" s="5" t="n">
        <v>253</v>
      </c>
      <c r="L541" s="5" t="n">
        <v>0</v>
      </c>
      <c r="M541" s="5" t="n">
        <v>0</v>
      </c>
      <c r="N541" s="5" t="inlineStr">
        <is>
          <t>yes</t>
        </is>
      </c>
    </row>
    <row r="542">
      <c r="A542" s="5" t="n">
        <v>541</v>
      </c>
      <c r="B542" s="5" t="inlineStr">
        <is>
          <t>VP25/SF1-80x25</t>
        </is>
      </c>
      <c r="C542" s="5" t="inlineStr">
        <is>
          <t>retaining_wall+strip_footing</t>
        </is>
      </c>
      <c r="D542" s="5" t="inlineStr">
        <is>
          <t>retaining_wall / strip_footing</t>
        </is>
      </c>
      <c r="E542" s="5" t="n">
        <v>4178.1</v>
      </c>
      <c r="F542" s="5" t="n">
        <v>2422.9</v>
      </c>
      <c r="G542" s="5" t="n">
        <v>250</v>
      </c>
      <c r="H542" s="5" t="n">
        <v>5</v>
      </c>
      <c r="I542" s="5" t="inlineStr">
        <is>
          <t>strip_footing</t>
        </is>
      </c>
      <c r="J542" s="5" t="inlineStr">
        <is>
          <t>yes</t>
        </is>
      </c>
      <c r="K542" s="5" t="n">
        <v>250</v>
      </c>
      <c r="L542" s="5" t="n">
        <v>0.17</v>
      </c>
      <c r="M542" s="5" t="n">
        <v>0.03</v>
      </c>
      <c r="N542" s="5" t="inlineStr">
        <is>
          <t>yes</t>
        </is>
      </c>
    </row>
    <row r="543">
      <c r="A543" s="5" t="n">
        <v>542</v>
      </c>
      <c r="B543" s="5" t="inlineStr">
        <is>
          <t>VP25/SF1 80x25</t>
        </is>
      </c>
      <c r="C543" s="5" t="inlineStr">
        <is>
          <t>retaining_wall+strip_footing</t>
        </is>
      </c>
      <c r="D543" s="5" t="inlineStr">
        <is>
          <t>retaining_wall / strip_footing</t>
        </is>
      </c>
      <c r="E543" s="5" t="n">
        <v>4431.2</v>
      </c>
      <c r="F543" s="5" t="n">
        <v>3552.1</v>
      </c>
      <c r="G543" s="5" t="n">
        <v>368</v>
      </c>
      <c r="H543" s="5" t="n">
        <v>5</v>
      </c>
      <c r="I543" s="5" t="inlineStr">
        <is>
          <t>strip_footing</t>
        </is>
      </c>
      <c r="J543" s="5" t="inlineStr">
        <is>
          <t>yes</t>
        </is>
      </c>
      <c r="K543" s="5" t="n">
        <v>368</v>
      </c>
      <c r="L543" s="5" t="n">
        <v>0</v>
      </c>
      <c r="M543" s="5" t="n">
        <v>0</v>
      </c>
      <c r="N543" s="5" t="inlineStr">
        <is>
          <t>yes</t>
        </is>
      </c>
    </row>
    <row r="544">
      <c r="A544" s="5" t="n">
        <v>543</v>
      </c>
      <c r="B544" s="5" t="inlineStr">
        <is>
          <t>VP25/SF1 80x25</t>
        </is>
      </c>
      <c r="C544" s="5" t="inlineStr">
        <is>
          <t>retaining_wall+strip_footing</t>
        </is>
      </c>
      <c r="D544" s="5" t="inlineStr">
        <is>
          <t>retaining_wall / strip_footing</t>
        </is>
      </c>
      <c r="E544" s="5" t="n">
        <v>4989.6</v>
      </c>
      <c r="F544" s="5" t="n">
        <v>3055.2</v>
      </c>
      <c r="G544" s="5" t="n">
        <v>369</v>
      </c>
      <c r="H544" s="5" t="n">
        <v>5</v>
      </c>
      <c r="I544" s="5" t="inlineStr">
        <is>
          <t>strip_footing</t>
        </is>
      </c>
      <c r="J544" s="5" t="inlineStr">
        <is>
          <t>yes</t>
        </is>
      </c>
      <c r="K544" s="5" t="n">
        <v>369</v>
      </c>
      <c r="L544" s="5" t="n">
        <v>0.58</v>
      </c>
      <c r="M544" s="5" t="n">
        <v>0.05</v>
      </c>
      <c r="N544" s="5" t="inlineStr">
        <is>
          <t>yes</t>
        </is>
      </c>
    </row>
    <row r="545">
      <c r="A545" s="5" t="n">
        <v>544</v>
      </c>
      <c r="B545" s="5" t="inlineStr">
        <is>
          <t>VP25/SF1- 80x25</t>
        </is>
      </c>
      <c r="C545" s="5" t="inlineStr">
        <is>
          <t>retaining_wall+strip_footing</t>
        </is>
      </c>
      <c r="D545" s="5" t="inlineStr">
        <is>
          <t>retaining_wall / strip_footing</t>
        </is>
      </c>
      <c r="E545" s="5" t="n">
        <v>4049</v>
      </c>
      <c r="F545" s="5" t="n">
        <v>2788.5</v>
      </c>
      <c r="G545" s="5" t="n">
        <v>251</v>
      </c>
      <c r="H545" s="5" t="n">
        <v>5</v>
      </c>
      <c r="I545" s="5" t="inlineStr">
        <is>
          <t>strip_footing</t>
        </is>
      </c>
      <c r="J545" s="5" t="inlineStr">
        <is>
          <t>yes</t>
        </is>
      </c>
      <c r="K545" s="5" t="n">
        <v>251</v>
      </c>
      <c r="L545" s="5" t="n">
        <v>0.58</v>
      </c>
      <c r="M545" s="5" t="n">
        <v>0.18</v>
      </c>
      <c r="N545" s="5" t="inlineStr">
        <is>
          <t>yes</t>
        </is>
      </c>
    </row>
    <row r="546">
      <c r="A546" s="5" t="n">
        <v>545</v>
      </c>
      <c r="B546" s="5" t="inlineStr">
        <is>
          <t>VP20/SF1-80x25</t>
        </is>
      </c>
      <c r="C546" s="5" t="inlineStr">
        <is>
          <t>retaining_wall+strip_footing</t>
        </is>
      </c>
      <c r="D546" s="5" t="inlineStr">
        <is>
          <t>retaining_wall / strip_footing</t>
        </is>
      </c>
      <c r="E546" s="5" t="n">
        <v>3009.4</v>
      </c>
      <c r="F546" s="5" t="n">
        <v>2930.2</v>
      </c>
      <c r="G546" s="5" t="n">
        <v>596</v>
      </c>
      <c r="H546" s="5" t="n">
        <v>5</v>
      </c>
      <c r="I546" s="5" t="inlineStr">
        <is>
          <t>strip_footing</t>
        </is>
      </c>
      <c r="J546" s="5" t="inlineStr">
        <is>
          <t>yes</t>
        </is>
      </c>
      <c r="K546" s="5" t="n">
        <v>596</v>
      </c>
      <c r="L546" s="5" t="n">
        <v>0.2</v>
      </c>
      <c r="M546" s="5" t="n">
        <v>0</v>
      </c>
      <c r="N546" s="5" t="inlineStr">
        <is>
          <t>no</t>
        </is>
      </c>
    </row>
    <row r="547">
      <c r="A547" s="5" t="n">
        <v>546</v>
      </c>
      <c r="B547" s="5" t="inlineStr">
        <is>
          <t>VP20-SF1 80x25</t>
        </is>
      </c>
      <c r="C547" s="5" t="inlineStr">
        <is>
          <t>retaining_wall+strip_footing</t>
        </is>
      </c>
      <c r="D547" s="5" t="inlineStr">
        <is>
          <t>retaining_wall / strip_footing</t>
        </is>
      </c>
      <c r="E547" s="5" t="n">
        <v>2332.3</v>
      </c>
      <c r="F547" s="5" t="n">
        <v>3236.5</v>
      </c>
      <c r="G547" s="5" t="n">
        <v>597</v>
      </c>
      <c r="H547" s="5" t="n">
        <v>5</v>
      </c>
      <c r="I547" s="5" t="inlineStr">
        <is>
          <t>strip_footing</t>
        </is>
      </c>
      <c r="J547" s="5" t="inlineStr">
        <is>
          <t>yes</t>
        </is>
      </c>
      <c r="K547" s="5" t="n">
        <v>597</v>
      </c>
      <c r="L547" s="5" t="n">
        <v>0.18</v>
      </c>
      <c r="M547" s="5" t="n">
        <v>0.35</v>
      </c>
      <c r="N547" s="5" t="inlineStr">
        <is>
          <t>yes</t>
        </is>
      </c>
    </row>
    <row r="548">
      <c r="A548" s="5" t="n">
        <v>547</v>
      </c>
      <c r="B548" s="5" t="inlineStr">
        <is>
          <t>VP20-SF1-80x25</t>
        </is>
      </c>
      <c r="C548" s="5" t="inlineStr">
        <is>
          <t>retaining_wall+strip_footing</t>
        </is>
      </c>
      <c r="D548" s="5" t="inlineStr">
        <is>
          <t>retaining_wall / strip_footing</t>
        </is>
      </c>
      <c r="E548" s="5" t="n">
        <v>1703.1</v>
      </c>
      <c r="F548" s="5" t="n">
        <v>2276</v>
      </c>
      <c r="G548" s="5" t="n">
        <v>596</v>
      </c>
      <c r="H548" s="5" t="n">
        <v>5</v>
      </c>
      <c r="I548" s="5" t="inlineStr">
        <is>
          <t>strip_footing</t>
        </is>
      </c>
      <c r="J548" s="5" t="inlineStr">
        <is>
          <t>yes</t>
        </is>
      </c>
      <c r="K548" s="5" t="n">
        <v>596</v>
      </c>
      <c r="L548" s="5" t="n">
        <v>0.18</v>
      </c>
      <c r="M548" s="5" t="n">
        <v>0.45</v>
      </c>
      <c r="N548" s="5" t="inlineStr">
        <is>
          <t>yes</t>
        </is>
      </c>
    </row>
    <row r="549">
      <c r="A549" s="5" t="n">
        <v>548</v>
      </c>
      <c r="B549" s="5" t="inlineStr">
        <is>
          <t>VP25/SF1-80x25</t>
        </is>
      </c>
      <c r="C549" s="5" t="inlineStr">
        <is>
          <t>retaining_wall+strip_footing</t>
        </is>
      </c>
      <c r="D549" s="5" t="inlineStr">
        <is>
          <t>retaining_wall / strip_footing</t>
        </is>
      </c>
      <c r="E549" s="5" t="n">
        <v>4343.8</v>
      </c>
      <c r="F549" s="5" t="n">
        <v>3477.1</v>
      </c>
      <c r="G549" s="5" t="n">
        <v>423</v>
      </c>
      <c r="H549" s="5" t="n">
        <v>34</v>
      </c>
      <c r="I549" s="5" t="inlineStr">
        <is>
          <t>retaining_wall</t>
        </is>
      </c>
      <c r="J549" s="5" t="inlineStr">
        <is>
          <t>yes</t>
        </is>
      </c>
      <c r="K549" s="5" t="n">
        <v>423</v>
      </c>
      <c r="L549" s="5" t="n">
        <v>0.47</v>
      </c>
      <c r="M549" s="5" t="n">
        <v>0.23</v>
      </c>
      <c r="N549" s="5" t="inlineStr">
        <is>
          <t>yes</t>
        </is>
      </c>
    </row>
    <row r="550">
      <c r="A550" s="5" t="n">
        <v>549</v>
      </c>
      <c r="B550" s="5" t="inlineStr">
        <is>
          <t>VP25/SF1-80x25</t>
        </is>
      </c>
      <c r="C550" s="5" t="inlineStr">
        <is>
          <t>retaining_wall+strip_footing</t>
        </is>
      </c>
      <c r="D550" s="5" t="inlineStr">
        <is>
          <t>retaining_wall / strip_footing</t>
        </is>
      </c>
      <c r="E550" s="5" t="n">
        <v>4180.2</v>
      </c>
      <c r="F550" s="5" t="n">
        <v>2243.8</v>
      </c>
      <c r="G550" s="5" t="n">
        <v>250</v>
      </c>
      <c r="H550" s="5" t="n">
        <v>5</v>
      </c>
      <c r="I550" s="5" t="inlineStr">
        <is>
          <t>strip_footing</t>
        </is>
      </c>
      <c r="J550" s="5" t="inlineStr">
        <is>
          <t>yes</t>
        </is>
      </c>
      <c r="K550" s="5" t="n">
        <v>250</v>
      </c>
      <c r="L550" s="5" t="n">
        <v>0.24</v>
      </c>
      <c r="M550" s="5" t="n">
        <v>0.03</v>
      </c>
      <c r="N550" s="5" t="inlineStr">
        <is>
          <t>yes</t>
        </is>
      </c>
    </row>
    <row r="551">
      <c r="A551" s="5" t="n">
        <v>550</v>
      </c>
      <c r="B551" s="5" t="inlineStr">
        <is>
          <t>VP25/SF1-80x25</t>
        </is>
      </c>
      <c r="C551" s="5" t="inlineStr">
        <is>
          <t>retaining_wall+strip_footing</t>
        </is>
      </c>
      <c r="D551" s="5" t="inlineStr">
        <is>
          <t>retaining_wall / strip_footing</t>
        </is>
      </c>
      <c r="E551" s="5" t="n">
        <v>4178.1</v>
      </c>
      <c r="F551" s="5" t="n">
        <v>2644.8</v>
      </c>
      <c r="G551" s="5" t="n">
        <v>250</v>
      </c>
      <c r="H551" s="5" t="n">
        <v>5</v>
      </c>
      <c r="I551" s="5" t="inlineStr">
        <is>
          <t>strip_footing</t>
        </is>
      </c>
      <c r="J551" s="5" t="inlineStr">
        <is>
          <t>yes</t>
        </is>
      </c>
      <c r="K551" s="5" t="n">
        <v>250</v>
      </c>
      <c r="L551" s="5" t="n">
        <v>0.18</v>
      </c>
      <c r="M551" s="5" t="n">
        <v>0.03</v>
      </c>
      <c r="N551" s="5" t="inlineStr">
        <is>
          <t>yes</t>
        </is>
      </c>
    </row>
    <row r="552">
      <c r="A552" s="5" t="n">
        <v>551</v>
      </c>
      <c r="B552" s="5" t="inlineStr">
        <is>
          <t>VP25/SF1- 80x25</t>
        </is>
      </c>
      <c r="C552" s="5" t="inlineStr">
        <is>
          <t>retaining_wall+strip_footing</t>
        </is>
      </c>
      <c r="D552" s="5" t="inlineStr">
        <is>
          <t>retaining_wall / strip_footing</t>
        </is>
      </c>
      <c r="E552" s="5" t="n">
        <v>3853.1</v>
      </c>
      <c r="F552" s="5" t="n">
        <v>2824</v>
      </c>
      <c r="G552" s="5" t="n">
        <v>251</v>
      </c>
      <c r="H552" s="5" t="n">
        <v>5</v>
      </c>
      <c r="I552" s="5" t="inlineStr">
        <is>
          <t>strip_footing</t>
        </is>
      </c>
      <c r="J552" s="5" t="inlineStr">
        <is>
          <t>yes</t>
        </is>
      </c>
      <c r="K552" s="5" t="n">
        <v>251</v>
      </c>
      <c r="L552" s="5" t="n">
        <v>0.54</v>
      </c>
      <c r="M552" s="5" t="n">
        <v>0.23</v>
      </c>
      <c r="N552" s="5" t="inlineStr">
        <is>
          <t>yes</t>
        </is>
      </c>
    </row>
    <row r="553">
      <c r="A553" s="5" t="n">
        <v>552</v>
      </c>
      <c r="B553" s="5" t="inlineStr">
        <is>
          <t>VP25/SF1- 80x25</t>
        </is>
      </c>
      <c r="C553" s="5" t="inlineStr">
        <is>
          <t>retaining_wall+strip_footing</t>
        </is>
      </c>
      <c r="D553" s="5" t="inlineStr">
        <is>
          <t>retaining_wall / strip_footing</t>
        </is>
      </c>
      <c r="E553" s="5" t="n">
        <v>3621.9</v>
      </c>
      <c r="F553" s="5" t="n">
        <v>2867.7</v>
      </c>
      <c r="G553" s="5" t="n">
        <v>251</v>
      </c>
      <c r="H553" s="5" t="n">
        <v>5</v>
      </c>
      <c r="I553" s="5" t="inlineStr">
        <is>
          <t>strip_footing</t>
        </is>
      </c>
      <c r="J553" s="5" t="inlineStr">
        <is>
          <t>yes</t>
        </is>
      </c>
      <c r="K553" s="5" t="n">
        <v>251</v>
      </c>
      <c r="L553" s="5" t="n">
        <v>0.55</v>
      </c>
      <c r="M553" s="5" t="n">
        <v>0.01</v>
      </c>
      <c r="N553" s="5" t="inlineStr">
        <is>
          <t>yes</t>
        </is>
      </c>
    </row>
    <row r="554">
      <c r="A554" s="5" t="n">
        <v>553</v>
      </c>
      <c r="B554" s="5" t="inlineStr">
        <is>
          <t>VP20/SF1- 80x25</t>
        </is>
      </c>
      <c r="C554" s="5" t="inlineStr">
        <is>
          <t>retaining_wall+strip_footing</t>
        </is>
      </c>
      <c r="D554" s="5" t="inlineStr">
        <is>
          <t>retaining_wall / strip_footing</t>
        </is>
      </c>
      <c r="E554" s="5" t="n">
        <v>3384.4</v>
      </c>
      <c r="F554" s="5" t="n">
        <v>2911.5</v>
      </c>
      <c r="G554" s="5" t="n">
        <v>251</v>
      </c>
      <c r="H554" s="5" t="n">
        <v>5</v>
      </c>
      <c r="I554" s="5" t="inlineStr">
        <is>
          <t>strip_footing</t>
        </is>
      </c>
      <c r="J554" s="5" t="inlineStr">
        <is>
          <t>yes</t>
        </is>
      </c>
      <c r="K554" s="5" t="n">
        <v>251</v>
      </c>
      <c r="L554" s="5" t="n">
        <v>0.53</v>
      </c>
      <c r="M554" s="5" t="n">
        <v>0.01</v>
      </c>
      <c r="N554" s="5" t="inlineStr">
        <is>
          <t>yes</t>
        </is>
      </c>
    </row>
    <row r="555">
      <c r="A555" s="5" t="n">
        <v>554</v>
      </c>
      <c r="B555" s="5" t="inlineStr">
        <is>
          <t>VP20/SF1- 80x25</t>
        </is>
      </c>
      <c r="C555" s="5" t="inlineStr">
        <is>
          <t>retaining_wall+strip_footing</t>
        </is>
      </c>
      <c r="D555" s="5" t="inlineStr">
        <is>
          <t>retaining_wall / strip_footing</t>
        </is>
      </c>
      <c r="E555" s="5" t="n">
        <v>3180.2</v>
      </c>
      <c r="F555" s="5" t="n">
        <v>2951</v>
      </c>
      <c r="G555" s="5" t="n">
        <v>251</v>
      </c>
      <c r="H555" s="5" t="n">
        <v>5</v>
      </c>
      <c r="I555" s="5" t="inlineStr">
        <is>
          <t>strip_footing</t>
        </is>
      </c>
      <c r="J555" s="5" t="inlineStr">
        <is>
          <t>yes</t>
        </is>
      </c>
      <c r="K555" s="5" t="n">
        <v>251</v>
      </c>
      <c r="L555" s="5" t="n">
        <v>0.58</v>
      </c>
      <c r="M555" s="5" t="n">
        <v>0.22</v>
      </c>
      <c r="N555" s="5" t="inlineStr">
        <is>
          <t>yes</t>
        </is>
      </c>
    </row>
    <row r="556">
      <c r="A556" s="5" t="n">
        <v>555</v>
      </c>
      <c r="B556" s="5" t="inlineStr">
        <is>
          <t>VP20/SF1-80x25</t>
        </is>
      </c>
      <c r="C556" s="5" t="inlineStr">
        <is>
          <t>retaining_wall+strip_footing</t>
        </is>
      </c>
      <c r="D556" s="5" t="inlineStr">
        <is>
          <t>retaining_wall / strip_footing</t>
        </is>
      </c>
      <c r="E556" s="5" t="n">
        <v>2807.3</v>
      </c>
      <c r="F556" s="5" t="n">
        <v>2830.2</v>
      </c>
      <c r="G556" s="5" t="n">
        <v>596</v>
      </c>
      <c r="H556" s="5" t="n">
        <v>5</v>
      </c>
      <c r="I556" s="5" t="inlineStr">
        <is>
          <t>strip_footing</t>
        </is>
      </c>
      <c r="J556" s="5" t="inlineStr">
        <is>
          <t>yes</t>
        </is>
      </c>
      <c r="K556" s="5" t="n">
        <v>596</v>
      </c>
      <c r="L556" s="5" t="n">
        <v>0.23</v>
      </c>
      <c r="M556" s="5" t="n">
        <v>0</v>
      </c>
      <c r="N556" s="5" t="inlineStr">
        <is>
          <t>no</t>
        </is>
      </c>
    </row>
    <row r="557">
      <c r="A557" s="5" t="n">
        <v>556</v>
      </c>
      <c r="B557" s="5" t="inlineStr">
        <is>
          <t>VP25/SF1- 80x25</t>
        </is>
      </c>
      <c r="C557" s="5" t="inlineStr">
        <is>
          <t>retaining_wall+strip_footing</t>
        </is>
      </c>
      <c r="D557" s="5" t="inlineStr">
        <is>
          <t>retaining_wall / strip_footing</t>
        </is>
      </c>
      <c r="E557" s="5" t="n">
        <v>3957.3</v>
      </c>
      <c r="F557" s="5" t="n">
        <v>3642.7</v>
      </c>
      <c r="G557" s="5" t="n">
        <v>435</v>
      </c>
      <c r="H557" s="5" t="n">
        <v>5</v>
      </c>
      <c r="I557" s="5" t="inlineStr">
        <is>
          <t>strip_footing</t>
        </is>
      </c>
      <c r="J557" s="5" t="inlineStr">
        <is>
          <t>yes</t>
        </is>
      </c>
      <c r="K557" s="5" t="n">
        <v>435</v>
      </c>
      <c r="L557" s="5" t="n">
        <v>0</v>
      </c>
      <c r="M557" s="5" t="n">
        <v>0.05</v>
      </c>
      <c r="N557" s="5" t="inlineStr">
        <is>
          <t>yes</t>
        </is>
      </c>
    </row>
    <row r="558">
      <c r="A558" s="5" t="n">
        <v>557</v>
      </c>
      <c r="B558" s="5" t="inlineStr">
        <is>
          <t>VP25/SF1- 80x25</t>
        </is>
      </c>
      <c r="C558" s="5" t="inlineStr">
        <is>
          <t>retaining_wall+strip_footing</t>
        </is>
      </c>
      <c r="D558" s="5" t="inlineStr">
        <is>
          <t>retaining_wall / strip_footing</t>
        </is>
      </c>
      <c r="E558" s="5" t="n">
        <v>3759.4</v>
      </c>
      <c r="F558" s="5" t="n">
        <v>3680.2</v>
      </c>
      <c r="G558" s="5" t="n">
        <v>436</v>
      </c>
      <c r="H558" s="5" t="n">
        <v>5</v>
      </c>
      <c r="I558" s="5" t="inlineStr">
        <is>
          <t>strip_footing</t>
        </is>
      </c>
      <c r="J558" s="5" t="inlineStr">
        <is>
          <t>yes</t>
        </is>
      </c>
      <c r="K558" s="5" t="n">
        <v>436</v>
      </c>
      <c r="L558" s="5" t="n">
        <v>0</v>
      </c>
      <c r="M558" s="5" t="n">
        <v>0</v>
      </c>
      <c r="N558" s="5" t="inlineStr">
        <is>
          <t>yes</t>
        </is>
      </c>
    </row>
    <row r="559">
      <c r="A559" s="5" t="n">
        <v>558</v>
      </c>
      <c r="B559" s="5" t="inlineStr">
        <is>
          <t>VP25/SF1- 80x25</t>
        </is>
      </c>
      <c r="C559" s="5" t="inlineStr">
        <is>
          <t>retaining_wall+strip_footing</t>
        </is>
      </c>
      <c r="D559" s="5" t="inlineStr">
        <is>
          <t>retaining_wall / strip_footing</t>
        </is>
      </c>
      <c r="E559" s="5" t="n">
        <v>4171.9</v>
      </c>
      <c r="F559" s="5" t="n">
        <v>3392.7</v>
      </c>
      <c r="G559" s="5" t="n">
        <v>422</v>
      </c>
      <c r="H559" s="5" t="n">
        <v>34</v>
      </c>
      <c r="I559" s="5" t="inlineStr">
        <is>
          <t>retaining_wall</t>
        </is>
      </c>
      <c r="J559" s="5" t="inlineStr">
        <is>
          <t>yes</t>
        </is>
      </c>
      <c r="K559" s="5" t="n">
        <v>422</v>
      </c>
      <c r="L559" s="5" t="n">
        <v>1.01</v>
      </c>
      <c r="M559" s="5" t="n">
        <v>0.26</v>
      </c>
      <c r="N559" s="5" t="inlineStr">
        <is>
          <t>yes</t>
        </is>
      </c>
    </row>
    <row r="560">
      <c r="A560" s="5" t="n">
        <v>559</v>
      </c>
      <c r="B560" s="5" t="inlineStr">
        <is>
          <t>VP25/SF1 80x25</t>
        </is>
      </c>
      <c r="C560" s="5" t="inlineStr">
        <is>
          <t>retaining_wall+strip_footing</t>
        </is>
      </c>
      <c r="D560" s="5" t="inlineStr">
        <is>
          <t>retaining_wall / strip_footing</t>
        </is>
      </c>
      <c r="E560" s="5" t="n">
        <v>4621.9</v>
      </c>
      <c r="F560" s="5" t="n">
        <v>3517.7</v>
      </c>
      <c r="G560" s="5" t="n">
        <v>370</v>
      </c>
      <c r="H560" s="5" t="n">
        <v>5</v>
      </c>
      <c r="I560" s="5" t="inlineStr">
        <is>
          <t>strip_footing</t>
        </is>
      </c>
      <c r="J560" s="5" t="inlineStr">
        <is>
          <t>yes</t>
        </is>
      </c>
      <c r="K560" s="5" t="n">
        <v>370</v>
      </c>
      <c r="L560" s="5" t="n">
        <v>0</v>
      </c>
      <c r="M560" s="5" t="n">
        <v>0.04</v>
      </c>
      <c r="N560" s="5" t="inlineStr">
        <is>
          <t>yes</t>
        </is>
      </c>
    </row>
    <row r="561">
      <c r="A561" s="5" t="n">
        <v>560</v>
      </c>
      <c r="B561" s="5" t="inlineStr">
        <is>
          <t>VP25/SF1 80x25</t>
        </is>
      </c>
      <c r="C561" s="5" t="inlineStr">
        <is>
          <t>retaining_wall+strip_footing</t>
        </is>
      </c>
      <c r="D561" s="5" t="inlineStr">
        <is>
          <t>retaining_wall / strip_footing</t>
        </is>
      </c>
      <c r="E561" s="5" t="n">
        <v>4810.4</v>
      </c>
      <c r="F561" s="5" t="n">
        <v>3481.3</v>
      </c>
      <c r="G561" s="5" t="n">
        <v>371</v>
      </c>
      <c r="H561" s="5" t="n">
        <v>5</v>
      </c>
      <c r="I561" s="5" t="inlineStr">
        <is>
          <t>strip_footing</t>
        </is>
      </c>
      <c r="J561" s="5" t="inlineStr">
        <is>
          <t>yes</t>
        </is>
      </c>
      <c r="K561" s="5" t="n">
        <v>371</v>
      </c>
      <c r="L561" s="5" t="n">
        <v>0</v>
      </c>
      <c r="M561" s="5" t="n">
        <v>0</v>
      </c>
      <c r="N561" s="5" t="inlineStr">
        <is>
          <t>yes</t>
        </is>
      </c>
    </row>
    <row r="562">
      <c r="A562" s="5" t="n">
        <v>561</v>
      </c>
      <c r="B562" s="5" t="inlineStr">
        <is>
          <t>VP25/SF1 80x25</t>
        </is>
      </c>
      <c r="C562" s="5" t="inlineStr">
        <is>
          <t>retaining_wall+strip_footing</t>
        </is>
      </c>
      <c r="D562" s="5" t="inlineStr">
        <is>
          <t>retaining_wall / strip_footing</t>
        </is>
      </c>
      <c r="E562" s="5" t="n">
        <v>4987.5</v>
      </c>
      <c r="F562" s="5" t="n">
        <v>2842.7</v>
      </c>
      <c r="G562" s="5" t="n">
        <v>254</v>
      </c>
      <c r="H562" s="5" t="n">
        <v>5</v>
      </c>
      <c r="I562" s="5" t="inlineStr">
        <is>
          <t>strip_footing</t>
        </is>
      </c>
      <c r="J562" s="5" t="inlineStr">
        <is>
          <t>yes</t>
        </is>
      </c>
      <c r="K562" s="5" t="n">
        <v>254</v>
      </c>
      <c r="L562" s="5" t="n">
        <v>0.61</v>
      </c>
      <c r="M562" s="5" t="n">
        <v>0.02</v>
      </c>
      <c r="N562" s="5" t="inlineStr">
        <is>
          <t>yes</t>
        </is>
      </c>
    </row>
    <row r="563">
      <c r="A563" s="5" t="n">
        <v>562</v>
      </c>
      <c r="B563" s="5" t="inlineStr">
        <is>
          <t>VP25/SF1 80x25</t>
        </is>
      </c>
      <c r="C563" s="5" t="inlineStr">
        <is>
          <t>retaining_wall+strip_footing</t>
        </is>
      </c>
      <c r="D563" s="5" t="inlineStr">
        <is>
          <t>retaining_wall / strip_footing</t>
        </is>
      </c>
      <c r="E563" s="5" t="n">
        <v>4989.6</v>
      </c>
      <c r="F563" s="5" t="n">
        <v>2582.3</v>
      </c>
      <c r="G563" s="5" t="n">
        <v>256</v>
      </c>
      <c r="H563" s="5" t="n">
        <v>5</v>
      </c>
      <c r="I563" s="5" t="inlineStr">
        <is>
          <t>strip_footing</t>
        </is>
      </c>
      <c r="J563" s="5" t="inlineStr">
        <is>
          <t>yes</t>
        </is>
      </c>
      <c r="K563" s="5" t="n">
        <v>256</v>
      </c>
      <c r="L563" s="5" t="n">
        <v>0.54</v>
      </c>
      <c r="M563" s="5" t="n">
        <v>0</v>
      </c>
      <c r="N563" s="5" t="inlineStr">
        <is>
          <t>yes</t>
        </is>
      </c>
    </row>
    <row r="564">
      <c r="A564" s="5" t="n">
        <v>563</v>
      </c>
      <c r="B564" s="5" t="inlineStr">
        <is>
          <t>VP25/SF1 80x25</t>
        </is>
      </c>
      <c r="C564" s="5" t="inlineStr">
        <is>
          <t>retaining_wall+strip_footing</t>
        </is>
      </c>
      <c r="D564" s="5" t="inlineStr">
        <is>
          <t>retaining_wall / strip_footing</t>
        </is>
      </c>
      <c r="E564" s="5" t="n">
        <v>5004.2</v>
      </c>
      <c r="F564" s="5" t="n">
        <v>3427.1</v>
      </c>
      <c r="G564" s="5" t="n">
        <v>372</v>
      </c>
      <c r="H564" s="5" t="n">
        <v>5</v>
      </c>
      <c r="I564" s="5" t="inlineStr">
        <is>
          <t>strip_footing</t>
        </is>
      </c>
      <c r="J564" s="5" t="inlineStr">
        <is>
          <t>yes</t>
        </is>
      </c>
      <c r="K564" s="5" t="n">
        <v>372</v>
      </c>
      <c r="L564" s="5" t="n">
        <v>0.08</v>
      </c>
      <c r="M564" s="5" t="n">
        <v>0</v>
      </c>
      <c r="N564" s="5" t="inlineStr">
        <is>
          <t>yes</t>
        </is>
      </c>
    </row>
    <row r="565">
      <c r="A565" s="5" t="n">
        <v>564</v>
      </c>
      <c r="B565" s="5" t="inlineStr">
        <is>
          <t>VP20-SF1 80x25</t>
        </is>
      </c>
      <c r="C565" s="5" t="inlineStr">
        <is>
          <t>retaining_wall+strip_footing</t>
        </is>
      </c>
      <c r="D565" s="5" t="inlineStr">
        <is>
          <t>retaining_wall / strip_footing</t>
        </is>
      </c>
      <c r="E565" s="5" t="n">
        <v>2477.1</v>
      </c>
      <c r="F565" s="5" t="n">
        <v>3309.4</v>
      </c>
      <c r="G565" s="5" t="n">
        <v>544</v>
      </c>
      <c r="H565" s="5" t="n">
        <v>5</v>
      </c>
      <c r="I565" s="5" t="inlineStr">
        <is>
          <t>strip_footing</t>
        </is>
      </c>
      <c r="J565" s="5" t="inlineStr">
        <is>
          <t>yes</t>
        </is>
      </c>
      <c r="K565" s="5" t="n">
        <v>544</v>
      </c>
      <c r="L565" s="5" t="n">
        <v>0.17</v>
      </c>
      <c r="M565" s="5" t="n">
        <v>0</v>
      </c>
      <c r="N565" s="5" t="inlineStr">
        <is>
          <t>no</t>
        </is>
      </c>
    </row>
    <row r="566">
      <c r="A566" s="5" t="n">
        <v>565</v>
      </c>
      <c r="B566" s="5" t="inlineStr">
        <is>
          <t>VP20-SF1 80x25</t>
        </is>
      </c>
      <c r="C566" s="5" t="inlineStr">
        <is>
          <t>retaining_wall+strip_footing</t>
        </is>
      </c>
      <c r="D566" s="5" t="inlineStr">
        <is>
          <t>retaining_wall / strip_footing</t>
        </is>
      </c>
      <c r="E566" s="5" t="n">
        <v>2712.5</v>
      </c>
      <c r="F566" s="5" t="n">
        <v>3465.6</v>
      </c>
      <c r="G566" s="5" t="n">
        <v>492</v>
      </c>
      <c r="H566" s="5" t="n">
        <v>34</v>
      </c>
      <c r="I566" s="5" t="inlineStr">
        <is>
          <t>retaining_wall</t>
        </is>
      </c>
      <c r="J566" s="5" t="inlineStr">
        <is>
          <t>yes</t>
        </is>
      </c>
      <c r="K566" s="5" t="n">
        <v>492</v>
      </c>
      <c r="L566" s="5" t="n">
        <v>0.4</v>
      </c>
      <c r="M566" s="5" t="n">
        <v>0</v>
      </c>
      <c r="N566" s="5" t="inlineStr">
        <is>
          <t>no</t>
        </is>
      </c>
    </row>
    <row r="567">
      <c r="A567" s="5" t="n">
        <v>566</v>
      </c>
      <c r="B567" s="5" t="inlineStr">
        <is>
          <t>VP20-SF1 80x25</t>
        </is>
      </c>
      <c r="C567" s="5" t="inlineStr">
        <is>
          <t>retaining_wall+strip_footing</t>
        </is>
      </c>
      <c r="D567" s="5" t="inlineStr">
        <is>
          <t>retaining_wall / strip_footing</t>
        </is>
      </c>
      <c r="E567" s="5" t="n">
        <v>2920.8</v>
      </c>
      <c r="F567" s="5" t="n">
        <v>3533.3</v>
      </c>
      <c r="G567" s="5" t="n">
        <v>494</v>
      </c>
      <c r="H567" s="5" t="n">
        <v>30</v>
      </c>
      <c r="I567" s="5" t="inlineStr">
        <is>
          <t>retaining_wall</t>
        </is>
      </c>
      <c r="J567" s="5" t="inlineStr">
        <is>
          <t>yes</t>
        </is>
      </c>
      <c r="K567" s="5" t="n">
        <v>494</v>
      </c>
      <c r="L567" s="5" t="n">
        <v>0.42</v>
      </c>
      <c r="M567" s="5" t="n">
        <v>0</v>
      </c>
      <c r="N567" s="5" t="inlineStr">
        <is>
          <t>no</t>
        </is>
      </c>
    </row>
    <row r="568">
      <c r="A568" s="5" t="n">
        <v>567</v>
      </c>
      <c r="B568" s="5" t="inlineStr">
        <is>
          <t>VP20-SF1 80x25</t>
        </is>
      </c>
      <c r="C568" s="5" t="inlineStr">
        <is>
          <t>retaining_wall+strip_footing</t>
        </is>
      </c>
      <c r="D568" s="5" t="inlineStr">
        <is>
          <t>retaining_wall / strip_footing</t>
        </is>
      </c>
      <c r="E568" s="5" t="n">
        <v>3065.6</v>
      </c>
      <c r="F568" s="5" t="n">
        <v>3569.8</v>
      </c>
      <c r="G568" s="5" t="n">
        <v>495</v>
      </c>
      <c r="H568" s="5" t="n">
        <v>27</v>
      </c>
      <c r="I568" s="5" t="inlineStr">
        <is>
          <t>retaining_wall</t>
        </is>
      </c>
      <c r="J568" s="5" t="inlineStr">
        <is>
          <t>yes</t>
        </is>
      </c>
      <c r="K568" s="5" t="n">
        <v>495</v>
      </c>
      <c r="L568" s="5" t="n">
        <v>0.06</v>
      </c>
      <c r="M568" s="5" t="n">
        <v>0</v>
      </c>
      <c r="N568" s="5" t="inlineStr">
        <is>
          <t>yes</t>
        </is>
      </c>
    </row>
    <row r="569">
      <c r="A569" s="5" t="n">
        <v>568</v>
      </c>
      <c r="B569" s="5" t="inlineStr">
        <is>
          <t>VP20-SF1 80x25</t>
        </is>
      </c>
      <c r="C569" s="5" t="inlineStr">
        <is>
          <t>retaining_wall+strip_footing</t>
        </is>
      </c>
      <c r="D569" s="5" t="inlineStr">
        <is>
          <t>retaining_wall / strip_footing</t>
        </is>
      </c>
      <c r="E569" s="5" t="n">
        <v>3357.3</v>
      </c>
      <c r="F569" s="5" t="n">
        <v>3504.2</v>
      </c>
      <c r="G569" s="5" t="n">
        <v>515</v>
      </c>
      <c r="H569" s="5" t="n">
        <v>5</v>
      </c>
      <c r="I569" s="5" t="inlineStr">
        <is>
          <t>strip_footing</t>
        </is>
      </c>
      <c r="J569" s="5" t="inlineStr">
        <is>
          <t>yes</t>
        </is>
      </c>
      <c r="K569" s="5" t="n">
        <v>515</v>
      </c>
      <c r="L569" s="5" t="n">
        <v>0</v>
      </c>
      <c r="M569" s="5" t="n">
        <v>0</v>
      </c>
      <c r="N569" s="5" t="inlineStr">
        <is>
          <t>yes</t>
        </is>
      </c>
    </row>
    <row r="570">
      <c r="A570" s="5" t="n">
        <v>569</v>
      </c>
      <c r="B570" s="5" t="inlineStr">
        <is>
          <t>VP20-SF1 80x25</t>
        </is>
      </c>
      <c r="C570" s="5" t="inlineStr">
        <is>
          <t>retaining_wall+strip_footing</t>
        </is>
      </c>
      <c r="D570" s="5" t="inlineStr">
        <is>
          <t>retaining_wall / strip_footing</t>
        </is>
      </c>
      <c r="E570" s="5" t="n">
        <v>3553.1</v>
      </c>
      <c r="F570" s="5" t="n">
        <v>3468.8</v>
      </c>
      <c r="G570" s="5" t="n">
        <v>493</v>
      </c>
      <c r="H570" s="5" t="n">
        <v>30</v>
      </c>
      <c r="I570" s="5" t="inlineStr">
        <is>
          <t>retaining_wall</t>
        </is>
      </c>
      <c r="J570" s="5" t="inlineStr">
        <is>
          <t>yes</t>
        </is>
      </c>
      <c r="K570" s="5" t="n">
        <v>493</v>
      </c>
      <c r="L570" s="5" t="n">
        <v>0.19</v>
      </c>
      <c r="M570" s="5" t="n">
        <v>0.22</v>
      </c>
      <c r="N570" s="5" t="inlineStr">
        <is>
          <t>yes</t>
        </is>
      </c>
    </row>
    <row r="571">
      <c r="A571" s="5" t="n">
        <v>570</v>
      </c>
      <c r="B571" s="5" t="inlineStr">
        <is>
          <t>VP20-SF1 80x25</t>
        </is>
      </c>
      <c r="C571" s="5" t="inlineStr">
        <is>
          <t>retaining_wall+strip_footing</t>
        </is>
      </c>
      <c r="D571" s="5" t="inlineStr">
        <is>
          <t>retaining_wall / strip_footing</t>
        </is>
      </c>
      <c r="E571" s="5" t="n">
        <v>3656.3</v>
      </c>
      <c r="F571" s="5" t="n">
        <v>3580.2</v>
      </c>
      <c r="G571" s="5" t="n">
        <v>437</v>
      </c>
      <c r="H571" s="5" t="n">
        <v>5</v>
      </c>
      <c r="I571" s="5" t="inlineStr">
        <is>
          <t>strip_footing</t>
        </is>
      </c>
      <c r="J571" s="5" t="inlineStr">
        <is>
          <t>yes</t>
        </is>
      </c>
      <c r="K571" s="5" t="n">
        <v>437</v>
      </c>
      <c r="L571" s="5" t="n">
        <v>0.04</v>
      </c>
      <c r="M571" s="5" t="n">
        <v>0</v>
      </c>
      <c r="N571" s="5" t="inlineStr">
        <is>
          <t>yes</t>
        </is>
      </c>
    </row>
    <row r="572">
      <c r="A572" s="5" t="n">
        <v>571</v>
      </c>
      <c r="B572" s="5" t="inlineStr">
        <is>
          <t>VP20-SF1 80x25</t>
        </is>
      </c>
      <c r="C572" s="5" t="inlineStr">
        <is>
          <t>retaining_wall+strip_footing</t>
        </is>
      </c>
      <c r="D572" s="5" t="inlineStr">
        <is>
          <t>retaining_wall / strip_footing</t>
        </is>
      </c>
      <c r="E572" s="5" t="n">
        <v>1986.5</v>
      </c>
      <c r="F572" s="5" t="n">
        <v>3062.5</v>
      </c>
      <c r="G572" s="5" t="n">
        <v>579</v>
      </c>
      <c r="H572" s="5" t="n">
        <v>30</v>
      </c>
      <c r="I572" s="5" t="inlineStr">
        <is>
          <t>retaining_wall</t>
        </is>
      </c>
      <c r="J572" s="5" t="inlineStr">
        <is>
          <t>yes</t>
        </is>
      </c>
      <c r="K572" s="5" t="n">
        <v>579</v>
      </c>
      <c r="L572" s="5" t="n">
        <v>0.51</v>
      </c>
      <c r="M572" s="5" t="n">
        <v>0</v>
      </c>
      <c r="N572" s="5" t="inlineStr">
        <is>
          <t>no</t>
        </is>
      </c>
    </row>
    <row r="573">
      <c r="A573" s="5" t="n">
        <v>572</v>
      </c>
      <c r="B573" s="5" t="inlineStr">
        <is>
          <t>VP20-SF1 80x25</t>
        </is>
      </c>
      <c r="C573" s="5" t="inlineStr">
        <is>
          <t>retaining_wall+strip_footing</t>
        </is>
      </c>
      <c r="D573" s="5" t="inlineStr">
        <is>
          <t>retaining_wall / strip_footing</t>
        </is>
      </c>
      <c r="E573" s="5" t="n">
        <v>1810.4</v>
      </c>
      <c r="F573" s="5" t="n">
        <v>2976</v>
      </c>
      <c r="G573" s="5" t="n">
        <v>579</v>
      </c>
      <c r="H573" s="5" t="n">
        <v>30</v>
      </c>
      <c r="I573" s="5" t="inlineStr">
        <is>
          <t>retaining_wall</t>
        </is>
      </c>
      <c r="J573" s="5" t="inlineStr">
        <is>
          <t>yes</t>
        </is>
      </c>
      <c r="K573" s="5" t="n">
        <v>579</v>
      </c>
      <c r="L573" s="5" t="n">
        <v>0.45</v>
      </c>
      <c r="M573" s="5" t="n">
        <v>0</v>
      </c>
      <c r="N573" s="5" t="inlineStr">
        <is>
          <t>no</t>
        </is>
      </c>
    </row>
    <row r="574">
      <c r="A574" s="5" t="n">
        <v>573</v>
      </c>
      <c r="B574" s="5" t="inlineStr">
        <is>
          <t>VP20-SF1 80x25</t>
        </is>
      </c>
      <c r="C574" s="5" t="inlineStr">
        <is>
          <t>retaining_wall+strip_footing</t>
        </is>
      </c>
      <c r="D574" s="5" t="inlineStr">
        <is>
          <t>retaining_wall / strip_footing</t>
        </is>
      </c>
      <c r="E574" s="5" t="n">
        <v>1688.5</v>
      </c>
      <c r="F574" s="5" t="n">
        <v>2913.5</v>
      </c>
      <c r="G574" s="5" t="n">
        <v>648</v>
      </c>
      <c r="H574" s="5" t="n">
        <v>30</v>
      </c>
      <c r="I574" s="5" t="inlineStr">
        <is>
          <t>retaining_wall</t>
        </is>
      </c>
      <c r="J574" s="5" t="inlineStr">
        <is>
          <t>yes</t>
        </is>
      </c>
      <c r="K574" s="5" t="n">
        <v>648</v>
      </c>
      <c r="L574" s="5" t="n">
        <v>0.49</v>
      </c>
      <c r="M574" s="5" t="n">
        <v>0</v>
      </c>
      <c r="N574" s="5" t="inlineStr">
        <is>
          <t>no</t>
        </is>
      </c>
    </row>
    <row r="575">
      <c r="A575" s="5" t="n">
        <v>574</v>
      </c>
      <c r="B575" s="5" t="inlineStr">
        <is>
          <t>VP20-SF1 80x25</t>
        </is>
      </c>
      <c r="C575" s="5" t="inlineStr">
        <is>
          <t>retaining_wall+strip_footing</t>
        </is>
      </c>
      <c r="D575" s="5" t="inlineStr">
        <is>
          <t>retaining_wall / strip_footing</t>
        </is>
      </c>
      <c r="E575" s="5" t="n">
        <v>1203.1</v>
      </c>
      <c r="F575" s="5" t="n">
        <v>2669.8</v>
      </c>
      <c r="G575" s="5" t="n">
        <v>650</v>
      </c>
      <c r="H575" s="5" t="n">
        <v>30</v>
      </c>
      <c r="I575" s="5" t="inlineStr">
        <is>
          <t>retaining_wall</t>
        </is>
      </c>
      <c r="J575" s="5" t="inlineStr">
        <is>
          <t>yes</t>
        </is>
      </c>
      <c r="K575" s="5" t="n">
        <v>650</v>
      </c>
      <c r="L575" s="5" t="n">
        <v>0.49</v>
      </c>
      <c r="M575" s="5" t="n">
        <v>0</v>
      </c>
      <c r="N575" s="5" t="inlineStr">
        <is>
          <t>no</t>
        </is>
      </c>
    </row>
    <row r="576">
      <c r="A576" s="5" t="n">
        <v>575</v>
      </c>
      <c r="B576" s="5" t="inlineStr">
        <is>
          <t>VP20-SF1 80x25</t>
        </is>
      </c>
      <c r="C576" s="5" t="inlineStr">
        <is>
          <t>retaining_wall+strip_footing</t>
        </is>
      </c>
      <c r="D576" s="5" t="inlineStr">
        <is>
          <t>retaining_wall / strip_footing</t>
        </is>
      </c>
      <c r="E576" s="5" t="n">
        <v>980.2</v>
      </c>
      <c r="F576" s="5" t="n">
        <v>2410.4</v>
      </c>
      <c r="G576" s="5" t="n">
        <v>789</v>
      </c>
      <c r="H576" s="5" t="n">
        <v>5</v>
      </c>
      <c r="I576" s="5" t="inlineStr">
        <is>
          <t>strip_footing</t>
        </is>
      </c>
      <c r="J576" s="5" t="inlineStr">
        <is>
          <t>yes</t>
        </is>
      </c>
      <c r="K576" s="5" t="n">
        <v>789</v>
      </c>
      <c r="L576" s="5" t="n">
        <v>0</v>
      </c>
      <c r="M576" s="5" t="n">
        <v>0</v>
      </c>
      <c r="N576" s="5" t="inlineStr">
        <is>
          <t>yes</t>
        </is>
      </c>
    </row>
    <row r="577">
      <c r="A577" s="5" t="n">
        <v>576</v>
      </c>
      <c r="B577" s="5" t="inlineStr">
        <is>
          <t>VP20-SF1 80x25</t>
        </is>
      </c>
      <c r="C577" s="5" t="inlineStr">
        <is>
          <t>retaining_wall+strip_footing</t>
        </is>
      </c>
      <c r="D577" s="5" t="inlineStr">
        <is>
          <t>retaining_wall / strip_footing</t>
        </is>
      </c>
      <c r="E577" s="5" t="n">
        <v>906.3</v>
      </c>
      <c r="F577" s="5" t="n">
        <v>2122.9</v>
      </c>
      <c r="G577" s="5" t="n">
        <v>790</v>
      </c>
      <c r="H577" s="5" t="n">
        <v>5</v>
      </c>
      <c r="I577" s="5" t="inlineStr">
        <is>
          <t>strip_footing</t>
        </is>
      </c>
      <c r="J577" s="5" t="inlineStr">
        <is>
          <t>yes</t>
        </is>
      </c>
      <c r="K577" s="5" t="n">
        <v>790</v>
      </c>
      <c r="L577" s="5" t="n">
        <v>0</v>
      </c>
      <c r="M577" s="5" t="n">
        <v>0</v>
      </c>
      <c r="N577" s="5" t="inlineStr">
        <is>
          <t>yes</t>
        </is>
      </c>
    </row>
    <row r="578">
      <c r="A578" s="5" t="n">
        <v>577</v>
      </c>
      <c r="B578" s="5" t="inlineStr">
        <is>
          <t>VP20-SF1 80x25</t>
        </is>
      </c>
      <c r="C578" s="5" t="inlineStr">
        <is>
          <t>retaining_wall+strip_footing</t>
        </is>
      </c>
      <c r="D578" s="5" t="inlineStr">
        <is>
          <t>retaining_wall / strip_footing</t>
        </is>
      </c>
      <c r="E578" s="5" t="n">
        <v>817.7</v>
      </c>
      <c r="F578" s="5" t="n">
        <v>1787.5</v>
      </c>
      <c r="G578" s="5" t="n">
        <v>901</v>
      </c>
      <c r="H578" s="5" t="n">
        <v>27</v>
      </c>
      <c r="I578" s="5" t="inlineStr">
        <is>
          <t>retaining_wall</t>
        </is>
      </c>
      <c r="J578" s="5" t="inlineStr">
        <is>
          <t>yes</t>
        </is>
      </c>
      <c r="K578" s="5" t="n">
        <v>901</v>
      </c>
      <c r="L578" s="5" t="n">
        <v>0.28</v>
      </c>
      <c r="M578" s="5" t="n">
        <v>0</v>
      </c>
      <c r="N578" s="5" t="inlineStr">
        <is>
          <t>no</t>
        </is>
      </c>
    </row>
    <row r="579">
      <c r="A579" s="5" t="n">
        <v>578</v>
      </c>
      <c r="B579" s="5" t="inlineStr">
        <is>
          <t>VP20-SF1 80x25</t>
        </is>
      </c>
      <c r="C579" s="5" t="inlineStr">
        <is>
          <t>retaining_wall+strip_footing</t>
        </is>
      </c>
      <c r="D579" s="5" t="inlineStr">
        <is>
          <t>retaining_wall / strip_footing</t>
        </is>
      </c>
      <c r="E579" s="5" t="n">
        <v>764.6</v>
      </c>
      <c r="F579" s="5" t="n">
        <v>1587.5</v>
      </c>
      <c r="G579" s="5" t="n">
        <v>929</v>
      </c>
      <c r="H579" s="5" t="n">
        <v>5</v>
      </c>
      <c r="I579" s="5" t="inlineStr">
        <is>
          <t>strip_footing</t>
        </is>
      </c>
      <c r="J579" s="5" t="inlineStr">
        <is>
          <t>yes</t>
        </is>
      </c>
      <c r="K579" s="5" t="n">
        <v>929</v>
      </c>
      <c r="L579" s="5" t="n">
        <v>0</v>
      </c>
      <c r="M579" s="5" t="n">
        <v>0</v>
      </c>
      <c r="N579" s="5" t="inlineStr">
        <is>
          <t>no</t>
        </is>
      </c>
    </row>
    <row r="580">
      <c r="A580" s="5" t="n">
        <v>579</v>
      </c>
      <c r="B580" s="5" t="inlineStr">
        <is>
          <t>VP20-SF1 80x25</t>
        </is>
      </c>
      <c r="C580" s="5" t="inlineStr">
        <is>
          <t>retaining_wall+strip_footing</t>
        </is>
      </c>
      <c r="D580" s="5" t="inlineStr">
        <is>
          <t>retaining_wall / strip_footing</t>
        </is>
      </c>
      <c r="E580" s="5" t="n">
        <v>777.1</v>
      </c>
      <c r="F580" s="5" t="n">
        <v>1214.6</v>
      </c>
      <c r="G580" s="5" t="n">
        <v>927</v>
      </c>
      <c r="H580" s="5" t="n">
        <v>5</v>
      </c>
      <c r="I580" s="5" t="inlineStr">
        <is>
          <t>strip_footing</t>
        </is>
      </c>
      <c r="J580" s="5" t="inlineStr">
        <is>
          <t>yes</t>
        </is>
      </c>
      <c r="K580" s="5" t="n">
        <v>927</v>
      </c>
      <c r="L580" s="5" t="n">
        <v>0</v>
      </c>
      <c r="M580" s="5" t="n">
        <v>0.01</v>
      </c>
      <c r="N580" s="5" t="inlineStr">
        <is>
          <t>yes</t>
        </is>
      </c>
    </row>
    <row r="581">
      <c r="A581" s="5" t="n">
        <v>580</v>
      </c>
      <c r="B581" s="5" t="inlineStr">
        <is>
          <t>VP20-SF1 80x25</t>
        </is>
      </c>
      <c r="C581" s="5" t="inlineStr">
        <is>
          <t>retaining_wall+strip_footing</t>
        </is>
      </c>
      <c r="D581" s="5" t="inlineStr">
        <is>
          <t>retaining_wall / strip_footing</t>
        </is>
      </c>
      <c r="E581" s="5" t="n">
        <v>1177.1</v>
      </c>
      <c r="F581" s="5" t="n">
        <v>1118.8</v>
      </c>
      <c r="G581" s="5" t="n">
        <v>926</v>
      </c>
      <c r="H581" s="5" t="n">
        <v>5</v>
      </c>
      <c r="I581" s="5" t="inlineStr">
        <is>
          <t>strip_footing</t>
        </is>
      </c>
      <c r="J581" s="5" t="inlineStr">
        <is>
          <t>yes</t>
        </is>
      </c>
      <c r="K581" s="5" t="n">
        <v>926</v>
      </c>
      <c r="L581" s="5" t="n">
        <v>0.47</v>
      </c>
      <c r="M581" s="5" t="n">
        <v>0.01</v>
      </c>
      <c r="N581" s="5" t="inlineStr">
        <is>
          <t>yes</t>
        </is>
      </c>
    </row>
    <row r="582">
      <c r="A582" s="5" t="n">
        <v>581</v>
      </c>
      <c r="B582" s="5" t="inlineStr">
        <is>
          <t>VP20-SF1 80x25</t>
        </is>
      </c>
      <c r="C582" s="5" t="inlineStr">
        <is>
          <t>retaining_wall+strip_footing</t>
        </is>
      </c>
      <c r="D582" s="5" t="inlineStr">
        <is>
          <t>retaining_wall / strip_footing</t>
        </is>
      </c>
      <c r="E582" s="5" t="n">
        <v>1242.7</v>
      </c>
      <c r="F582" s="5" t="n">
        <v>1180.2</v>
      </c>
      <c r="G582" s="5" t="n">
        <v>925</v>
      </c>
      <c r="H582" s="5" t="n">
        <v>5</v>
      </c>
      <c r="I582" s="5" t="inlineStr">
        <is>
          <t>strip_footing</t>
        </is>
      </c>
      <c r="J582" s="5" t="inlineStr">
        <is>
          <t>yes</t>
        </is>
      </c>
      <c r="K582" s="5" t="n">
        <v>925</v>
      </c>
      <c r="L582" s="5" t="n">
        <v>0.55</v>
      </c>
      <c r="M582" s="5" t="n">
        <v>0</v>
      </c>
      <c r="N582" s="5" t="inlineStr">
        <is>
          <t>no</t>
        </is>
      </c>
    </row>
    <row r="583">
      <c r="A583" s="5" t="n">
        <v>582</v>
      </c>
      <c r="B583" s="5" t="inlineStr">
        <is>
          <t>VP20-SF1 80x25</t>
        </is>
      </c>
      <c r="C583" s="5" t="inlineStr">
        <is>
          <t>retaining_wall+strip_footing</t>
        </is>
      </c>
      <c r="D583" s="5" t="inlineStr">
        <is>
          <t>retaining_wall / strip_footing</t>
        </is>
      </c>
      <c r="E583" s="5" t="n">
        <v>1291.7</v>
      </c>
      <c r="F583" s="5" t="n">
        <v>1381.2</v>
      </c>
      <c r="G583" s="5" t="n">
        <v>925</v>
      </c>
      <c r="H583" s="5" t="n">
        <v>5</v>
      </c>
      <c r="I583" s="5" t="inlineStr">
        <is>
          <t>strip_footing</t>
        </is>
      </c>
      <c r="J583" s="5" t="inlineStr">
        <is>
          <t>yes</t>
        </is>
      </c>
      <c r="K583" s="5" t="n">
        <v>925</v>
      </c>
      <c r="L583" s="5" t="n">
        <v>0.68</v>
      </c>
      <c r="M583" s="5" t="n">
        <v>0</v>
      </c>
      <c r="N583" s="5" t="inlineStr">
        <is>
          <t>no</t>
        </is>
      </c>
    </row>
    <row r="584">
      <c r="A584" s="5" t="n">
        <v>583</v>
      </c>
      <c r="B584" s="5" t="inlineStr">
        <is>
          <t>VP20-SF1 80x25</t>
        </is>
      </c>
      <c r="C584" s="5" t="inlineStr">
        <is>
          <t>retaining_wall+strip_footing</t>
        </is>
      </c>
      <c r="D584" s="5" t="inlineStr">
        <is>
          <t>retaining_wall / strip_footing</t>
        </is>
      </c>
      <c r="E584" s="5" t="n">
        <v>1352.1</v>
      </c>
      <c r="F584" s="5" t="n">
        <v>1593.8</v>
      </c>
      <c r="G584" s="5" t="n">
        <v>925</v>
      </c>
      <c r="H584" s="5" t="n">
        <v>5</v>
      </c>
      <c r="I584" s="5" t="inlineStr">
        <is>
          <t>strip_footing</t>
        </is>
      </c>
      <c r="J584" s="5" t="inlineStr">
        <is>
          <t>yes</t>
        </is>
      </c>
      <c r="K584" s="5" t="n">
        <v>925</v>
      </c>
      <c r="L584" s="5" t="n">
        <v>0.53</v>
      </c>
      <c r="M584" s="5" t="n">
        <v>0.01</v>
      </c>
      <c r="N584" s="5" t="inlineStr">
        <is>
          <t>yes</t>
        </is>
      </c>
    </row>
    <row r="585">
      <c r="A585" s="5" t="n">
        <v>584</v>
      </c>
      <c r="B585" s="5" t="inlineStr">
        <is>
          <t>VP20-SF1 80x25</t>
        </is>
      </c>
      <c r="C585" s="5" t="inlineStr">
        <is>
          <t>retaining_wall+strip_footing</t>
        </is>
      </c>
      <c r="D585" s="5" t="inlineStr">
        <is>
          <t>retaining_wall / strip_footing</t>
        </is>
      </c>
      <c r="E585" s="5" t="n">
        <v>1395.8</v>
      </c>
      <c r="F585" s="5" t="n">
        <v>1755.2</v>
      </c>
      <c r="G585" s="5" t="n">
        <v>925</v>
      </c>
      <c r="H585" s="5" t="n">
        <v>5</v>
      </c>
      <c r="I585" s="5" t="inlineStr">
        <is>
          <t>strip_footing</t>
        </is>
      </c>
      <c r="J585" s="5" t="inlineStr">
        <is>
          <t>yes</t>
        </is>
      </c>
      <c r="K585" s="5" t="n">
        <v>925</v>
      </c>
      <c r="L585" s="5" t="n">
        <v>0.5</v>
      </c>
      <c r="M585" s="5" t="n">
        <v>0.18</v>
      </c>
      <c r="N585" s="5" t="inlineStr">
        <is>
          <t>yes</t>
        </is>
      </c>
    </row>
    <row r="586">
      <c r="A586" s="5" t="n">
        <v>585</v>
      </c>
      <c r="B586" s="5" t="inlineStr">
        <is>
          <t>VP20-SF1 80x25</t>
        </is>
      </c>
      <c r="C586" s="5" t="inlineStr">
        <is>
          <t>retaining_wall+strip_footing</t>
        </is>
      </c>
      <c r="D586" s="5" t="inlineStr">
        <is>
          <t>retaining_wall / strip_footing</t>
        </is>
      </c>
      <c r="E586" s="5" t="n">
        <v>1439.6</v>
      </c>
      <c r="F586" s="5" t="n">
        <v>1920.8</v>
      </c>
      <c r="G586" s="5" t="n">
        <v>925</v>
      </c>
      <c r="H586" s="5" t="n">
        <v>5</v>
      </c>
      <c r="I586" s="5" t="inlineStr">
        <is>
          <t>strip_footing</t>
        </is>
      </c>
      <c r="J586" s="5" t="inlineStr">
        <is>
          <t>yes</t>
        </is>
      </c>
      <c r="K586" s="5" t="n">
        <v>925</v>
      </c>
      <c r="L586" s="5" t="n">
        <v>0.49</v>
      </c>
      <c r="M586" s="5" t="n">
        <v>0.01</v>
      </c>
      <c r="N586" s="5" t="inlineStr">
        <is>
          <t>yes</t>
        </is>
      </c>
    </row>
    <row r="587">
      <c r="A587" s="5" t="n">
        <v>586</v>
      </c>
      <c r="B587" s="5" t="inlineStr">
        <is>
          <t>VP20-SF1 80x25</t>
        </is>
      </c>
      <c r="C587" s="5" t="inlineStr">
        <is>
          <t>retaining_wall+strip_footing</t>
        </is>
      </c>
      <c r="D587" s="5" t="inlineStr">
        <is>
          <t>retaining_wall / strip_footing</t>
        </is>
      </c>
      <c r="E587" s="5" t="n">
        <v>1484.4</v>
      </c>
      <c r="F587" s="5" t="n">
        <v>2103.1</v>
      </c>
      <c r="G587" s="5" t="n">
        <v>925</v>
      </c>
      <c r="H587" s="5" t="n">
        <v>5</v>
      </c>
      <c r="I587" s="5" t="inlineStr">
        <is>
          <t>strip_footing</t>
        </is>
      </c>
      <c r="J587" s="5" t="inlineStr">
        <is>
          <t>yes</t>
        </is>
      </c>
      <c r="K587" s="5" t="n">
        <v>925</v>
      </c>
      <c r="L587" s="5" t="n">
        <v>0.6</v>
      </c>
      <c r="M587" s="5" t="n">
        <v>0</v>
      </c>
      <c r="N587" s="5" t="inlineStr">
        <is>
          <t>no</t>
        </is>
      </c>
    </row>
    <row r="588">
      <c r="A588" s="5" t="n">
        <v>587</v>
      </c>
      <c r="B588" s="5" t="inlineStr">
        <is>
          <t>VP20-SF1-80x25</t>
        </is>
      </c>
      <c r="C588" s="5" t="inlineStr">
        <is>
          <t>retaining_wall+strip_footing</t>
        </is>
      </c>
      <c r="D588" s="5" t="inlineStr">
        <is>
          <t>retaining_wall / strip_footing</t>
        </is>
      </c>
      <c r="E588" s="5" t="n">
        <v>1958.3</v>
      </c>
      <c r="F588" s="5" t="n">
        <v>2404.2</v>
      </c>
      <c r="G588" s="5" t="n">
        <v>596</v>
      </c>
      <c r="H588" s="5" t="n">
        <v>5</v>
      </c>
      <c r="I588" s="5" t="inlineStr">
        <is>
          <t>strip_footing</t>
        </is>
      </c>
      <c r="J588" s="5" t="inlineStr">
        <is>
          <t>yes</t>
        </is>
      </c>
      <c r="K588" s="5" t="n">
        <v>596</v>
      </c>
      <c r="L588" s="5" t="n">
        <v>0.19</v>
      </c>
      <c r="M588" s="5" t="n">
        <v>0.31</v>
      </c>
      <c r="N588" s="5" t="inlineStr">
        <is>
          <t>yes</t>
        </is>
      </c>
    </row>
    <row r="589">
      <c r="A589" s="5" t="n">
        <v>588</v>
      </c>
      <c r="B589" s="5" t="inlineStr">
        <is>
          <t>VP20-SF1-80x25</t>
        </is>
      </c>
      <c r="C589" s="5" t="inlineStr">
        <is>
          <t>retaining_wall+strip_footing</t>
        </is>
      </c>
      <c r="D589" s="5" t="inlineStr">
        <is>
          <t>retaining_wall / strip_footing</t>
        </is>
      </c>
      <c r="E589" s="5" t="n">
        <v>2168.8</v>
      </c>
      <c r="F589" s="5" t="n">
        <v>2509.4</v>
      </c>
      <c r="G589" s="5" t="n">
        <v>596</v>
      </c>
      <c r="H589" s="5" t="n">
        <v>5</v>
      </c>
      <c r="I589" s="5" t="inlineStr">
        <is>
          <t>strip_footing</t>
        </is>
      </c>
      <c r="J589" s="5" t="inlineStr">
        <is>
          <t>yes</t>
        </is>
      </c>
      <c r="K589" s="5" t="n">
        <v>596</v>
      </c>
      <c r="L589" s="5" t="n">
        <v>0.19</v>
      </c>
      <c r="M589" s="5" t="n">
        <v>0.38</v>
      </c>
      <c r="N589" s="5" t="inlineStr">
        <is>
          <t>yes</t>
        </is>
      </c>
    </row>
    <row r="590">
      <c r="A590" s="5" t="n">
        <v>589</v>
      </c>
      <c r="B590" s="5" t="inlineStr">
        <is>
          <t>VP20-SF1-80x25</t>
        </is>
      </c>
      <c r="C590" s="5" t="inlineStr">
        <is>
          <t>retaining_wall+strip_footing</t>
        </is>
      </c>
      <c r="D590" s="5" t="inlineStr">
        <is>
          <t>retaining_wall / strip_footing</t>
        </is>
      </c>
      <c r="E590" s="5" t="n">
        <v>2377.1</v>
      </c>
      <c r="F590" s="5" t="n">
        <v>2613.5</v>
      </c>
      <c r="G590" s="5" t="n">
        <v>596</v>
      </c>
      <c r="H590" s="5" t="n">
        <v>5</v>
      </c>
      <c r="I590" s="5" t="inlineStr">
        <is>
          <t>strip_footing</t>
        </is>
      </c>
      <c r="J590" s="5" t="inlineStr">
        <is>
          <t>yes</t>
        </is>
      </c>
      <c r="K590" s="5" t="n">
        <v>596</v>
      </c>
      <c r="L590" s="5" t="n">
        <v>0.19</v>
      </c>
      <c r="M590" s="5" t="n">
        <v>0.37</v>
      </c>
      <c r="N590" s="5" t="inlineStr">
        <is>
          <t>yes</t>
        </is>
      </c>
    </row>
    <row r="591">
      <c r="A591" s="5" t="n">
        <v>590</v>
      </c>
      <c r="B591" s="5" t="inlineStr">
        <is>
          <t>VP20-SF1-80x25</t>
        </is>
      </c>
      <c r="C591" s="5" t="inlineStr">
        <is>
          <t>retaining_wall+strip_footing</t>
        </is>
      </c>
      <c r="D591" s="5" t="inlineStr">
        <is>
          <t>retaining_wall / strip_footing</t>
        </is>
      </c>
      <c r="E591" s="5" t="n">
        <v>2592.7</v>
      </c>
      <c r="F591" s="5" t="n">
        <v>2721.9</v>
      </c>
      <c r="G591" s="5" t="n">
        <v>596</v>
      </c>
      <c r="H591" s="5" t="n">
        <v>5</v>
      </c>
      <c r="I591" s="5" t="inlineStr">
        <is>
          <t>strip_footing</t>
        </is>
      </c>
      <c r="J591" s="5" t="inlineStr">
        <is>
          <t>yes</t>
        </is>
      </c>
      <c r="K591" s="5" t="n">
        <v>596</v>
      </c>
      <c r="L591" s="5" t="n">
        <v>0.2</v>
      </c>
      <c r="M591" s="5" t="n">
        <v>0.06</v>
      </c>
      <c r="N591" s="5" t="inlineStr">
        <is>
          <t>yes</t>
        </is>
      </c>
    </row>
  </sheetData>
  <autoFilter ref="A1:N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8" customWidth="1" min="4" max="4"/>
    <col width="8" customWidth="1" min="5" max="5"/>
    <col width="44" customWidth="1" min="6" max="6"/>
    <col width="10" customWidth="1" min="7" max="7"/>
    <col width="17" customWidth="1" min="8" max="8"/>
    <col width="16" customWidth="1" min="9" max="9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Names class</t>
        </is>
      </c>
      <c r="D1" s="4" t="inlineStr">
        <is>
          <t>x (px)</t>
        </is>
      </c>
      <c r="E1" s="4" t="inlineStr">
        <is>
          <t>y (px)</t>
        </is>
      </c>
      <c r="F1" s="4" t="inlineStr">
        <is>
          <t>Issue</t>
        </is>
      </c>
      <c r="G1" s="4" t="inlineStr">
        <is>
          <t>Object it sits by (pass 1)</t>
        </is>
      </c>
      <c r="H1" s="4" t="inlineStr">
        <is>
          <t>That object's class</t>
        </is>
      </c>
      <c r="I1" s="4" t="inlineStr">
        <is>
          <t>Pass 2 result</t>
        </is>
      </c>
    </row>
    <row r="2">
      <c r="A2" s="5" t="n">
        <v>1</v>
      </c>
      <c r="B2" s="5" t="inlineStr">
        <is>
          <t>S1-120120</t>
        </is>
      </c>
      <c r="C2" s="5" t="inlineStr">
        <is>
          <t>isolated_footing</t>
        </is>
      </c>
      <c r="D2" s="5" t="n">
        <v>4752.1</v>
      </c>
      <c r="E2" s="5" t="n">
        <v>493.8</v>
      </c>
      <c r="F2" s="5" t="inlineStr">
        <is>
          <t>first, neutral pass put it on an object of another class</t>
        </is>
      </c>
      <c r="G2" s="5" t="n">
        <v>52</v>
      </c>
      <c r="H2" s="5" t="inlineStr">
        <is>
          <t>strip_footing</t>
        </is>
      </c>
      <c r="I2" s="5" t="n">
        <v>41</v>
      </c>
    </row>
    <row r="3">
      <c r="A3" s="5" t="n">
        <v>40</v>
      </c>
      <c r="B3" s="5" t="inlineStr">
        <is>
          <t>SC2-</t>
        </is>
      </c>
      <c r="C3" s="5" t="inlineStr">
        <is>
          <t>combined_footing</t>
        </is>
      </c>
      <c r="D3" s="5" t="n">
        <v>4205.2</v>
      </c>
      <c r="E3" s="5" t="n">
        <v>2952.1</v>
      </c>
      <c r="F3" s="5" t="inlineStr">
        <is>
          <t>first, neutral pass put it on an object of another class</t>
        </is>
      </c>
      <c r="G3" s="5" t="n">
        <v>400</v>
      </c>
      <c r="H3" s="5" t="inlineStr">
        <is>
          <t>shear_wall</t>
        </is>
      </c>
      <c r="I3" s="5" t="n">
        <v>247</v>
      </c>
    </row>
    <row r="4">
      <c r="A4" s="5" t="n">
        <v>71</v>
      </c>
      <c r="B4" s="5" t="inlineStr">
        <is>
          <t>SC2-</t>
        </is>
      </c>
      <c r="C4" s="5" t="inlineStr">
        <is>
          <t>combined_footing</t>
        </is>
      </c>
      <c r="D4" s="5" t="n">
        <v>2586.5</v>
      </c>
      <c r="E4" s="5" t="n">
        <v>2914.6</v>
      </c>
      <c r="F4" s="5" t="inlineStr">
        <is>
          <t>first, neutral pass put it on an object of another class</t>
        </is>
      </c>
      <c r="G4" s="5" t="n">
        <v>601</v>
      </c>
      <c r="H4" s="5" t="inlineStr">
        <is>
          <t>grade_beam</t>
        </is>
      </c>
      <c r="I4" s="5" t="n">
        <v>543</v>
      </c>
    </row>
    <row r="5">
      <c r="A5" s="5" t="n">
        <v>74</v>
      </c>
      <c r="B5" s="5" t="inlineStr">
        <is>
          <t>SC2-</t>
        </is>
      </c>
      <c r="C5" s="5" t="inlineStr">
        <is>
          <t>combined_footing</t>
        </is>
      </c>
      <c r="D5" s="5" t="n">
        <v>1920.8</v>
      </c>
      <c r="E5" s="5" t="n">
        <v>2579.2</v>
      </c>
      <c r="F5" s="5" t="inlineStr">
        <is>
          <t>first, neutral pass put it on an object of another class</t>
        </is>
      </c>
      <c r="G5" s="5" t="n">
        <v>663</v>
      </c>
      <c r="H5" s="5" t="inlineStr">
        <is>
          <t>grade_beam</t>
        </is>
      </c>
      <c r="I5" s="5" t="n">
        <v>594</v>
      </c>
    </row>
    <row r="6">
      <c r="A6" s="5" t="n">
        <v>78</v>
      </c>
      <c r="B6" s="5" t="inlineStr">
        <is>
          <t>S2-128128</t>
        </is>
      </c>
      <c r="C6" s="5" t="inlineStr">
        <is>
          <t>isolated_footing</t>
        </is>
      </c>
      <c r="D6" s="5" t="n">
        <v>1769.8</v>
      </c>
      <c r="E6" s="5" t="n">
        <v>2376</v>
      </c>
      <c r="F6" s="5" t="inlineStr">
        <is>
          <t>first, neutral pass put it on an object of another class</t>
        </is>
      </c>
      <c r="G6" s="5" t="n">
        <v>666</v>
      </c>
      <c r="H6" s="5" t="inlineStr">
        <is>
          <t>grade_beam</t>
        </is>
      </c>
      <c r="I6" s="5" t="n">
        <v>655</v>
      </c>
    </row>
    <row r="7">
      <c r="A7" s="5" t="n">
        <v>83</v>
      </c>
      <c r="B7" s="5" t="inlineStr">
        <is>
          <t>S2-127</t>
        </is>
      </c>
      <c r="C7" s="5" t="inlineStr">
        <is>
          <t>isolated_footing</t>
        </is>
      </c>
      <c r="D7" s="5" t="n">
        <v>2360.4</v>
      </c>
      <c r="E7" s="5" t="n">
        <v>3028.1</v>
      </c>
      <c r="F7" s="5" t="inlineStr">
        <is>
          <t>first, neutral pass put it on an object of another class</t>
        </is>
      </c>
      <c r="G7" s="5" t="n">
        <v>598</v>
      </c>
      <c r="H7" s="5" t="inlineStr">
        <is>
          <t>grade_beam</t>
        </is>
      </c>
      <c r="I7" s="5" t="n">
        <v>592</v>
      </c>
    </row>
    <row r="8">
      <c r="A8" s="5" t="n">
        <v>86</v>
      </c>
      <c r="B8" s="5" t="inlineStr">
        <is>
          <t>S2-130130</t>
        </is>
      </c>
      <c r="C8" s="5" t="inlineStr">
        <is>
          <t>isolated_footing</t>
        </is>
      </c>
      <c r="D8" s="5" t="n">
        <v>706.2</v>
      </c>
      <c r="E8" s="5" t="n">
        <v>1261.5</v>
      </c>
      <c r="F8" s="5" t="inlineStr">
        <is>
          <t>first, neutral pass put it on an object of another class</t>
        </is>
      </c>
      <c r="G8" s="5" t="n">
        <v>877</v>
      </c>
      <c r="H8" s="5" t="inlineStr">
        <is>
          <t>column</t>
        </is>
      </c>
      <c r="I8" s="5" t="n">
        <v>914</v>
      </c>
    </row>
    <row r="9">
      <c r="A9" s="5" t="n">
        <v>88</v>
      </c>
      <c r="B9" s="5" t="inlineStr">
        <is>
          <t>S18-130130</t>
        </is>
      </c>
      <c r="C9" s="5" t="inlineStr">
        <is>
          <t>isolated_footing</t>
        </is>
      </c>
      <c r="D9" s="5" t="n">
        <v>860.4</v>
      </c>
      <c r="E9" s="5" t="n">
        <v>1764.6</v>
      </c>
      <c r="F9" s="5" t="inlineStr">
        <is>
          <t>first, neutral pass put it on an object of another class; no object of its class within reach in the second pass</t>
        </is>
      </c>
      <c r="G9" s="5" t="n">
        <v>919</v>
      </c>
      <c r="H9" s="5" t="inlineStr">
        <is>
          <t>combined_footing</t>
        </is>
      </c>
      <c r="I9" s="5" t="inlineStr">
        <is>
          <t>unmatched</t>
        </is>
      </c>
    </row>
    <row r="10">
      <c r="A10" s="5" t="n">
        <v>90</v>
      </c>
      <c r="B10" s="5" t="inlineStr">
        <is>
          <t>S2-130130</t>
        </is>
      </c>
      <c r="C10" s="5" t="inlineStr">
        <is>
          <t>isolated_footing</t>
        </is>
      </c>
      <c r="D10" s="5" t="n">
        <v>1213.5</v>
      </c>
      <c r="E10" s="5" t="n">
        <v>1275</v>
      </c>
      <c r="F10" s="5" t="inlineStr">
        <is>
          <t>first, neutral pass put it on an object of another class; no object of its class within reach in the second pass</t>
        </is>
      </c>
      <c r="G10" s="5" t="n">
        <v>933</v>
      </c>
      <c r="H10" s="5" t="inlineStr">
        <is>
          <t>grade_beam</t>
        </is>
      </c>
      <c r="I10" s="5" t="inlineStr">
        <is>
          <t>unmatched</t>
        </is>
      </c>
    </row>
    <row r="11">
      <c r="A11" s="5" t="n">
        <v>94</v>
      </c>
      <c r="B11" s="5" t="inlineStr">
        <is>
          <t>S2-129129</t>
        </is>
      </c>
      <c r="C11" s="5" t="inlineStr">
        <is>
          <t>isolated_footing</t>
        </is>
      </c>
      <c r="D11" s="5" t="n">
        <v>1411.5</v>
      </c>
      <c r="E11" s="5" t="n">
        <v>2026</v>
      </c>
      <c r="F11" s="5" t="inlineStr">
        <is>
          <t>first, neutral pass put it on an object of another class</t>
        </is>
      </c>
      <c r="G11" s="5" t="n">
        <v>798</v>
      </c>
      <c r="H11" s="5" t="inlineStr">
        <is>
          <t>grade_beam</t>
        </is>
      </c>
      <c r="I11" s="5" t="n">
        <v>782</v>
      </c>
    </row>
    <row r="12">
      <c r="A12" s="5" t="n">
        <v>103</v>
      </c>
      <c r="B12" s="5" t="inlineStr">
        <is>
          <t>V1/120/120</t>
        </is>
      </c>
      <c r="C12" s="5" t="inlineStr">
        <is>
          <t>shear_wall</t>
        </is>
      </c>
      <c r="D12" s="5" t="n">
        <v>4535.4</v>
      </c>
      <c r="E12" s="5" t="n">
        <v>822.9</v>
      </c>
      <c r="F12" s="5" t="inlineStr">
        <is>
          <t>first, neutral pass put it on an object of another class</t>
        </is>
      </c>
      <c r="G12" s="5" t="n">
        <v>68</v>
      </c>
      <c r="H12" s="5" t="inlineStr">
        <is>
          <t>grade_beam</t>
        </is>
      </c>
      <c r="I12" s="5" t="n">
        <v>6</v>
      </c>
    </row>
    <row r="13">
      <c r="A13" s="5" t="n">
        <v>104</v>
      </c>
      <c r="B13" s="5" t="inlineStr">
        <is>
          <t>V1/120/120</t>
        </is>
      </c>
      <c r="C13" s="5" t="inlineStr">
        <is>
          <t>shear_wall</t>
        </is>
      </c>
      <c r="D13" s="5" t="n">
        <v>4538.5</v>
      </c>
      <c r="E13" s="5" t="n">
        <v>967.7</v>
      </c>
      <c r="F13" s="5" t="inlineStr">
        <is>
          <t>first, neutral pass put it on an object of another class</t>
        </is>
      </c>
      <c r="G13" s="5" t="n">
        <v>64</v>
      </c>
      <c r="H13" s="5" t="inlineStr">
        <is>
          <t>grade_beam</t>
        </is>
      </c>
      <c r="I13" s="5" t="n">
        <v>8</v>
      </c>
    </row>
    <row r="14">
      <c r="A14" s="5" t="n">
        <v>107</v>
      </c>
      <c r="B14" s="5" t="inlineStr">
        <is>
          <t>V4/120/120</t>
        </is>
      </c>
      <c r="C14" s="5" t="inlineStr">
        <is>
          <t>shear_wall</t>
        </is>
      </c>
      <c r="D14" s="5" t="n">
        <v>4792.7</v>
      </c>
      <c r="E14" s="5" t="n">
        <v>472.9</v>
      </c>
      <c r="F14" s="5" t="inlineStr">
        <is>
          <t>first, neutral pass put it on an object of another class</t>
        </is>
      </c>
      <c r="G14" s="5" t="n">
        <v>41</v>
      </c>
      <c r="H14" s="5" t="inlineStr">
        <is>
          <t>isolated_footing</t>
        </is>
      </c>
      <c r="I14" s="5" t="n">
        <v>15</v>
      </c>
    </row>
    <row r="15">
      <c r="A15" s="5" t="n">
        <v>110</v>
      </c>
      <c r="B15" s="5" t="inlineStr">
        <is>
          <t>V2/120/120</t>
        </is>
      </c>
      <c r="C15" s="5" t="inlineStr">
        <is>
          <t>shear_wall</t>
        </is>
      </c>
      <c r="D15" s="5" t="n">
        <v>4759.4</v>
      </c>
      <c r="E15" s="5" t="n">
        <v>1319.8</v>
      </c>
      <c r="F15" s="5" t="inlineStr">
        <is>
          <t>first, neutral pass put it on an object of another class</t>
        </is>
      </c>
      <c r="G15" s="5" t="n">
        <v>63</v>
      </c>
      <c r="H15" s="5" t="inlineStr">
        <is>
          <t>grade_beam</t>
        </is>
      </c>
      <c r="I15" s="5" t="n">
        <v>10</v>
      </c>
    </row>
    <row r="16">
      <c r="A16" s="5" t="n">
        <v>112</v>
      </c>
      <c r="B16" s="5" t="inlineStr">
        <is>
          <t>V3/120120</t>
        </is>
      </c>
      <c r="C16" s="5" t="inlineStr">
        <is>
          <t>shear_wall</t>
        </is>
      </c>
      <c r="D16" s="5" t="n">
        <v>4328.1</v>
      </c>
      <c r="E16" s="5" t="n">
        <v>632.3</v>
      </c>
      <c r="F16" s="5" t="inlineStr">
        <is>
          <t>first, neutral pass put it on an object of another class</t>
        </is>
      </c>
      <c r="G16" s="5" t="n">
        <v>67</v>
      </c>
      <c r="H16" s="5" t="inlineStr">
        <is>
          <t>grade_beam</t>
        </is>
      </c>
      <c r="I16" s="5" t="n">
        <v>14</v>
      </c>
    </row>
    <row r="17">
      <c r="A17" s="5" t="n">
        <v>114</v>
      </c>
      <c r="B17" s="5" t="inlineStr">
        <is>
          <t>V3/120/120</t>
        </is>
      </c>
      <c r="C17" s="5" t="inlineStr">
        <is>
          <t>shear_wall</t>
        </is>
      </c>
      <c r="D17" s="5" t="n">
        <v>4326</v>
      </c>
      <c r="E17" s="5" t="n">
        <v>1090.6</v>
      </c>
      <c r="F17" s="5" t="inlineStr">
        <is>
          <t>first, neutral pass put it on an object of another class</t>
        </is>
      </c>
      <c r="G17" s="5" t="n">
        <v>66</v>
      </c>
      <c r="H17" s="5" t="inlineStr">
        <is>
          <t>grade_beam</t>
        </is>
      </c>
      <c r="I17" s="5" t="n">
        <v>13</v>
      </c>
    </row>
    <row r="18">
      <c r="A18" s="5" t="n">
        <v>116</v>
      </c>
      <c r="B18" s="5" t="inlineStr">
        <is>
          <t>V1/121/121</t>
        </is>
      </c>
      <c r="C18" s="5" t="inlineStr">
        <is>
          <t>shear_wall</t>
        </is>
      </c>
      <c r="D18" s="5" t="n">
        <v>4537.5</v>
      </c>
      <c r="E18" s="5" t="n">
        <v>1346.9</v>
      </c>
      <c r="F18" s="5" t="inlineStr">
        <is>
          <t>first, neutral pass put it on an object of another class</t>
        </is>
      </c>
      <c r="G18" s="5" t="n">
        <v>139</v>
      </c>
      <c r="H18" s="5" t="inlineStr">
        <is>
          <t>grade_beam</t>
        </is>
      </c>
      <c r="I18" s="5" t="n">
        <v>86</v>
      </c>
    </row>
    <row r="19">
      <c r="A19" s="5" t="n">
        <v>117</v>
      </c>
      <c r="B19" s="5" t="inlineStr">
        <is>
          <t>V1/121/121</t>
        </is>
      </c>
      <c r="C19" s="5" t="inlineStr">
        <is>
          <t>shear_wall</t>
        </is>
      </c>
      <c r="D19" s="5" t="n">
        <v>4535.4</v>
      </c>
      <c r="E19" s="5" t="n">
        <v>1653.1</v>
      </c>
      <c r="F19" s="5" t="inlineStr">
        <is>
          <t>first, neutral pass put it on an object of another class</t>
        </is>
      </c>
      <c r="G19" s="5" t="n">
        <v>144</v>
      </c>
      <c r="H19" s="5" t="inlineStr">
        <is>
          <t>grade_beam</t>
        </is>
      </c>
      <c r="I19" s="5" t="n">
        <v>85</v>
      </c>
    </row>
    <row r="20">
      <c r="A20" s="5" t="n">
        <v>123</v>
      </c>
      <c r="B20" s="5" t="inlineStr">
        <is>
          <t>V8/121/121</t>
        </is>
      </c>
      <c r="C20" s="5" t="inlineStr">
        <is>
          <t>shear_wall</t>
        </is>
      </c>
      <c r="D20" s="5" t="n">
        <v>4590.6</v>
      </c>
      <c r="E20" s="5" t="n">
        <v>1936.5</v>
      </c>
      <c r="F20" s="5" t="inlineStr">
        <is>
          <t>first, neutral pass put it on an object of another class</t>
        </is>
      </c>
      <c r="G20" s="5" t="n">
        <v>145</v>
      </c>
      <c r="H20" s="5" t="inlineStr">
        <is>
          <t>grade_beam</t>
        </is>
      </c>
      <c r="I20" s="5" t="n">
        <v>96</v>
      </c>
    </row>
    <row r="21">
      <c r="A21" s="5" t="n">
        <v>124</v>
      </c>
      <c r="B21" s="5" t="inlineStr">
        <is>
          <t>V3/121/121</t>
        </is>
      </c>
      <c r="C21" s="5" t="inlineStr">
        <is>
          <t>shear_wall</t>
        </is>
      </c>
      <c r="D21" s="5" t="n">
        <v>4317.7</v>
      </c>
      <c r="E21" s="5" t="n">
        <v>1574</v>
      </c>
      <c r="F21" s="5" t="inlineStr">
        <is>
          <t>first, neutral pass put it on an object of another class</t>
        </is>
      </c>
      <c r="G21" s="5" t="n">
        <v>143</v>
      </c>
      <c r="H21" s="5" t="inlineStr">
        <is>
          <t>grade_beam</t>
        </is>
      </c>
      <c r="I21" s="5" t="n">
        <v>92</v>
      </c>
    </row>
    <row r="22">
      <c r="A22" s="5" t="n">
        <v>125</v>
      </c>
      <c r="B22" s="5" t="inlineStr">
        <is>
          <t>V3/121/121</t>
        </is>
      </c>
      <c r="C22" s="5" t="inlineStr">
        <is>
          <t>shear_wall</t>
        </is>
      </c>
      <c r="D22" s="5" t="n">
        <v>4324</v>
      </c>
      <c r="E22" s="5" t="n">
        <v>1805.2</v>
      </c>
      <c r="F22" s="5" t="inlineStr">
        <is>
          <t>first, neutral pass put it on an object of another class</t>
        </is>
      </c>
      <c r="G22" s="5" t="n">
        <v>141</v>
      </c>
      <c r="H22" s="5" t="inlineStr">
        <is>
          <t>grade_beam</t>
        </is>
      </c>
      <c r="I22" s="5" t="n">
        <v>94</v>
      </c>
    </row>
    <row r="23">
      <c r="A23" s="5" t="n">
        <v>126</v>
      </c>
      <c r="B23" s="5" t="inlineStr">
        <is>
          <t>V3/121/121</t>
        </is>
      </c>
      <c r="C23" s="5" t="inlineStr">
        <is>
          <t>shear_wall</t>
        </is>
      </c>
      <c r="D23" s="5" t="n">
        <v>4325</v>
      </c>
      <c r="E23" s="5" t="n">
        <v>2036.5</v>
      </c>
      <c r="F23" s="5" t="inlineStr">
        <is>
          <t>first, neutral pass put it on an object of another class</t>
        </is>
      </c>
      <c r="G23" s="5" t="n">
        <v>142</v>
      </c>
      <c r="H23" s="5" t="inlineStr">
        <is>
          <t>grade_beam</t>
        </is>
      </c>
      <c r="I23" s="5" t="n">
        <v>93</v>
      </c>
    </row>
    <row r="24">
      <c r="A24" s="5" t="n">
        <v>127</v>
      </c>
      <c r="B24" s="5" t="inlineStr">
        <is>
          <t>V9/121/121</t>
        </is>
      </c>
      <c r="C24" s="5" t="inlineStr">
        <is>
          <t>shear_wall</t>
        </is>
      </c>
      <c r="D24" s="5" t="n">
        <v>4974</v>
      </c>
      <c r="E24" s="5" t="n">
        <v>1786.5</v>
      </c>
      <c r="F24" s="5" t="inlineStr">
        <is>
          <t>first, neutral pass put it on an object of another class</t>
        </is>
      </c>
      <c r="G24" s="5" t="n">
        <v>115</v>
      </c>
      <c r="H24" s="5" t="inlineStr">
        <is>
          <t>retaining_wall</t>
        </is>
      </c>
      <c r="I24" s="5" t="n">
        <v>97</v>
      </c>
    </row>
    <row r="25">
      <c r="A25" s="5" t="n">
        <v>134</v>
      </c>
      <c r="B25" s="5" t="inlineStr">
        <is>
          <t>V3/122/122</t>
        </is>
      </c>
      <c r="C25" s="5" t="inlineStr">
        <is>
          <t>shear_wall</t>
        </is>
      </c>
      <c r="D25" s="5" t="n">
        <v>4538.5</v>
      </c>
      <c r="E25" s="5" t="n">
        <v>2490.6</v>
      </c>
      <c r="F25" s="5" t="inlineStr">
        <is>
          <t>first, neutral pass put it on an object of another class</t>
        </is>
      </c>
      <c r="G25" s="5" t="n">
        <v>265</v>
      </c>
      <c r="H25" s="5" t="inlineStr">
        <is>
          <t>grade_beam</t>
        </is>
      </c>
      <c r="I25" s="5" t="n">
        <v>206</v>
      </c>
    </row>
    <row r="26">
      <c r="A26" s="5" t="n">
        <v>135</v>
      </c>
      <c r="B26" s="5" t="inlineStr">
        <is>
          <t>V4/122/122</t>
        </is>
      </c>
      <c r="C26" s="5" t="inlineStr">
        <is>
          <t>shear_wall</t>
        </is>
      </c>
      <c r="D26" s="5" t="n">
        <v>4538.5</v>
      </c>
      <c r="E26" s="5" t="n">
        <v>2607.3</v>
      </c>
      <c r="F26" s="5" t="inlineStr">
        <is>
          <t>first, neutral pass put it on an object of another class</t>
        </is>
      </c>
      <c r="G26" s="5" t="n">
        <v>269</v>
      </c>
      <c r="H26" s="5" t="inlineStr">
        <is>
          <t>grade_beam</t>
        </is>
      </c>
      <c r="I26" s="5" t="n">
        <v>209</v>
      </c>
    </row>
    <row r="27">
      <c r="A27" s="5" t="n">
        <v>138</v>
      </c>
      <c r="B27" s="5" t="inlineStr">
        <is>
          <t>V5/122/122</t>
        </is>
      </c>
      <c r="C27" s="5" t="inlineStr">
        <is>
          <t>shear_wall</t>
        </is>
      </c>
      <c r="D27" s="5" t="n">
        <v>4761.5</v>
      </c>
      <c r="E27" s="5" t="n">
        <v>2574</v>
      </c>
      <c r="F27" s="5" t="inlineStr">
        <is>
          <t>first, neutral pass put it on an object of another class</t>
        </is>
      </c>
      <c r="G27" s="5" t="n">
        <v>234</v>
      </c>
      <c r="H27" s="5" t="inlineStr">
        <is>
          <t>isolated_footing</t>
        </is>
      </c>
      <c r="I27" s="5" t="n">
        <v>210</v>
      </c>
    </row>
    <row r="28">
      <c r="A28" s="5" t="n">
        <v>139</v>
      </c>
      <c r="B28" s="5" t="inlineStr">
        <is>
          <t>V5/122/122</t>
        </is>
      </c>
      <c r="C28" s="5" t="inlineStr">
        <is>
          <t>shear_wall</t>
        </is>
      </c>
      <c r="D28" s="5" t="n">
        <v>4761.5</v>
      </c>
      <c r="E28" s="5" t="n">
        <v>2331.2</v>
      </c>
      <c r="F28" s="5" t="inlineStr">
        <is>
          <t>first, neutral pass put it on an object of another class</t>
        </is>
      </c>
      <c r="G28" s="5" t="n">
        <v>264</v>
      </c>
      <c r="H28" s="5" t="inlineStr">
        <is>
          <t>grade_beam</t>
        </is>
      </c>
      <c r="I28" s="5" t="n">
        <v>211</v>
      </c>
    </row>
    <row r="29">
      <c r="A29" s="5" t="n">
        <v>142</v>
      </c>
      <c r="B29" s="5" t="inlineStr">
        <is>
          <t>V6/122/122</t>
        </is>
      </c>
      <c r="C29" s="5" t="inlineStr">
        <is>
          <t>shear_wall</t>
        </is>
      </c>
      <c r="D29" s="5" t="n">
        <v>4346.9</v>
      </c>
      <c r="E29" s="5" t="n">
        <v>2502.1</v>
      </c>
      <c r="F29" s="5" t="inlineStr">
        <is>
          <t>first, neutral pass put it on an object of another class</t>
        </is>
      </c>
      <c r="G29" s="5" t="n">
        <v>265</v>
      </c>
      <c r="H29" s="5" t="inlineStr">
        <is>
          <t>grade_beam</t>
        </is>
      </c>
      <c r="I29" s="5" t="n">
        <v>213</v>
      </c>
    </row>
    <row r="30">
      <c r="A30" s="5" t="n">
        <v>143</v>
      </c>
      <c r="B30" s="5" t="inlineStr">
        <is>
          <t>V6/122/122</t>
        </is>
      </c>
      <c r="C30" s="5" t="inlineStr">
        <is>
          <t>shear_wall</t>
        </is>
      </c>
      <c r="D30" s="5" t="n">
        <v>4346.9</v>
      </c>
      <c r="E30" s="5" t="n">
        <v>2730.2</v>
      </c>
      <c r="F30" s="5" t="inlineStr">
        <is>
          <t>first, neutral pass put it on an object of another class</t>
        </is>
      </c>
      <c r="G30" s="5" t="n">
        <v>267</v>
      </c>
      <c r="H30" s="5" t="inlineStr">
        <is>
          <t>grade_beam</t>
        </is>
      </c>
      <c r="I30" s="5" t="n">
        <v>215</v>
      </c>
    </row>
    <row r="31">
      <c r="A31" s="5" t="n">
        <v>148</v>
      </c>
      <c r="B31" s="5" t="inlineStr">
        <is>
          <t>V2/123/123</t>
        </is>
      </c>
      <c r="C31" s="5" t="inlineStr">
        <is>
          <t>shear_wall</t>
        </is>
      </c>
      <c r="D31" s="5" t="n">
        <v>4553.1</v>
      </c>
      <c r="E31" s="5" t="n">
        <v>3488.5</v>
      </c>
      <c r="F31" s="5" t="inlineStr">
        <is>
          <t>first, neutral pass put it on an object of another class</t>
        </is>
      </c>
      <c r="G31" s="5" t="n">
        <v>380</v>
      </c>
      <c r="H31" s="5" t="inlineStr">
        <is>
          <t>grade_beam</t>
        </is>
      </c>
      <c r="I31" s="5" t="n">
        <v>329</v>
      </c>
    </row>
    <row r="32">
      <c r="A32" s="5" t="n">
        <v>149</v>
      </c>
      <c r="B32" s="5" t="inlineStr">
        <is>
          <t>V2/123/123</t>
        </is>
      </c>
      <c r="C32" s="5" t="inlineStr">
        <is>
          <t>shear_wall</t>
        </is>
      </c>
      <c r="D32" s="5" t="n">
        <v>4734.4</v>
      </c>
      <c r="E32" s="5" t="n">
        <v>3431.3</v>
      </c>
      <c r="F32" s="5" t="inlineStr">
        <is>
          <t>first, neutral pass put it on an object of another class</t>
        </is>
      </c>
      <c r="G32" s="5" t="n">
        <v>379</v>
      </c>
      <c r="H32" s="5" t="inlineStr">
        <is>
          <t>grade_beam</t>
        </is>
      </c>
      <c r="I32" s="5" t="n">
        <v>327</v>
      </c>
    </row>
    <row r="33">
      <c r="A33" s="5" t="n">
        <v>150</v>
      </c>
      <c r="B33" s="5" t="inlineStr">
        <is>
          <t>V2/123/123</t>
        </is>
      </c>
      <c r="C33" s="5" t="inlineStr">
        <is>
          <t>shear_wall</t>
        </is>
      </c>
      <c r="D33" s="5" t="n">
        <v>4453.1</v>
      </c>
      <c r="E33" s="5" t="n">
        <v>3110.4</v>
      </c>
      <c r="F33" s="5" t="inlineStr">
        <is>
          <t>first, neutral pass put it on an object of another class</t>
        </is>
      </c>
      <c r="G33" s="5" t="n">
        <v>383</v>
      </c>
      <c r="H33" s="5" t="inlineStr">
        <is>
          <t>grade_beam</t>
        </is>
      </c>
      <c r="I33" s="5" t="n">
        <v>328</v>
      </c>
    </row>
    <row r="34">
      <c r="A34" s="5" t="n">
        <v>151</v>
      </c>
      <c r="B34" s="5" t="inlineStr">
        <is>
          <t>V3/123/123</t>
        </is>
      </c>
      <c r="C34" s="5" t="inlineStr">
        <is>
          <t>shear_wall</t>
        </is>
      </c>
      <c r="D34" s="5" t="n">
        <v>4330.2</v>
      </c>
      <c r="E34" s="5" t="n">
        <v>3360.4</v>
      </c>
      <c r="F34" s="5" t="inlineStr">
        <is>
          <t>first, neutral pass put it on an object of another class</t>
        </is>
      </c>
      <c r="G34" s="5" t="n">
        <v>423</v>
      </c>
      <c r="H34" s="5" t="inlineStr">
        <is>
          <t>retaining_wall</t>
        </is>
      </c>
      <c r="I34" s="5" t="n">
        <v>333</v>
      </c>
    </row>
    <row r="35">
      <c r="A35" s="5" t="n">
        <v>156</v>
      </c>
      <c r="B35" s="5" t="inlineStr">
        <is>
          <t>V4/123/123</t>
        </is>
      </c>
      <c r="C35" s="5" t="inlineStr">
        <is>
          <t>shear_wall</t>
        </is>
      </c>
      <c r="D35" s="5" t="n">
        <v>4524</v>
      </c>
      <c r="E35" s="5" t="n">
        <v>3345.8</v>
      </c>
      <c r="F35" s="5" t="inlineStr">
        <is>
          <t>first, neutral pass put it on an object of another class</t>
        </is>
      </c>
      <c r="G35" s="5" t="n">
        <v>376</v>
      </c>
      <c r="H35" s="5" t="inlineStr">
        <is>
          <t>grade_beam</t>
        </is>
      </c>
      <c r="I35" s="5" t="n">
        <v>335</v>
      </c>
    </row>
    <row r="36">
      <c r="A36" s="5" t="n">
        <v>157</v>
      </c>
      <c r="B36" s="5" t="inlineStr">
        <is>
          <t>V4/123/123</t>
        </is>
      </c>
      <c r="C36" s="5" t="inlineStr">
        <is>
          <t>shear_wall</t>
        </is>
      </c>
      <c r="D36" s="5" t="n">
        <v>4921.9</v>
      </c>
      <c r="E36" s="5" t="n">
        <v>3418.8</v>
      </c>
      <c r="F36" s="5" t="inlineStr">
        <is>
          <t>first, neutral pass put it on an object of another class</t>
        </is>
      </c>
      <c r="G36" s="5" t="n">
        <v>378</v>
      </c>
      <c r="H36" s="5" t="inlineStr">
        <is>
          <t>grade_beam</t>
        </is>
      </c>
      <c r="I36" s="5" t="n">
        <v>334</v>
      </c>
    </row>
    <row r="37">
      <c r="A37" s="5" t="n">
        <v>162</v>
      </c>
      <c r="B37" s="5" t="inlineStr">
        <is>
          <t>V7/124/124</t>
        </is>
      </c>
      <c r="C37" s="5" t="inlineStr">
        <is>
          <t>shear_wall</t>
        </is>
      </c>
      <c r="D37" s="5" t="n">
        <v>3851</v>
      </c>
      <c r="E37" s="5" t="n">
        <v>3594.8</v>
      </c>
      <c r="F37" s="5" t="inlineStr">
        <is>
          <t>first, neutral pass put it on an object of another class</t>
        </is>
      </c>
      <c r="G37" s="5" t="n">
        <v>439</v>
      </c>
      <c r="H37" s="5" t="inlineStr">
        <is>
          <t>grade_beam</t>
        </is>
      </c>
      <c r="I37" s="5" t="n">
        <v>405</v>
      </c>
    </row>
    <row r="38">
      <c r="A38" s="5" t="n">
        <v>165</v>
      </c>
      <c r="B38" s="5" t="inlineStr">
        <is>
          <t>V7/124/124</t>
        </is>
      </c>
      <c r="C38" s="5" t="inlineStr">
        <is>
          <t>shear_wall</t>
        </is>
      </c>
      <c r="D38" s="5" t="n">
        <v>3740.6</v>
      </c>
      <c r="E38" s="5" t="n">
        <v>3196.9</v>
      </c>
      <c r="F38" s="5" t="inlineStr">
        <is>
          <t>first, neutral pass put it on an object of another class</t>
        </is>
      </c>
      <c r="G38" s="5" t="n">
        <v>438</v>
      </c>
      <c r="H38" s="5" t="inlineStr">
        <is>
          <t>grade_beam</t>
        </is>
      </c>
      <c r="I38" s="5" t="n">
        <v>404</v>
      </c>
    </row>
    <row r="39">
      <c r="A39" s="5" t="n">
        <v>166</v>
      </c>
      <c r="B39" s="5" t="inlineStr">
        <is>
          <t>V4/124/124</t>
        </is>
      </c>
      <c r="C39" s="5" t="inlineStr">
        <is>
          <t>shear_wall</t>
        </is>
      </c>
      <c r="D39" s="5" t="n">
        <v>3924</v>
      </c>
      <c r="E39" s="5" t="n">
        <v>3155.2</v>
      </c>
      <c r="F39" s="5" t="inlineStr">
        <is>
          <t>first, neutral pass put it on an object of another class</t>
        </is>
      </c>
      <c r="G39" s="5" t="n">
        <v>266</v>
      </c>
      <c r="H39" s="5" t="inlineStr">
        <is>
          <t>grade_beam</t>
        </is>
      </c>
      <c r="I39" s="5" t="n">
        <v>398</v>
      </c>
    </row>
    <row r="40">
      <c r="A40" s="5" t="n">
        <v>168</v>
      </c>
      <c r="B40" s="5" t="inlineStr">
        <is>
          <t>V6/124/124</t>
        </is>
      </c>
      <c r="C40" s="5" t="inlineStr">
        <is>
          <t>shear_wall</t>
        </is>
      </c>
      <c r="D40" s="5" t="n">
        <v>3561.5</v>
      </c>
      <c r="E40" s="5" t="n">
        <v>3001</v>
      </c>
      <c r="F40" s="5" t="inlineStr">
        <is>
          <t>first, neutral pass put it on an object of another class</t>
        </is>
      </c>
      <c r="G40" s="5" t="n">
        <v>270</v>
      </c>
      <c r="H40" s="5" t="inlineStr">
        <is>
          <t>grade_beam</t>
        </is>
      </c>
      <c r="I40" s="5" t="n">
        <v>401</v>
      </c>
    </row>
    <row r="41">
      <c r="A41" s="5" t="n">
        <v>169</v>
      </c>
      <c r="B41" s="5" t="inlineStr">
        <is>
          <t>V6/124/124</t>
        </is>
      </c>
      <c r="C41" s="5" t="inlineStr">
        <is>
          <t>shear_wall</t>
        </is>
      </c>
      <c r="D41" s="5" t="n">
        <v>3786.5</v>
      </c>
      <c r="E41" s="5" t="n">
        <v>2944.8</v>
      </c>
      <c r="F41" s="5" t="inlineStr">
        <is>
          <t>first, neutral pass put it on an object of another class</t>
        </is>
      </c>
      <c r="G41" s="5" t="n">
        <v>263</v>
      </c>
      <c r="H41" s="5" t="inlineStr">
        <is>
          <t>grade_beam</t>
        </is>
      </c>
      <c r="I41" s="5" t="n">
        <v>403</v>
      </c>
    </row>
    <row r="42">
      <c r="A42" s="5" t="n">
        <v>171</v>
      </c>
      <c r="B42" s="5" t="inlineStr">
        <is>
          <t>V6/124/124</t>
        </is>
      </c>
      <c r="C42" s="5" t="inlineStr">
        <is>
          <t>shear_wall</t>
        </is>
      </c>
      <c r="D42" s="5" t="n">
        <v>4199</v>
      </c>
      <c r="E42" s="5" t="n">
        <v>2903.1</v>
      </c>
      <c r="F42" s="5" t="inlineStr">
        <is>
          <t>first, neutral pass put it on an object of another class</t>
        </is>
      </c>
      <c r="G42" s="5" t="n">
        <v>263</v>
      </c>
      <c r="H42" s="5" t="inlineStr">
        <is>
          <t>grade_beam</t>
        </is>
      </c>
      <c r="I42" s="5" t="n">
        <v>400</v>
      </c>
    </row>
    <row r="43">
      <c r="A43" s="5" t="n">
        <v>172</v>
      </c>
      <c r="B43" s="5" t="inlineStr">
        <is>
          <t>V1/120/120</t>
        </is>
      </c>
      <c r="C43" s="5" t="inlineStr">
        <is>
          <t>shear_wall</t>
        </is>
      </c>
      <c r="D43" s="5" t="n">
        <v>4541.7</v>
      </c>
      <c r="E43" s="5" t="n">
        <v>513.5</v>
      </c>
      <c r="F43" s="5" t="inlineStr">
        <is>
          <t>first, neutral pass put it on an object of another class</t>
        </is>
      </c>
      <c r="G43" s="5" t="n">
        <v>65</v>
      </c>
      <c r="H43" s="5" t="inlineStr">
        <is>
          <t>grade_beam</t>
        </is>
      </c>
      <c r="I43" s="5" t="n">
        <v>5</v>
      </c>
    </row>
    <row r="44">
      <c r="A44" s="5" t="n">
        <v>173</v>
      </c>
      <c r="B44" s="5" t="inlineStr">
        <is>
          <t>V1/126/126</t>
        </is>
      </c>
      <c r="C44" s="5" t="inlineStr">
        <is>
          <t>shear_wall</t>
        </is>
      </c>
      <c r="D44" s="5" t="n">
        <v>2430.2</v>
      </c>
      <c r="E44" s="5" t="n">
        <v>3333.3</v>
      </c>
      <c r="F44" s="5" t="inlineStr">
        <is>
          <t>first, neutral pass put it on an object of another class</t>
        </is>
      </c>
      <c r="G44" s="5" t="n">
        <v>536</v>
      </c>
      <c r="H44" s="5" t="inlineStr">
        <is>
          <t>retaining_wall</t>
        </is>
      </c>
      <c r="I44" s="5" t="n">
        <v>530</v>
      </c>
    </row>
    <row r="45">
      <c r="A45" s="5" t="n">
        <v>174</v>
      </c>
      <c r="B45" s="5" t="inlineStr">
        <is>
          <t>V1/126/126</t>
        </is>
      </c>
      <c r="C45" s="5" t="inlineStr">
        <is>
          <t>shear_wall</t>
        </is>
      </c>
      <c r="D45" s="5" t="n">
        <v>2549</v>
      </c>
      <c r="E45" s="5" t="n">
        <v>3091.7</v>
      </c>
      <c r="F45" s="5" t="inlineStr">
        <is>
          <t>first, neutral pass put it on an object of another class</t>
        </is>
      </c>
      <c r="G45" s="5" t="n">
        <v>546</v>
      </c>
      <c r="H45" s="5" t="inlineStr">
        <is>
          <t>grade_beam</t>
        </is>
      </c>
      <c r="I45" s="5" t="n">
        <v>529</v>
      </c>
    </row>
    <row r="46">
      <c r="A46" s="5" t="n">
        <v>178</v>
      </c>
      <c r="B46" s="5" t="inlineStr">
        <is>
          <t>V3/125/125</t>
        </is>
      </c>
      <c r="C46" s="5" t="inlineStr">
        <is>
          <t>shear_wall</t>
        </is>
      </c>
      <c r="D46" s="5" t="n">
        <v>3421.9</v>
      </c>
      <c r="E46" s="5" t="n">
        <v>3310.4</v>
      </c>
      <c r="F46" s="5" t="inlineStr">
        <is>
          <t>first, neutral pass put it on an object of another class</t>
        </is>
      </c>
      <c r="G46" s="5" t="n">
        <v>518</v>
      </c>
      <c r="H46" s="5" t="inlineStr">
        <is>
          <t>grade_beam</t>
        </is>
      </c>
      <c r="I46" s="5" t="n">
        <v>455</v>
      </c>
    </row>
    <row r="47">
      <c r="A47" s="5" t="n">
        <v>179</v>
      </c>
      <c r="B47" s="5" t="inlineStr">
        <is>
          <t>V3/126/126</t>
        </is>
      </c>
      <c r="C47" s="5" t="inlineStr">
        <is>
          <t>shear_wall</t>
        </is>
      </c>
      <c r="D47" s="5" t="n">
        <v>2691.7</v>
      </c>
      <c r="E47" s="5" t="n">
        <v>3222.9</v>
      </c>
      <c r="F47" s="5" t="inlineStr">
        <is>
          <t>first, neutral pass put it on an object of another class</t>
        </is>
      </c>
      <c r="G47" s="5" t="n">
        <v>548</v>
      </c>
      <c r="H47" s="5" t="inlineStr">
        <is>
          <t>grade_beam</t>
        </is>
      </c>
      <c r="I47" s="5" t="n">
        <v>531</v>
      </c>
    </row>
    <row r="48">
      <c r="A48" s="5" t="n">
        <v>180</v>
      </c>
      <c r="B48" s="5" t="inlineStr">
        <is>
          <t>V4/126/126</t>
        </is>
      </c>
      <c r="C48" s="5" t="inlineStr">
        <is>
          <t>shear_wall</t>
        </is>
      </c>
      <c r="D48" s="5" t="n">
        <v>2856.2</v>
      </c>
      <c r="E48" s="5" t="n">
        <v>3300</v>
      </c>
      <c r="F48" s="5" t="inlineStr">
        <is>
          <t>first, neutral pass put it on an object of another class</t>
        </is>
      </c>
      <c r="G48" s="5" t="n">
        <v>547</v>
      </c>
      <c r="H48" s="5" t="inlineStr">
        <is>
          <t>grade_beam</t>
        </is>
      </c>
      <c r="I48" s="5" t="n">
        <v>532</v>
      </c>
    </row>
    <row r="49">
      <c r="A49" s="5" t="n">
        <v>182</v>
      </c>
      <c r="B49" s="5" t="inlineStr">
        <is>
          <t>V4/125/125</t>
        </is>
      </c>
      <c r="C49" s="5" t="inlineStr">
        <is>
          <t>shear_wall</t>
        </is>
      </c>
      <c r="D49" s="5" t="n">
        <v>3238.5</v>
      </c>
      <c r="E49" s="5" t="n">
        <v>3336.5</v>
      </c>
      <c r="F49" s="5" t="inlineStr">
        <is>
          <t>first, neutral pass put it on an object of another class</t>
        </is>
      </c>
      <c r="G49" s="5" t="n">
        <v>517</v>
      </c>
      <c r="H49" s="5" t="inlineStr">
        <is>
          <t>grade_beam</t>
        </is>
      </c>
      <c r="I49" s="5" t="n">
        <v>456</v>
      </c>
    </row>
    <row r="50">
      <c r="A50" s="5" t="n">
        <v>183</v>
      </c>
      <c r="B50" s="5" t="inlineStr">
        <is>
          <t>V4/125/125</t>
        </is>
      </c>
      <c r="C50" s="5" t="inlineStr">
        <is>
          <t>shear_wall</t>
        </is>
      </c>
      <c r="D50" s="5" t="n">
        <v>3016.7</v>
      </c>
      <c r="E50" s="5" t="n">
        <v>3553.1</v>
      </c>
      <c r="F50" s="5" t="inlineStr">
        <is>
          <t>first, neutral pass put it on an object of another class</t>
        </is>
      </c>
      <c r="G50" s="5" t="n">
        <v>545</v>
      </c>
      <c r="H50" s="5" t="inlineStr">
        <is>
          <t>grade_beam</t>
        </is>
      </c>
      <c r="I50" s="5" t="n">
        <v>458</v>
      </c>
    </row>
    <row r="51">
      <c r="A51" s="5" t="n">
        <v>189</v>
      </c>
      <c r="B51" s="5" t="inlineStr">
        <is>
          <t>V8/125/125</t>
        </is>
      </c>
      <c r="C51" s="5" t="inlineStr">
        <is>
          <t>shear_wall</t>
        </is>
      </c>
      <c r="D51" s="5" t="n">
        <v>3326</v>
      </c>
      <c r="E51" s="5" t="n">
        <v>3055.2</v>
      </c>
      <c r="F51" s="5" t="inlineStr">
        <is>
          <t>first, neutral pass put it on an object of another class</t>
        </is>
      </c>
      <c r="G51" s="5" t="n">
        <v>521</v>
      </c>
      <c r="H51" s="5" t="inlineStr">
        <is>
          <t>grade_beam</t>
        </is>
      </c>
      <c r="I51" s="5" t="n">
        <v>461</v>
      </c>
    </row>
    <row r="52">
      <c r="A52" s="5" t="n">
        <v>190</v>
      </c>
      <c r="B52" s="5" t="inlineStr">
        <is>
          <t>V8/125/125</t>
        </is>
      </c>
      <c r="C52" s="5" t="inlineStr">
        <is>
          <t>shear_wall</t>
        </is>
      </c>
      <c r="D52" s="5" t="n">
        <v>3079.2</v>
      </c>
      <c r="E52" s="5" t="n">
        <v>3093.8</v>
      </c>
      <c r="F52" s="5" t="inlineStr">
        <is>
          <t>first, neutral pass put it on an object of another class</t>
        </is>
      </c>
      <c r="G52" s="5" t="n">
        <v>519</v>
      </c>
      <c r="H52" s="5" t="inlineStr">
        <is>
          <t>grade_beam</t>
        </is>
      </c>
      <c r="I52" s="5" t="n">
        <v>462</v>
      </c>
    </row>
    <row r="53">
      <c r="A53" s="5" t="n">
        <v>191</v>
      </c>
      <c r="B53" s="5" t="inlineStr">
        <is>
          <t>V8/126/126</t>
        </is>
      </c>
      <c r="C53" s="5" t="inlineStr">
        <is>
          <t>shear_wall</t>
        </is>
      </c>
      <c r="D53" s="5" t="n">
        <v>2850</v>
      </c>
      <c r="E53" s="5" t="n">
        <v>3014.6</v>
      </c>
      <c r="F53" s="5" t="inlineStr">
        <is>
          <t>first, neutral pass put it on an object of another class</t>
        </is>
      </c>
      <c r="G53" s="5" t="n">
        <v>549</v>
      </c>
      <c r="H53" s="5" t="inlineStr">
        <is>
          <t>grade_beam</t>
        </is>
      </c>
      <c r="I53" s="5" t="n">
        <v>534</v>
      </c>
    </row>
    <row r="54">
      <c r="A54" s="5" t="n">
        <v>192</v>
      </c>
      <c r="B54" s="5" t="inlineStr">
        <is>
          <t>V8/126/126</t>
        </is>
      </c>
      <c r="C54" s="5" t="inlineStr">
        <is>
          <t>shear_wall</t>
        </is>
      </c>
      <c r="D54" s="5" t="n">
        <v>2658.3</v>
      </c>
      <c r="E54" s="5" t="n">
        <v>2871.9</v>
      </c>
      <c r="F54" s="5" t="inlineStr">
        <is>
          <t>first, neutral pass put it on an object of another class</t>
        </is>
      </c>
      <c r="G54" s="5" t="n">
        <v>543</v>
      </c>
      <c r="H54" s="5" t="inlineStr">
        <is>
          <t>combined_footing</t>
        </is>
      </c>
      <c r="I54" s="5" t="n">
        <v>535</v>
      </c>
    </row>
    <row r="55">
      <c r="A55" s="5" t="n">
        <v>194</v>
      </c>
      <c r="B55" s="5" t="inlineStr">
        <is>
          <t>V8/124/124</t>
        </is>
      </c>
      <c r="C55" s="5" t="inlineStr">
        <is>
          <t>shear_wall</t>
        </is>
      </c>
      <c r="D55" s="5" t="n">
        <v>3605.2</v>
      </c>
      <c r="E55" s="5" t="n">
        <v>3244.8</v>
      </c>
      <c r="F55" s="5" t="inlineStr">
        <is>
          <t>first, neutral pass put it on an object of another class</t>
        </is>
      </c>
      <c r="G55" s="5" t="n">
        <v>440</v>
      </c>
      <c r="H55" s="5" t="inlineStr">
        <is>
          <t>grade_beam</t>
        </is>
      </c>
      <c r="I55" s="5" t="n">
        <v>406</v>
      </c>
    </row>
    <row r="56">
      <c r="A56" s="5" t="n">
        <v>196</v>
      </c>
      <c r="B56" s="5" t="inlineStr">
        <is>
          <t>V1/127/127</t>
        </is>
      </c>
      <c r="C56" s="5" t="inlineStr">
        <is>
          <t>shear_wall</t>
        </is>
      </c>
      <c r="D56" s="5" t="n">
        <v>1762.5</v>
      </c>
      <c r="E56" s="5" t="n">
        <v>2994.8</v>
      </c>
      <c r="F56" s="5" t="inlineStr">
        <is>
          <t>first, neutral pass put it on an object of another class</t>
        </is>
      </c>
      <c r="G56" s="5" t="n">
        <v>579</v>
      </c>
      <c r="H56" s="5" t="inlineStr">
        <is>
          <t>retaining_wall</t>
        </is>
      </c>
      <c r="I56" s="5" t="n">
        <v>558</v>
      </c>
    </row>
    <row r="57">
      <c r="A57" s="5" t="n">
        <v>197</v>
      </c>
      <c r="B57" s="5" t="inlineStr">
        <is>
          <t>V3/127/127</t>
        </is>
      </c>
      <c r="C57" s="5" t="inlineStr">
        <is>
          <t>shear_wall</t>
        </is>
      </c>
      <c r="D57" s="5" t="n">
        <v>1863.5</v>
      </c>
      <c r="E57" s="5" t="n">
        <v>2800</v>
      </c>
      <c r="F57" s="5" t="inlineStr">
        <is>
          <t>first, neutral pass put it on an object of another class</t>
        </is>
      </c>
      <c r="G57" s="5" t="n">
        <v>598</v>
      </c>
      <c r="H57" s="5" t="inlineStr">
        <is>
          <t>grade_beam</t>
        </is>
      </c>
      <c r="I57" s="5" t="n">
        <v>560</v>
      </c>
    </row>
    <row r="58">
      <c r="A58" s="5" t="n">
        <v>201</v>
      </c>
      <c r="B58" s="5" t="inlineStr">
        <is>
          <t>V5/127/127</t>
        </is>
      </c>
      <c r="C58" s="5" t="inlineStr">
        <is>
          <t>shear_wall</t>
        </is>
      </c>
      <c r="D58" s="5" t="n">
        <v>2253.1</v>
      </c>
      <c r="E58" s="5" t="n">
        <v>3012.5</v>
      </c>
      <c r="F58" s="5" t="inlineStr">
        <is>
          <t>first, neutral pass put it on an object of another class</t>
        </is>
      </c>
      <c r="G58" s="5" t="n">
        <v>589</v>
      </c>
      <c r="H58" s="5" t="inlineStr">
        <is>
          <t>isolated_footing</t>
        </is>
      </c>
      <c r="I58" s="5" t="n">
        <v>564</v>
      </c>
    </row>
    <row r="59">
      <c r="A59" s="5" t="n">
        <v>202</v>
      </c>
      <c r="B59" s="5" t="inlineStr">
        <is>
          <t>V5/127/127</t>
        </is>
      </c>
      <c r="C59" s="5" t="inlineStr">
        <is>
          <t>shear_wall</t>
        </is>
      </c>
      <c r="D59" s="5" t="n">
        <v>2032.3</v>
      </c>
      <c r="E59" s="5" t="n">
        <v>2909.4</v>
      </c>
      <c r="F59" s="5" t="inlineStr">
        <is>
          <t>first, neutral pass put it on an object of another class</t>
        </is>
      </c>
      <c r="G59" s="5" t="n">
        <v>590</v>
      </c>
      <c r="H59" s="5" t="inlineStr">
        <is>
          <t>isolated_footing</t>
        </is>
      </c>
      <c r="I59" s="5" t="n">
        <v>565</v>
      </c>
    </row>
    <row r="60">
      <c r="A60" s="5" t="n">
        <v>203</v>
      </c>
      <c r="B60" s="5" t="inlineStr">
        <is>
          <t>V6/127/127</t>
        </is>
      </c>
      <c r="C60" s="5" t="inlineStr">
        <is>
          <t>shear_wall</t>
        </is>
      </c>
      <c r="D60" s="5" t="n">
        <v>1982.3</v>
      </c>
      <c r="E60" s="5" t="n">
        <v>2560.4</v>
      </c>
      <c r="F60" s="5" t="inlineStr">
        <is>
          <t>first, neutral pass put it on an object of another class</t>
        </is>
      </c>
      <c r="G60" s="5" t="n">
        <v>594</v>
      </c>
      <c r="H60" s="5" t="inlineStr">
        <is>
          <t>combined_footing</t>
        </is>
      </c>
      <c r="I60" s="5" t="n">
        <v>568</v>
      </c>
    </row>
    <row r="61">
      <c r="A61" s="5" t="n">
        <v>205</v>
      </c>
      <c r="B61" s="5" t="inlineStr">
        <is>
          <t>V6/127/127</t>
        </is>
      </c>
      <c r="C61" s="5" t="inlineStr">
        <is>
          <t>shear_wall</t>
        </is>
      </c>
      <c r="D61" s="5" t="n">
        <v>2376</v>
      </c>
      <c r="E61" s="5" t="n">
        <v>2761.5</v>
      </c>
      <c r="F61" s="5" t="inlineStr">
        <is>
          <t>first, neutral pass put it on an object of another class</t>
        </is>
      </c>
      <c r="G61" s="5" t="n">
        <v>602</v>
      </c>
      <c r="H61" s="5" t="inlineStr">
        <is>
          <t>grade_beam</t>
        </is>
      </c>
      <c r="I61" s="5" t="n">
        <v>567</v>
      </c>
    </row>
    <row r="62">
      <c r="A62" s="5" t="n">
        <v>208</v>
      </c>
      <c r="B62" s="5" t="inlineStr">
        <is>
          <t>V1/128/128</t>
        </is>
      </c>
      <c r="C62" s="5" t="inlineStr">
        <is>
          <t>shear_wall</t>
        </is>
      </c>
      <c r="D62" s="5" t="n">
        <v>852.1</v>
      </c>
      <c r="E62" s="5" t="n">
        <v>2772.9</v>
      </c>
      <c r="F62" s="5" t="inlineStr">
        <is>
          <t>first, neutral pass put it on an object of another class</t>
        </is>
      </c>
      <c r="G62" s="5" t="n">
        <v>653</v>
      </c>
      <c r="H62" s="5" t="inlineStr">
        <is>
          <t>retaining_wall</t>
        </is>
      </c>
      <c r="I62" s="5" t="n">
        <v>617</v>
      </c>
    </row>
    <row r="63">
      <c r="A63" s="5" t="n">
        <v>209</v>
      </c>
      <c r="B63" s="5" t="inlineStr">
        <is>
          <t>V7/128/128</t>
        </is>
      </c>
      <c r="C63" s="5" t="inlineStr">
        <is>
          <t>shear_wall</t>
        </is>
      </c>
      <c r="D63" s="5" t="n">
        <v>1011.5</v>
      </c>
      <c r="E63" s="5" t="n">
        <v>2647.9</v>
      </c>
      <c r="F63" s="5" t="inlineStr">
        <is>
          <t>no object of its class within reach in the second pass</t>
        </is>
      </c>
      <c r="G63" s="5" t="n">
        <v>686</v>
      </c>
      <c r="H63" s="5" t="inlineStr">
        <is>
          <t>unidentified</t>
        </is>
      </c>
      <c r="I63" s="5" t="inlineStr">
        <is>
          <t>unmatched</t>
        </is>
      </c>
    </row>
    <row r="64">
      <c r="A64" s="5" t="n">
        <v>214</v>
      </c>
      <c r="B64" s="5" t="inlineStr">
        <is>
          <t>V6/128/128</t>
        </is>
      </c>
      <c r="C64" s="5" t="inlineStr">
        <is>
          <t>shear_wall</t>
        </is>
      </c>
      <c r="D64" s="5" t="n">
        <v>1766.7</v>
      </c>
      <c r="E64" s="5" t="n">
        <v>2455.2</v>
      </c>
      <c r="F64" s="5" t="inlineStr">
        <is>
          <t>first, neutral pass put it on an object of another class</t>
        </is>
      </c>
      <c r="G64" s="5" t="n">
        <v>655</v>
      </c>
      <c r="H64" s="5" t="inlineStr">
        <is>
          <t>isolated_footing</t>
        </is>
      </c>
      <c r="I64" s="5" t="n">
        <v>623</v>
      </c>
    </row>
    <row r="65">
      <c r="A65" s="5" t="n">
        <v>215</v>
      </c>
      <c r="B65" s="5" t="inlineStr">
        <is>
          <t>V6/128/128</t>
        </is>
      </c>
      <c r="C65" s="5" t="inlineStr">
        <is>
          <t>shear_wall</t>
        </is>
      </c>
      <c r="D65" s="5" t="n">
        <v>1465.6</v>
      </c>
      <c r="E65" s="5" t="n">
        <v>2275</v>
      </c>
      <c r="F65" s="5" t="inlineStr">
        <is>
          <t>first, neutral pass put it on an object of another class</t>
        </is>
      </c>
      <c r="G65" s="5" t="n">
        <v>664</v>
      </c>
      <c r="H65" s="5" t="inlineStr">
        <is>
          <t>grade_beam</t>
        </is>
      </c>
      <c r="I65" s="5" t="n">
        <v>622</v>
      </c>
    </row>
    <row r="66">
      <c r="A66" s="5" t="n">
        <v>216</v>
      </c>
      <c r="B66" s="5" t="inlineStr">
        <is>
          <t>V7a/128/128</t>
        </is>
      </c>
      <c r="C66" s="5" t="inlineStr">
        <is>
          <t>shear_wall</t>
        </is>
      </c>
      <c r="D66" s="5" t="n">
        <v>1681.3</v>
      </c>
      <c r="E66" s="5" t="n">
        <v>2708.3</v>
      </c>
      <c r="F66" s="5" t="inlineStr">
        <is>
          <t>first, neutral pass put it on an object of another class; no object of its class within reach in the second pass</t>
        </is>
      </c>
      <c r="G66" s="5" t="n">
        <v>638</v>
      </c>
      <c r="H66" s="5" t="inlineStr">
        <is>
          <t>core_wall</t>
        </is>
      </c>
      <c r="I66" s="5" t="inlineStr">
        <is>
          <t>unmatched</t>
        </is>
      </c>
    </row>
    <row r="67">
      <c r="A67" s="5" t="n">
        <v>222</v>
      </c>
      <c r="B67" s="5" t="inlineStr">
        <is>
          <t>V1/130/130</t>
        </is>
      </c>
      <c r="C67" s="5" t="inlineStr">
        <is>
          <t>shear_wall</t>
        </is>
      </c>
      <c r="D67" s="5" t="n">
        <v>884.4</v>
      </c>
      <c r="E67" s="5" t="n">
        <v>1258.3</v>
      </c>
      <c r="F67" s="5" t="inlineStr">
        <is>
          <t>first, neutral pass put it on an object of another class</t>
        </is>
      </c>
      <c r="G67" s="5" t="n">
        <v>932</v>
      </c>
      <c r="H67" s="5" t="inlineStr">
        <is>
          <t>grade_beam</t>
        </is>
      </c>
      <c r="I67" s="5" t="n">
        <v>880</v>
      </c>
    </row>
    <row r="68">
      <c r="A68" s="5" t="n">
        <v>223</v>
      </c>
      <c r="B68" s="5" t="inlineStr">
        <is>
          <t>V1/130/130</t>
        </is>
      </c>
      <c r="C68" s="5" t="inlineStr">
        <is>
          <t>shear_wall</t>
        </is>
      </c>
      <c r="D68" s="5" t="n">
        <v>634.4</v>
      </c>
      <c r="E68" s="5" t="n">
        <v>1245.8</v>
      </c>
      <c r="F68" s="5" t="inlineStr">
        <is>
          <t>first, neutral pass put it on an object of another class</t>
        </is>
      </c>
      <c r="G68" s="5" t="n">
        <v>914</v>
      </c>
      <c r="H68" s="5" t="inlineStr">
        <is>
          <t>isolated_footing</t>
        </is>
      </c>
      <c r="I68" s="5" t="n">
        <v>881</v>
      </c>
    </row>
    <row r="69">
      <c r="A69" s="5" t="n">
        <v>224</v>
      </c>
      <c r="B69" s="5" t="inlineStr">
        <is>
          <t>V3/130/130</t>
        </is>
      </c>
      <c r="C69" s="5" t="inlineStr">
        <is>
          <t>shear_wall</t>
        </is>
      </c>
      <c r="D69" s="5" t="n">
        <v>954.2</v>
      </c>
      <c r="E69" s="5" t="n">
        <v>1605.2</v>
      </c>
      <c r="F69" s="5" t="inlineStr">
        <is>
          <t>first, neutral pass put it on an object of another class</t>
        </is>
      </c>
      <c r="G69" s="5" t="n">
        <v>935</v>
      </c>
      <c r="H69" s="5" t="inlineStr">
        <is>
          <t>grade_beam</t>
        </is>
      </c>
      <c r="I69" s="5" t="n">
        <v>884</v>
      </c>
    </row>
    <row r="70">
      <c r="A70" s="5" t="n">
        <v>227</v>
      </c>
      <c r="B70" s="5" t="inlineStr">
        <is>
          <t>V1/129/129</t>
        </is>
      </c>
      <c r="C70" s="5" t="inlineStr">
        <is>
          <t>shear_wall</t>
        </is>
      </c>
      <c r="D70" s="5" t="n">
        <v>809.4</v>
      </c>
      <c r="E70" s="5" t="n">
        <v>1887.5</v>
      </c>
      <c r="F70" s="5" t="inlineStr">
        <is>
          <t>first, neutral pass put it on an object of another class</t>
        </is>
      </c>
      <c r="G70" s="5" t="n">
        <v>787</v>
      </c>
      <c r="H70" s="5" t="inlineStr">
        <is>
          <t>strip_footing</t>
        </is>
      </c>
      <c r="I70" s="5" t="n">
        <v>750</v>
      </c>
    </row>
    <row r="71">
      <c r="A71" s="5" t="n">
        <v>228</v>
      </c>
      <c r="B71" s="5" t="inlineStr">
        <is>
          <t>V1/129/129</t>
        </is>
      </c>
      <c r="C71" s="5" t="inlineStr">
        <is>
          <t>shear_wall</t>
        </is>
      </c>
      <c r="D71" s="5" t="n">
        <v>1042.7</v>
      </c>
      <c r="E71" s="5" t="n">
        <v>1827.1</v>
      </c>
      <c r="F71" s="5" t="inlineStr">
        <is>
          <t>first, neutral pass put it on an object of another class</t>
        </is>
      </c>
      <c r="G71" s="5" t="n">
        <v>799</v>
      </c>
      <c r="H71" s="5" t="inlineStr">
        <is>
          <t>grade_beam</t>
        </is>
      </c>
      <c r="I71" s="5" t="n">
        <v>752</v>
      </c>
    </row>
    <row r="72">
      <c r="A72" s="5" t="n">
        <v>230</v>
      </c>
      <c r="B72" s="5" t="inlineStr">
        <is>
          <t>V3/129/129</t>
        </is>
      </c>
      <c r="C72" s="5" t="inlineStr">
        <is>
          <t>shear_wall</t>
        </is>
      </c>
      <c r="D72" s="5" t="n">
        <v>1064.6</v>
      </c>
      <c r="E72" s="5" t="n">
        <v>2016.7</v>
      </c>
      <c r="F72" s="5" t="inlineStr">
        <is>
          <t>first, neutral pass put it on an object of another class</t>
        </is>
      </c>
      <c r="G72" s="5" t="n">
        <v>796</v>
      </c>
      <c r="H72" s="5" t="inlineStr">
        <is>
          <t>grade_beam</t>
        </is>
      </c>
      <c r="I72" s="5" t="n">
        <v>753</v>
      </c>
    </row>
    <row r="73">
      <c r="A73" s="5" t="n">
        <v>235</v>
      </c>
      <c r="B73" s="5" t="inlineStr">
        <is>
          <t>V9/128/128</t>
        </is>
      </c>
      <c r="C73" s="5" t="inlineStr">
        <is>
          <t>shear_wall</t>
        </is>
      </c>
      <c r="D73" s="5" t="n">
        <v>1438.5</v>
      </c>
      <c r="E73" s="5" t="n">
        <v>2241.7</v>
      </c>
      <c r="F73" s="5" t="inlineStr">
        <is>
          <t>first, neutral pass put it on an object of another class</t>
        </is>
      </c>
      <c r="G73" s="5" t="n">
        <v>797</v>
      </c>
      <c r="H73" s="5" t="inlineStr">
        <is>
          <t>grade_beam</t>
        </is>
      </c>
      <c r="I73" s="5" t="n">
        <v>625</v>
      </c>
    </row>
    <row r="74">
      <c r="A74" s="5" t="n">
        <v>236</v>
      </c>
      <c r="B74" s="5" t="inlineStr">
        <is>
          <t>V9/128/128</t>
        </is>
      </c>
      <c r="C74" s="5" t="inlineStr">
        <is>
          <t>shear_wall</t>
        </is>
      </c>
      <c r="D74" s="5" t="n">
        <v>1351</v>
      </c>
      <c r="E74" s="5" t="n">
        <v>2078.1</v>
      </c>
      <c r="F74" s="5" t="inlineStr">
        <is>
          <t>first, neutral pass put it on an object of another class</t>
        </is>
      </c>
      <c r="G74" s="5" t="n">
        <v>782</v>
      </c>
      <c r="H74" s="5" t="inlineStr">
        <is>
          <t>isolated_footing</t>
        </is>
      </c>
      <c r="I74" s="5" t="n">
        <v>627</v>
      </c>
    </row>
    <row r="75">
      <c r="A75" s="5" t="n">
        <v>237</v>
      </c>
      <c r="B75" s="5" t="inlineStr">
        <is>
          <t>V9/128/128</t>
        </is>
      </c>
      <c r="C75" s="5" t="inlineStr">
        <is>
          <t>shear_wall</t>
        </is>
      </c>
      <c r="D75" s="5" t="n">
        <v>1291.7</v>
      </c>
      <c r="E75" s="5" t="n">
        <v>1855.2</v>
      </c>
      <c r="F75" s="5" t="inlineStr">
        <is>
          <t>first, neutral pass put it on an object of another class</t>
        </is>
      </c>
      <c r="G75" s="5" t="n">
        <v>795</v>
      </c>
      <c r="H75" s="5" t="inlineStr">
        <is>
          <t>grade_beam</t>
        </is>
      </c>
      <c r="I75" s="5" t="n">
        <v>626</v>
      </c>
    </row>
    <row r="76">
      <c r="A76" s="5" t="n">
        <v>238</v>
      </c>
      <c r="B76" s="5" t="inlineStr">
        <is>
          <t>V9/128/128</t>
        </is>
      </c>
      <c r="C76" s="5" t="inlineStr">
        <is>
          <t>shear_wall</t>
        </is>
      </c>
      <c r="D76" s="5" t="n">
        <v>1267.7</v>
      </c>
      <c r="E76" s="5" t="n">
        <v>1769.8</v>
      </c>
      <c r="F76" s="5" t="inlineStr">
        <is>
          <t>first, neutral pass put it on an object of another class</t>
        </is>
      </c>
      <c r="G76" s="5" t="n">
        <v>795</v>
      </c>
      <c r="H76" s="5" t="inlineStr">
        <is>
          <t>grade_beam</t>
        </is>
      </c>
      <c r="I76" s="5" t="n">
        <v>628</v>
      </c>
    </row>
    <row r="77">
      <c r="A77" s="5" t="n">
        <v>239</v>
      </c>
      <c r="B77" s="5" t="inlineStr">
        <is>
          <t>S0 (240x240x60)</t>
        </is>
      </c>
      <c r="C77" s="5" t="inlineStr">
        <is>
          <t>isolated_footing</t>
        </is>
      </c>
      <c r="D77" s="5" t="n">
        <v>2266.7</v>
      </c>
      <c r="E77" s="5" t="n">
        <v>2557.3</v>
      </c>
      <c r="F77" s="5" t="inlineStr">
        <is>
          <t>first, neutral pass put it on an object of another class</t>
        </is>
      </c>
      <c r="G77" s="5" t="n">
        <v>596</v>
      </c>
      <c r="H77" s="5" t="inlineStr">
        <is>
          <t>strip_footing</t>
        </is>
      </c>
      <c r="I77" s="5" t="n">
        <v>585</v>
      </c>
    </row>
    <row r="78">
      <c r="A78" s="5" t="n">
        <v>240</v>
      </c>
      <c r="B78" s="5" t="inlineStr">
        <is>
          <t>S0 (240x240x60)</t>
        </is>
      </c>
      <c r="C78" s="5" t="inlineStr">
        <is>
          <t>isolated_footing</t>
        </is>
      </c>
      <c r="D78" s="5" t="n">
        <v>2425</v>
      </c>
      <c r="E78" s="5" t="n">
        <v>2636.5</v>
      </c>
      <c r="F78" s="5" t="inlineStr">
        <is>
          <t>first, neutral pass put it on an object of another class</t>
        </is>
      </c>
      <c r="G78" s="5" t="n">
        <v>596</v>
      </c>
      <c r="H78" s="5" t="inlineStr">
        <is>
          <t>strip_footing</t>
        </is>
      </c>
      <c r="I78" s="5" t="n">
        <v>587</v>
      </c>
    </row>
    <row r="79">
      <c r="A79" s="5" t="n">
        <v>255</v>
      </c>
      <c r="B79" s="5" t="inlineStr">
        <is>
          <t>P1/124/124</t>
        </is>
      </c>
      <c r="C79" s="5" t="inlineStr">
        <is>
          <t>column</t>
        </is>
      </c>
      <c r="D79" s="5" t="n">
        <v>4101</v>
      </c>
      <c r="E79" s="5" t="n">
        <v>3199</v>
      </c>
      <c r="F79" s="5" t="inlineStr">
        <is>
          <t>first, neutral pass put it on an object of another class</t>
        </is>
      </c>
      <c r="G79" s="5" t="n">
        <v>441</v>
      </c>
      <c r="H79" s="5" t="inlineStr">
        <is>
          <t>grade_beam</t>
        </is>
      </c>
      <c r="I79" s="5" t="n">
        <v>389</v>
      </c>
    </row>
    <row r="80">
      <c r="A80" s="5" t="n">
        <v>256</v>
      </c>
      <c r="B80" s="5" t="inlineStr">
        <is>
          <t>P1/124/124</t>
        </is>
      </c>
      <c r="C80" s="5" t="inlineStr">
        <is>
          <t>column</t>
        </is>
      </c>
      <c r="D80" s="5" t="n">
        <v>4036.5</v>
      </c>
      <c r="E80" s="5" t="n">
        <v>3341.7</v>
      </c>
      <c r="F80" s="5" t="inlineStr">
        <is>
          <t>first, neutral pass put it on an object of another class</t>
        </is>
      </c>
      <c r="G80" s="5" t="n">
        <v>414</v>
      </c>
      <c r="H80" s="5" t="inlineStr">
        <is>
          <t>core_wall</t>
        </is>
      </c>
      <c r="I80" s="5" t="n">
        <v>390</v>
      </c>
    </row>
    <row r="81">
      <c r="A81" s="5" t="n">
        <v>262</v>
      </c>
      <c r="B81" s="5" t="inlineStr">
        <is>
          <t>P1/127/127</t>
        </is>
      </c>
      <c r="C81" s="5" t="inlineStr">
        <is>
          <t>column</t>
        </is>
      </c>
      <c r="D81" s="5" t="n">
        <v>2324</v>
      </c>
      <c r="E81" s="5" t="n">
        <v>3061.5</v>
      </c>
      <c r="F81" s="5" t="inlineStr">
        <is>
          <t>first, neutral pass put it on an object of another class</t>
        </is>
      </c>
      <c r="G81" s="5" t="n">
        <v>592</v>
      </c>
      <c r="H81" s="5" t="inlineStr">
        <is>
          <t>isolated_footing</t>
        </is>
      </c>
      <c r="I81" s="5" t="n">
        <v>555</v>
      </c>
    </row>
    <row r="82">
      <c r="A82" s="5" t="n">
        <v>273</v>
      </c>
      <c r="B82" s="5" t="inlineStr">
        <is>
          <t>S20-130</t>
        </is>
      </c>
      <c r="C82" s="5" t="inlineStr">
        <is>
          <t>isolated_footing</t>
        </is>
      </c>
      <c r="D82" s="5" t="n">
        <v>754.2</v>
      </c>
      <c r="E82" s="5" t="n">
        <v>1320.8</v>
      </c>
      <c r="F82" s="5" t="inlineStr">
        <is>
          <t>first, neutral pass put it on an object of another class</t>
        </is>
      </c>
      <c r="G82" s="5" t="n">
        <v>890</v>
      </c>
      <c r="H82" s="5" t="inlineStr">
        <is>
          <t>core_wall</t>
        </is>
      </c>
      <c r="I82" s="5" t="n">
        <v>917</v>
      </c>
    </row>
    <row r="83">
      <c r="A83" s="5" t="n">
        <v>275</v>
      </c>
      <c r="B83" s="5" t="inlineStr">
        <is>
          <t>P3/130/130</t>
        </is>
      </c>
      <c r="C83" s="5" t="inlineStr">
        <is>
          <t>column</t>
        </is>
      </c>
      <c r="D83" s="5" t="n">
        <v>627.1</v>
      </c>
      <c r="E83" s="5" t="n">
        <v>1336.5</v>
      </c>
      <c r="F83" s="5" t="inlineStr">
        <is>
          <t>first, neutral pass put it on an object of another class</t>
        </is>
      </c>
      <c r="G83" s="5" t="n">
        <v>907</v>
      </c>
      <c r="H83" s="5" t="inlineStr">
        <is>
          <t>retaining_wall</t>
        </is>
      </c>
      <c r="I83" s="5" t="n">
        <v>878</v>
      </c>
    </row>
    <row r="84">
      <c r="A84" s="5" t="n">
        <v>276</v>
      </c>
      <c r="B84" s="5" t="inlineStr">
        <is>
          <t>P3/130/130</t>
        </is>
      </c>
      <c r="C84" s="5" t="inlineStr">
        <is>
          <t>column</t>
        </is>
      </c>
      <c r="D84" s="5" t="n">
        <v>716.7</v>
      </c>
      <c r="E84" s="5" t="n">
        <v>1311.5</v>
      </c>
      <c r="F84" s="5" t="inlineStr">
        <is>
          <t>first, neutral pass put it on an object of another class</t>
        </is>
      </c>
      <c r="G84" s="5" t="n">
        <v>936</v>
      </c>
      <c r="H84" s="5" t="inlineStr">
        <is>
          <t>grade_beam</t>
        </is>
      </c>
      <c r="I84" s="5" t="n">
        <v>877</v>
      </c>
    </row>
    <row r="85">
      <c r="A85" s="5" t="n">
        <v>289</v>
      </c>
      <c r="B85" s="5" t="inlineStr">
        <is>
          <t>LG-40x15</t>
        </is>
      </c>
      <c r="C85" s="5" t="inlineStr">
        <is>
          <t>grade_beam</t>
        </is>
      </c>
      <c r="D85" s="5" t="n">
        <v>4680.2</v>
      </c>
      <c r="E85" s="5" t="n">
        <v>2988.5</v>
      </c>
      <c r="F85" s="5" t="inlineStr">
        <is>
          <t>first, neutral pass put it on an object of another class; no object of its class within reach in the second pass</t>
        </is>
      </c>
      <c r="G85" s="5" t="n">
        <v>344</v>
      </c>
      <c r="H85" s="5" t="inlineStr">
        <is>
          <t>core_wall</t>
        </is>
      </c>
      <c r="I85" s="5" t="inlineStr">
        <is>
          <t>unmatched</t>
        </is>
      </c>
    </row>
    <row r="86">
      <c r="A86" s="5" t="n">
        <v>291</v>
      </c>
      <c r="B86" s="5" t="inlineStr">
        <is>
          <t>LG-40x15</t>
        </is>
      </c>
      <c r="C86" s="5" t="inlineStr">
        <is>
          <t>grade_beam</t>
        </is>
      </c>
      <c r="D86" s="5" t="n">
        <v>4355.2</v>
      </c>
      <c r="E86" s="5" t="n">
        <v>3050</v>
      </c>
      <c r="F86" s="5" t="inlineStr">
        <is>
          <t>no object of its class within reach in the second pass</t>
        </is>
      </c>
      <c r="G86" s="5" t="inlineStr">
        <is>
          <t>unmatched</t>
        </is>
      </c>
      <c r="H86" s="5" t="inlineStr"/>
      <c r="I86" s="5" t="inlineStr">
        <is>
          <t>unmatched</t>
        </is>
      </c>
    </row>
    <row r="87">
      <c r="A87" s="5" t="n">
        <v>355</v>
      </c>
      <c r="B87" s="5" t="inlineStr">
        <is>
          <t>LG-40x15</t>
        </is>
      </c>
      <c r="C87" s="5" t="inlineStr">
        <is>
          <t>grade_beam</t>
        </is>
      </c>
      <c r="D87" s="5" t="n">
        <v>2436.5</v>
      </c>
      <c r="E87" s="5" t="n">
        <v>2682.3</v>
      </c>
      <c r="F87" s="5" t="inlineStr">
        <is>
          <t>first, neutral pass put it on an object of another class</t>
        </is>
      </c>
      <c r="G87" s="5" t="n">
        <v>587</v>
      </c>
      <c r="H87" s="5" t="inlineStr">
        <is>
          <t>isolated_footing</t>
        </is>
      </c>
      <c r="I87" s="5" t="n">
        <v>602</v>
      </c>
    </row>
    <row r="88">
      <c r="A88" s="5" t="n">
        <v>363</v>
      </c>
      <c r="B88" s="5" t="inlineStr">
        <is>
          <t>LG 25x40</t>
        </is>
      </c>
      <c r="C88" s="5" t="inlineStr">
        <is>
          <t>grade_beam</t>
        </is>
      </c>
      <c r="D88" s="5" t="n">
        <v>4257.3</v>
      </c>
      <c r="E88" s="5" t="n">
        <v>3254.2</v>
      </c>
      <c r="F88" s="5" t="inlineStr">
        <is>
          <t>no object of its class within reach in the second pass</t>
        </is>
      </c>
      <c r="G88" s="5" t="inlineStr">
        <is>
          <t>unmatched</t>
        </is>
      </c>
      <c r="H88" s="5" t="inlineStr"/>
      <c r="I88" s="5" t="inlineStr">
        <is>
          <t>unmatched</t>
        </is>
      </c>
    </row>
    <row r="89">
      <c r="A89" s="5" t="n">
        <v>365</v>
      </c>
      <c r="B89" s="5" t="inlineStr">
        <is>
          <t>LG-40x15</t>
        </is>
      </c>
      <c r="C89" s="5" t="inlineStr">
        <is>
          <t>grade_beam</t>
        </is>
      </c>
      <c r="D89" s="5" t="n">
        <v>4179.2</v>
      </c>
      <c r="E89" s="5" t="n">
        <v>2840.6</v>
      </c>
      <c r="F89" s="5" t="inlineStr">
        <is>
          <t>first, neutral pass put it on an object of another class; no object of its class within reach in the second pass</t>
        </is>
      </c>
      <c r="G89" s="5" t="n">
        <v>247</v>
      </c>
      <c r="H89" s="5" t="inlineStr">
        <is>
          <t>combined_footing</t>
        </is>
      </c>
      <c r="I89" s="5" t="inlineStr">
        <is>
          <t>unmatched</t>
        </is>
      </c>
    </row>
    <row r="90">
      <c r="A90" s="5" t="n">
        <v>366</v>
      </c>
      <c r="B90" s="5" t="inlineStr">
        <is>
          <t>LG-40x15</t>
        </is>
      </c>
      <c r="C90" s="5" t="inlineStr">
        <is>
          <t>grade_beam</t>
        </is>
      </c>
      <c r="D90" s="5" t="n">
        <v>4045.8</v>
      </c>
      <c r="E90" s="5" t="n">
        <v>3200</v>
      </c>
      <c r="F90" s="5" t="inlineStr">
        <is>
          <t>first, neutral pass put it on an object of another class</t>
        </is>
      </c>
      <c r="G90" s="5" t="n">
        <v>389</v>
      </c>
      <c r="H90" s="5" t="inlineStr">
        <is>
          <t>column</t>
        </is>
      </c>
      <c r="I90" s="5" t="n">
        <v>441</v>
      </c>
    </row>
    <row r="91">
      <c r="A91" s="5" t="n">
        <v>475</v>
      </c>
      <c r="B91" s="5" t="inlineStr">
        <is>
          <t>LG-25x40</t>
        </is>
      </c>
      <c r="C91" s="5" t="inlineStr">
        <is>
          <t>grade_beam</t>
        </is>
      </c>
      <c r="D91" s="5" t="n">
        <v>4307.3</v>
      </c>
      <c r="E91" s="5" t="n">
        <v>3477.1</v>
      </c>
      <c r="F91" s="5" t="inlineStr">
        <is>
          <t>no object of its class within reach in the second pass</t>
        </is>
      </c>
      <c r="G91" s="5" t="n">
        <v>448</v>
      </c>
      <c r="H91" s="5" t="inlineStr">
        <is>
          <t>unidentified</t>
        </is>
      </c>
      <c r="I91" s="5" t="inlineStr">
        <is>
          <t>unmatched</t>
        </is>
      </c>
    </row>
    <row r="92">
      <c r="A92" s="5" t="n">
        <v>484</v>
      </c>
      <c r="B92" s="5" t="inlineStr">
        <is>
          <t>LG-40x15</t>
        </is>
      </c>
      <c r="C92" s="5" t="inlineStr">
        <is>
          <t>grade_beam</t>
        </is>
      </c>
      <c r="D92" s="5" t="n">
        <v>2134.4</v>
      </c>
      <c r="E92" s="5" t="n">
        <v>2632.3</v>
      </c>
      <c r="F92" s="5" t="inlineStr">
        <is>
          <t>first, neutral pass put it on an object of another class</t>
        </is>
      </c>
      <c r="G92" s="5" t="n">
        <v>593</v>
      </c>
      <c r="H92" s="5" t="inlineStr">
        <is>
          <t>isolated_footing</t>
        </is>
      </c>
      <c r="I92" s="5" t="n">
        <v>599</v>
      </c>
    </row>
    <row r="93">
      <c r="A93" s="5" t="n">
        <v>487</v>
      </c>
      <c r="B93" s="5" t="inlineStr">
        <is>
          <t>LG-40x15</t>
        </is>
      </c>
      <c r="C93" s="5" t="inlineStr">
        <is>
          <t>grade_beam</t>
        </is>
      </c>
      <c r="D93" s="5" t="n">
        <v>733.3</v>
      </c>
      <c r="E93" s="5" t="n">
        <v>1303.1</v>
      </c>
      <c r="F93" s="5" t="inlineStr">
        <is>
          <t>first, neutral pass put it on an object of another class</t>
        </is>
      </c>
      <c r="G93" s="5" t="n">
        <v>917</v>
      </c>
      <c r="H93" s="5" t="inlineStr">
        <is>
          <t>isolated_footing</t>
        </is>
      </c>
      <c r="I93" s="5" t="n">
        <v>936</v>
      </c>
    </row>
    <row r="94">
      <c r="A94" s="5" t="n">
        <v>495</v>
      </c>
      <c r="B94" s="5" t="inlineStr">
        <is>
          <t>SF1 80x25</t>
        </is>
      </c>
      <c r="C94" s="5" t="inlineStr">
        <is>
          <t>strip_footing</t>
        </is>
      </c>
      <c r="D94" s="5" t="n">
        <v>4780.2</v>
      </c>
      <c r="E94" s="5" t="n">
        <v>1862.5</v>
      </c>
      <c r="F94" s="5" t="inlineStr">
        <is>
          <t>first, neutral pass put it on an object of another class; no object of its class within reach in the second pass</t>
        </is>
      </c>
      <c r="G94" s="5" t="n">
        <v>151</v>
      </c>
      <c r="H94" s="5" t="inlineStr">
        <is>
          <t>sump_pit</t>
        </is>
      </c>
      <c r="I94" s="5" t="inlineStr">
        <is>
          <t>unmatched</t>
        </is>
      </c>
    </row>
    <row r="95">
      <c r="A95" s="5" t="n">
        <v>511</v>
      </c>
      <c r="B95" s="5" t="inlineStr">
        <is>
          <t>SF4- 120x25</t>
        </is>
      </c>
      <c r="C95" s="5" t="inlineStr">
        <is>
          <t>strip_footing</t>
        </is>
      </c>
      <c r="D95" s="5" t="n">
        <v>4658.3</v>
      </c>
      <c r="E95" s="5" t="n">
        <v>2132.3</v>
      </c>
      <c r="F95" s="5" t="inlineStr">
        <is>
          <t>first, neutral pass put it on an object of another class</t>
        </is>
      </c>
      <c r="G95" s="5" t="n">
        <v>98</v>
      </c>
      <c r="H95" s="5" t="inlineStr">
        <is>
          <t>core_wall</t>
        </is>
      </c>
      <c r="I95" s="5" t="n">
        <v>257</v>
      </c>
    </row>
    <row r="96">
      <c r="A96" s="5" t="n">
        <v>512</v>
      </c>
      <c r="B96" s="5" t="inlineStr">
        <is>
          <t>SF4- 120x25</t>
        </is>
      </c>
      <c r="C96" s="5" t="inlineStr">
        <is>
          <t>strip_footing</t>
        </is>
      </c>
      <c r="D96" s="5" t="n">
        <v>1109.4</v>
      </c>
      <c r="E96" s="5" t="n">
        <v>2508.3</v>
      </c>
      <c r="F96" s="5" t="inlineStr">
        <is>
          <t>no object of its class within reach in the second pass</t>
        </is>
      </c>
      <c r="G96" s="5" t="n">
        <v>810</v>
      </c>
      <c r="H96" s="5" t="inlineStr">
        <is>
          <t>unidentified</t>
        </is>
      </c>
      <c r="I96" s="5" t="inlineStr">
        <is>
          <t>unmatched</t>
        </is>
      </c>
    </row>
    <row r="97">
      <c r="A97" s="5" t="n">
        <v>527</v>
      </c>
      <c r="B97" s="5" t="inlineStr">
        <is>
          <t>FOSSE DE RELEVAGE2.00x1.50x1.50</t>
        </is>
      </c>
      <c r="C97" s="5" t="inlineStr">
        <is>
          <t>sump_pit</t>
        </is>
      </c>
      <c r="D97" s="5" t="n">
        <v>4681.2</v>
      </c>
      <c r="E97" s="5" t="n">
        <v>1870.8</v>
      </c>
      <c r="F97" s="5" t="inlineStr">
        <is>
          <t>first, neutral pass put it on an object of another class</t>
        </is>
      </c>
      <c r="G97" s="5" t="n">
        <v>104</v>
      </c>
      <c r="H97" s="5" t="inlineStr">
        <is>
          <t>core_wall</t>
        </is>
      </c>
      <c r="I97" s="5" t="n">
        <v>151</v>
      </c>
    </row>
    <row r="98">
      <c r="A98" s="5" t="n">
        <v>528</v>
      </c>
      <c r="B98" s="5" t="inlineStr">
        <is>
          <t>RADIER</t>
        </is>
      </c>
      <c r="C98" s="5" t="inlineStr">
        <is>
          <t>raft</t>
        </is>
      </c>
      <c r="D98" s="5" t="n">
        <v>4747.9</v>
      </c>
      <c r="E98" s="5" t="n">
        <v>1854.2</v>
      </c>
      <c r="F98" s="5" t="inlineStr">
        <is>
          <t>first, neutral pass put it on an object of another class; no object of its class within reach in the second pass</t>
        </is>
      </c>
      <c r="G98" s="5" t="n">
        <v>114</v>
      </c>
      <c r="H98" s="5" t="inlineStr">
        <is>
          <t>retaining_wall</t>
        </is>
      </c>
      <c r="I98" s="5" t="inlineStr">
        <is>
          <t>unmatched</t>
        </is>
      </c>
    </row>
    <row r="99">
      <c r="A99" s="5" t="n">
        <v>530</v>
      </c>
      <c r="B99" s="5" t="inlineStr">
        <is>
          <t>RADIER</t>
        </is>
      </c>
      <c r="C99" s="5" t="inlineStr">
        <is>
          <t>raft</t>
        </is>
      </c>
      <c r="D99" s="5" t="n">
        <v>4989.6</v>
      </c>
      <c r="E99" s="5" t="n">
        <v>3245.8</v>
      </c>
      <c r="F99" s="5" t="inlineStr">
        <is>
          <t>first, neutral pass put it on an object of another class; no object of its class within reach in the second pass</t>
        </is>
      </c>
      <c r="G99" s="5" t="n">
        <v>341</v>
      </c>
      <c r="H99" s="5" t="inlineStr">
        <is>
          <t>core_wall</t>
        </is>
      </c>
      <c r="I99" s="5" t="inlineStr">
        <is>
          <t>unmatched</t>
        </is>
      </c>
    </row>
    <row r="100">
      <c r="A100" s="5" t="n">
        <v>532</v>
      </c>
      <c r="B100" s="5" t="inlineStr">
        <is>
          <t>RADIER</t>
        </is>
      </c>
      <c r="C100" s="5" t="inlineStr">
        <is>
          <t>raft</t>
        </is>
      </c>
      <c r="D100" s="5" t="n">
        <v>2641.7</v>
      </c>
      <c r="E100" s="5" t="n">
        <v>3382.3</v>
      </c>
      <c r="F100" s="5" t="inlineStr">
        <is>
          <t>first, neutral pass put it on an object of another class; no object of its class within reach in the second pass</t>
        </is>
      </c>
      <c r="G100" s="5" t="n">
        <v>514</v>
      </c>
      <c r="H100" s="5" t="inlineStr">
        <is>
          <t>strip_footing</t>
        </is>
      </c>
      <c r="I100" s="5" t="inlineStr">
        <is>
          <t>unmatched</t>
        </is>
      </c>
    </row>
    <row r="101">
      <c r="A101" s="5" t="n">
        <v>534</v>
      </c>
      <c r="B101" s="5" t="inlineStr">
        <is>
          <t>RADIER</t>
        </is>
      </c>
      <c r="C101" s="5" t="inlineStr">
        <is>
          <t>raft</t>
        </is>
      </c>
      <c r="D101" s="5" t="n">
        <v>1497.9</v>
      </c>
      <c r="E101" s="5" t="n">
        <v>2808.3</v>
      </c>
      <c r="F101" s="5" t="inlineStr">
        <is>
          <t>first, neutral pass put it on an object of another class; no object of its class within reach in the second pass</t>
        </is>
      </c>
      <c r="G101" s="5" t="n">
        <v>648</v>
      </c>
      <c r="H101" s="5" t="inlineStr">
        <is>
          <t>retaining_wall</t>
        </is>
      </c>
      <c r="I101" s="5" t="inlineStr">
        <is>
          <t>unmatched</t>
        </is>
      </c>
    </row>
    <row r="102">
      <c r="A102" s="5" t="n">
        <v>537</v>
      </c>
      <c r="B102" s="5" t="inlineStr">
        <is>
          <t>RADIER</t>
        </is>
      </c>
      <c r="C102" s="5" t="inlineStr">
        <is>
          <t>raft</t>
        </is>
      </c>
      <c r="D102" s="5" t="n">
        <v>962.5</v>
      </c>
      <c r="E102" s="5" t="n">
        <v>1096.9</v>
      </c>
      <c r="F102" s="5" t="inlineStr">
        <is>
          <t>first, neutral pass put it on an object of another class; no object of its class within reach in the second pass</t>
        </is>
      </c>
      <c r="G102" s="5" t="n">
        <v>894</v>
      </c>
      <c r="H102" s="5" t="inlineStr">
        <is>
          <t>core_wall</t>
        </is>
      </c>
      <c r="I102" s="5" t="inlineStr">
        <is>
          <t>unmatched</t>
        </is>
      </c>
    </row>
    <row r="103">
      <c r="A103" s="5" t="n">
        <v>538</v>
      </c>
      <c r="B103" s="5" t="inlineStr">
        <is>
          <t>RADIER 190CM</t>
        </is>
      </c>
      <c r="C103" s="5" t="inlineStr">
        <is>
          <t>raft</t>
        </is>
      </c>
      <c r="D103" s="5" t="n">
        <v>1040.6</v>
      </c>
      <c r="E103" s="5" t="n">
        <v>1269.8</v>
      </c>
      <c r="F103" s="5" t="inlineStr">
        <is>
          <t>no object of its class within reach in the second pass</t>
        </is>
      </c>
      <c r="G103" s="5" t="inlineStr">
        <is>
          <t>unmatched</t>
        </is>
      </c>
      <c r="H103" s="5" t="inlineStr"/>
      <c r="I103" s="5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Geometric classes against the verified (colour-based) detections</t>
        </is>
      </c>
    </row>
    <row r="3" ht="30" customHeight="1">
      <c r="A3" s="4" t="inlineStr">
        <is>
          <t>Verified class</t>
        </is>
      </c>
      <c r="B3" s="4" t="inlineStr">
        <is>
          <t>column</t>
        </is>
      </c>
      <c r="C3" s="4" t="inlineStr">
        <is>
          <t>shear_wall</t>
        </is>
      </c>
      <c r="D3" s="4" t="inlineStr">
        <is>
          <t>retaining_wall</t>
        </is>
      </c>
      <c r="E3" s="4" t="inlineStr">
        <is>
          <t>isolated_footing</t>
        </is>
      </c>
      <c r="F3" s="4" t="inlineStr">
        <is>
          <t>combined_footing</t>
        </is>
      </c>
      <c r="G3" s="4" t="inlineStr">
        <is>
          <t>strip_footing</t>
        </is>
      </c>
      <c r="H3" s="4" t="inlineStr">
        <is>
          <t>grade_beam</t>
        </is>
      </c>
      <c r="I3" s="4" t="inlineStr">
        <is>
          <t>raft</t>
        </is>
      </c>
      <c r="J3" s="4" t="inlineStr">
        <is>
          <t>sump_pit</t>
        </is>
      </c>
      <c r="K3" s="4" t="inlineStr">
        <is>
          <t>unidentified</t>
        </is>
      </c>
      <c r="L3" s="4" t="inlineStr">
        <is>
          <t>Not found</t>
        </is>
      </c>
      <c r="M3" s="4" t="inlineStr">
        <is>
          <t>Total</t>
        </is>
      </c>
      <c r="N3" s="4" t="inlineStr">
        <is>
          <t>Correct</t>
        </is>
      </c>
    </row>
    <row r="4">
      <c r="A4" s="5" t="inlineStr">
        <is>
          <t>column</t>
        </is>
      </c>
      <c r="B4" s="5">
        <f>COUNTIFS(Objects!$AE$2:$AE$947,$A4,Objects!$F$2:$F$947,B$3)</f>
        <v/>
      </c>
      <c r="C4" s="5">
        <f>COUNTIFS(Objects!$AE$2:$AE$947,$A4,Objects!$F$2:$F$947,C$3)</f>
        <v/>
      </c>
      <c r="D4" s="5">
        <f>COUNTIFS(Objects!$AE$2:$AE$947,$A4,Objects!$F$2:$F$947,D$3)</f>
        <v/>
      </c>
      <c r="E4" s="5">
        <f>COUNTIFS(Objects!$AE$2:$AE$947,$A4,Objects!$F$2:$F$947,E$3)</f>
        <v/>
      </c>
      <c r="F4" s="5">
        <f>COUNTIFS(Objects!$AE$2:$AE$947,$A4,Objects!$F$2:$F$947,F$3)</f>
        <v/>
      </c>
      <c r="G4" s="5">
        <f>COUNTIFS(Objects!$AE$2:$AE$947,$A4,Objects!$F$2:$F$947,G$3)</f>
        <v/>
      </c>
      <c r="H4" s="5">
        <f>COUNTIFS(Objects!$AE$2:$AE$947,$A4,Objects!$F$2:$F$947,H$3)</f>
        <v/>
      </c>
      <c r="I4" s="5">
        <f>COUNTIFS(Objects!$AE$2:$AE$947,$A4,Objects!$F$2:$F$947,I$3)</f>
        <v/>
      </c>
      <c r="J4" s="5">
        <f>COUNTIFS(Objects!$AE$2:$AE$947,$A4,Objects!$F$2:$F$947,J$3)</f>
        <v/>
      </c>
      <c r="K4" s="5">
        <f>COUNTIFS(Objects!$AE$2:$AE$947,$A4,Objects!$F$2:$F$947,K$3)</f>
        <v/>
      </c>
      <c r="L4" s="5" t="n">
        <v>0</v>
      </c>
      <c r="M4" s="7">
        <f>SUM(B4:L4)</f>
        <v/>
      </c>
      <c r="N4" s="12">
        <f>IFERROR(B4/M4,0)</f>
        <v/>
      </c>
    </row>
    <row r="5">
      <c r="A5" s="5" t="inlineStr">
        <is>
          <t>shear_wall</t>
        </is>
      </c>
      <c r="B5" s="5">
        <f>COUNTIFS(Objects!$AE$2:$AE$947,$A5,Objects!$F$2:$F$947,B$3)</f>
        <v/>
      </c>
      <c r="C5" s="5">
        <f>COUNTIFS(Objects!$AE$2:$AE$947,$A5,Objects!$F$2:$F$947,C$3)</f>
        <v/>
      </c>
      <c r="D5" s="5">
        <f>COUNTIFS(Objects!$AE$2:$AE$947,$A5,Objects!$F$2:$F$947,D$3)</f>
        <v/>
      </c>
      <c r="E5" s="5">
        <f>COUNTIFS(Objects!$AE$2:$AE$947,$A5,Objects!$F$2:$F$947,E$3)</f>
        <v/>
      </c>
      <c r="F5" s="5">
        <f>COUNTIFS(Objects!$AE$2:$AE$947,$A5,Objects!$F$2:$F$947,F$3)</f>
        <v/>
      </c>
      <c r="G5" s="5">
        <f>COUNTIFS(Objects!$AE$2:$AE$947,$A5,Objects!$F$2:$F$947,G$3)</f>
        <v/>
      </c>
      <c r="H5" s="5">
        <f>COUNTIFS(Objects!$AE$2:$AE$947,$A5,Objects!$F$2:$F$947,H$3)</f>
        <v/>
      </c>
      <c r="I5" s="5">
        <f>COUNTIFS(Objects!$AE$2:$AE$947,$A5,Objects!$F$2:$F$947,I$3)</f>
        <v/>
      </c>
      <c r="J5" s="5">
        <f>COUNTIFS(Objects!$AE$2:$AE$947,$A5,Objects!$F$2:$F$947,J$3)</f>
        <v/>
      </c>
      <c r="K5" s="5">
        <f>COUNTIFS(Objects!$AE$2:$AE$947,$A5,Objects!$F$2:$F$947,K$3)</f>
        <v/>
      </c>
      <c r="L5" s="5" t="n">
        <v>0</v>
      </c>
      <c r="M5" s="7">
        <f>SUM(B5:L5)</f>
        <v/>
      </c>
      <c r="N5" s="12">
        <f>IFERROR(C5/M5,0)</f>
        <v/>
      </c>
    </row>
    <row r="6">
      <c r="A6" s="5" t="inlineStr">
        <is>
          <t>retaining_wall</t>
        </is>
      </c>
      <c r="B6" s="5">
        <f>COUNTIFS(Objects!$AE$2:$AE$947,$A6,Objects!$F$2:$F$947,B$3)</f>
        <v/>
      </c>
      <c r="C6" s="5">
        <f>COUNTIFS(Objects!$AE$2:$AE$947,$A6,Objects!$F$2:$F$947,C$3)</f>
        <v/>
      </c>
      <c r="D6" s="5">
        <f>COUNTIFS(Objects!$AE$2:$AE$947,$A6,Objects!$F$2:$F$947,D$3)</f>
        <v/>
      </c>
      <c r="E6" s="5">
        <f>COUNTIFS(Objects!$AE$2:$AE$947,$A6,Objects!$F$2:$F$947,E$3)</f>
        <v/>
      </c>
      <c r="F6" s="5">
        <f>COUNTIFS(Objects!$AE$2:$AE$947,$A6,Objects!$F$2:$F$947,F$3)</f>
        <v/>
      </c>
      <c r="G6" s="5">
        <f>COUNTIFS(Objects!$AE$2:$AE$947,$A6,Objects!$F$2:$F$947,G$3)</f>
        <v/>
      </c>
      <c r="H6" s="5">
        <f>COUNTIFS(Objects!$AE$2:$AE$947,$A6,Objects!$F$2:$F$947,H$3)</f>
        <v/>
      </c>
      <c r="I6" s="5">
        <f>COUNTIFS(Objects!$AE$2:$AE$947,$A6,Objects!$F$2:$F$947,I$3)</f>
        <v/>
      </c>
      <c r="J6" s="5">
        <f>COUNTIFS(Objects!$AE$2:$AE$947,$A6,Objects!$F$2:$F$947,J$3)</f>
        <v/>
      </c>
      <c r="K6" s="5">
        <f>COUNTIFS(Objects!$AE$2:$AE$947,$A6,Objects!$F$2:$F$947,K$3)</f>
        <v/>
      </c>
      <c r="L6" s="5" t="n">
        <v>0</v>
      </c>
      <c r="M6" s="7">
        <f>SUM(B6:L6)</f>
        <v/>
      </c>
      <c r="N6" s="12">
        <f>IFERROR(D6/M6,0)</f>
        <v/>
      </c>
    </row>
    <row r="7">
      <c r="A7" s="5" t="inlineStr">
        <is>
          <t>isolated_footing</t>
        </is>
      </c>
      <c r="B7" s="5">
        <f>COUNTIFS(Objects!$AE$2:$AE$947,$A7,Objects!$F$2:$F$947,B$3)</f>
        <v/>
      </c>
      <c r="C7" s="5">
        <f>COUNTIFS(Objects!$AE$2:$AE$947,$A7,Objects!$F$2:$F$947,C$3)</f>
        <v/>
      </c>
      <c r="D7" s="5">
        <f>COUNTIFS(Objects!$AE$2:$AE$947,$A7,Objects!$F$2:$F$947,D$3)</f>
        <v/>
      </c>
      <c r="E7" s="5">
        <f>COUNTIFS(Objects!$AE$2:$AE$947,$A7,Objects!$F$2:$F$947,E$3)</f>
        <v/>
      </c>
      <c r="F7" s="5">
        <f>COUNTIFS(Objects!$AE$2:$AE$947,$A7,Objects!$F$2:$F$947,F$3)</f>
        <v/>
      </c>
      <c r="G7" s="5">
        <f>COUNTIFS(Objects!$AE$2:$AE$947,$A7,Objects!$F$2:$F$947,G$3)</f>
        <v/>
      </c>
      <c r="H7" s="5">
        <f>COUNTIFS(Objects!$AE$2:$AE$947,$A7,Objects!$F$2:$F$947,H$3)</f>
        <v/>
      </c>
      <c r="I7" s="5">
        <f>COUNTIFS(Objects!$AE$2:$AE$947,$A7,Objects!$F$2:$F$947,I$3)</f>
        <v/>
      </c>
      <c r="J7" s="5">
        <f>COUNTIFS(Objects!$AE$2:$AE$947,$A7,Objects!$F$2:$F$947,J$3)</f>
        <v/>
      </c>
      <c r="K7" s="5">
        <f>COUNTIFS(Objects!$AE$2:$AE$947,$A7,Objects!$F$2:$F$947,K$3)</f>
        <v/>
      </c>
      <c r="L7" s="5" t="n">
        <v>0</v>
      </c>
      <c r="M7" s="7">
        <f>SUM(B7:L7)</f>
        <v/>
      </c>
      <c r="N7" s="12">
        <f>IFERROR(E7/M7,0)</f>
        <v/>
      </c>
    </row>
    <row r="8">
      <c r="A8" s="5" t="inlineStr">
        <is>
          <t>combined_footing</t>
        </is>
      </c>
      <c r="B8" s="5">
        <f>COUNTIFS(Objects!$AE$2:$AE$947,$A8,Objects!$F$2:$F$947,B$3)</f>
        <v/>
      </c>
      <c r="C8" s="5">
        <f>COUNTIFS(Objects!$AE$2:$AE$947,$A8,Objects!$F$2:$F$947,C$3)</f>
        <v/>
      </c>
      <c r="D8" s="5">
        <f>COUNTIFS(Objects!$AE$2:$AE$947,$A8,Objects!$F$2:$F$947,D$3)</f>
        <v/>
      </c>
      <c r="E8" s="5">
        <f>COUNTIFS(Objects!$AE$2:$AE$947,$A8,Objects!$F$2:$F$947,E$3)</f>
        <v/>
      </c>
      <c r="F8" s="5">
        <f>COUNTIFS(Objects!$AE$2:$AE$947,$A8,Objects!$F$2:$F$947,F$3)</f>
        <v/>
      </c>
      <c r="G8" s="5">
        <f>COUNTIFS(Objects!$AE$2:$AE$947,$A8,Objects!$F$2:$F$947,G$3)</f>
        <v/>
      </c>
      <c r="H8" s="5">
        <f>COUNTIFS(Objects!$AE$2:$AE$947,$A8,Objects!$F$2:$F$947,H$3)</f>
        <v/>
      </c>
      <c r="I8" s="5">
        <f>COUNTIFS(Objects!$AE$2:$AE$947,$A8,Objects!$F$2:$F$947,I$3)</f>
        <v/>
      </c>
      <c r="J8" s="5">
        <f>COUNTIFS(Objects!$AE$2:$AE$947,$A8,Objects!$F$2:$F$947,J$3)</f>
        <v/>
      </c>
      <c r="K8" s="5">
        <f>COUNTIFS(Objects!$AE$2:$AE$947,$A8,Objects!$F$2:$F$947,K$3)</f>
        <v/>
      </c>
      <c r="L8" s="5" t="n">
        <v>0</v>
      </c>
      <c r="M8" s="7">
        <f>SUM(B8:L8)</f>
        <v/>
      </c>
      <c r="N8" s="12">
        <f>IFERROR(F8/M8,0)</f>
        <v/>
      </c>
    </row>
    <row r="9">
      <c r="A9" s="5" t="inlineStr">
        <is>
          <t>crane_footing</t>
        </is>
      </c>
      <c r="B9" s="5">
        <f>COUNTIFS(Objects!$AE$2:$AE$947,$A9,Objects!$F$2:$F$947,B$3)</f>
        <v/>
      </c>
      <c r="C9" s="5">
        <f>COUNTIFS(Objects!$AE$2:$AE$947,$A9,Objects!$F$2:$F$947,C$3)</f>
        <v/>
      </c>
      <c r="D9" s="5">
        <f>COUNTIFS(Objects!$AE$2:$AE$947,$A9,Objects!$F$2:$F$947,D$3)</f>
        <v/>
      </c>
      <c r="E9" s="5">
        <f>COUNTIFS(Objects!$AE$2:$AE$947,$A9,Objects!$F$2:$F$947,E$3)</f>
        <v/>
      </c>
      <c r="F9" s="5">
        <f>COUNTIFS(Objects!$AE$2:$AE$947,$A9,Objects!$F$2:$F$947,F$3)</f>
        <v/>
      </c>
      <c r="G9" s="5">
        <f>COUNTIFS(Objects!$AE$2:$AE$947,$A9,Objects!$F$2:$F$947,G$3)</f>
        <v/>
      </c>
      <c r="H9" s="5">
        <f>COUNTIFS(Objects!$AE$2:$AE$947,$A9,Objects!$F$2:$F$947,H$3)</f>
        <v/>
      </c>
      <c r="I9" s="5">
        <f>COUNTIFS(Objects!$AE$2:$AE$947,$A9,Objects!$F$2:$F$947,I$3)</f>
        <v/>
      </c>
      <c r="J9" s="5">
        <f>COUNTIFS(Objects!$AE$2:$AE$947,$A9,Objects!$F$2:$F$947,J$3)</f>
        <v/>
      </c>
      <c r="K9" s="5">
        <f>COUNTIFS(Objects!$AE$2:$AE$947,$A9,Objects!$F$2:$F$947,K$3)</f>
        <v/>
      </c>
      <c r="L9" s="5" t="n">
        <v>0</v>
      </c>
      <c r="M9" s="7">
        <f>SUM(B9:L9)</f>
        <v/>
      </c>
      <c r="N9" s="12">
        <f>IFERROR(E9/M9,0)</f>
        <v/>
      </c>
    </row>
    <row r="10">
      <c r="A10" s="5" t="inlineStr">
        <is>
          <t>mass_concrete_pad</t>
        </is>
      </c>
      <c r="B10" s="5">
        <f>COUNTIFS(Objects!$AE$2:$AE$947,$A10,Objects!$F$2:$F$947,B$3)</f>
        <v/>
      </c>
      <c r="C10" s="5">
        <f>COUNTIFS(Objects!$AE$2:$AE$947,$A10,Objects!$F$2:$F$947,C$3)</f>
        <v/>
      </c>
      <c r="D10" s="5">
        <f>COUNTIFS(Objects!$AE$2:$AE$947,$A10,Objects!$F$2:$F$947,D$3)</f>
        <v/>
      </c>
      <c r="E10" s="5">
        <f>COUNTIFS(Objects!$AE$2:$AE$947,$A10,Objects!$F$2:$F$947,E$3)</f>
        <v/>
      </c>
      <c r="F10" s="5">
        <f>COUNTIFS(Objects!$AE$2:$AE$947,$A10,Objects!$F$2:$F$947,F$3)</f>
        <v/>
      </c>
      <c r="G10" s="5">
        <f>COUNTIFS(Objects!$AE$2:$AE$947,$A10,Objects!$F$2:$F$947,G$3)</f>
        <v/>
      </c>
      <c r="H10" s="5">
        <f>COUNTIFS(Objects!$AE$2:$AE$947,$A10,Objects!$F$2:$F$947,H$3)</f>
        <v/>
      </c>
      <c r="I10" s="5">
        <f>COUNTIFS(Objects!$AE$2:$AE$947,$A10,Objects!$F$2:$F$947,I$3)</f>
        <v/>
      </c>
      <c r="J10" s="5">
        <f>COUNTIFS(Objects!$AE$2:$AE$947,$A10,Objects!$F$2:$F$947,J$3)</f>
        <v/>
      </c>
      <c r="K10" s="5">
        <f>COUNTIFS(Objects!$AE$2:$AE$947,$A10,Objects!$F$2:$F$947,K$3)</f>
        <v/>
      </c>
      <c r="L10" s="5" t="n">
        <v>0</v>
      </c>
      <c r="M10" s="7">
        <f>SUM(B10:L10)</f>
        <v/>
      </c>
    </row>
    <row r="12">
      <c r="A12" s="8" t="inlineStr">
        <is>
          <t>Crane footings count as isolated footings. Concrete pads carry no label, so no class can be expected for them. 'Not found' = no object overlapping the verified shape by 80%.</t>
        </is>
      </c>
    </row>
    <row r="14">
      <c r="A14" s="7" t="inlineStr">
        <is>
          <t>Band widths found in the drawing</t>
        </is>
      </c>
    </row>
    <row r="15" ht="30" customHeight="1">
      <c r="A15" s="4" t="inlineStr">
        <is>
          <t>Width (m)</t>
        </is>
      </c>
      <c r="B15" s="4" t="inlineStr">
        <is>
          <t>Paired line length (m)</t>
        </is>
      </c>
      <c r="C15" s="4" t="inlineStr">
        <is>
          <t>Share filled</t>
        </is>
      </c>
      <c r="D15" s="4" t="inlineStr">
        <is>
          <t>Cluster class</t>
        </is>
      </c>
    </row>
    <row r="16">
      <c r="A16" s="5" t="n">
        <v>0.101</v>
      </c>
      <c r="B16" s="5" t="n">
        <v>207</v>
      </c>
      <c r="C16" s="5" t="n">
        <v>0</v>
      </c>
      <c r="D16" s="5" t="inlineStr">
        <is>
          <t>unidentified</t>
        </is>
      </c>
    </row>
    <row r="17">
      <c r="A17" s="5" t="n">
        <v>0.25</v>
      </c>
      <c r="B17" s="5" t="n">
        <v>69.8</v>
      </c>
      <c r="C17" s="5" t="n">
        <v>0.08</v>
      </c>
      <c r="D17" s="5" t="inlineStr">
        <is>
          <t>grade_beam</t>
        </is>
      </c>
    </row>
    <row r="18">
      <c r="A18" s="5" t="n">
        <v>0.318</v>
      </c>
      <c r="B18" s="5" t="n">
        <v>441.1</v>
      </c>
      <c r="C18" s="5" t="n">
        <v>0</v>
      </c>
      <c r="D18" s="5" t="inlineStr">
        <is>
          <t>unidentified</t>
        </is>
      </c>
    </row>
    <row r="19">
      <c r="A19" s="5" t="n">
        <v>0.4</v>
      </c>
      <c r="B19" s="5" t="n">
        <v>1694.1</v>
      </c>
      <c r="C19" s="5" t="n">
        <v>0.07000000000000001</v>
      </c>
      <c r="D19" s="5" t="inlineStr">
        <is>
          <t>grade_beam</t>
        </is>
      </c>
    </row>
    <row r="20">
      <c r="A20" s="5" t="n">
        <v>0.485</v>
      </c>
      <c r="B20" s="5" t="n">
        <v>95</v>
      </c>
      <c r="C20" s="5" t="n">
        <v>0</v>
      </c>
      <c r="D20" s="5" t="inlineStr">
        <is>
          <t>unidentified</t>
        </is>
      </c>
    </row>
    <row r="21">
      <c r="A21" s="5" t="n">
        <v>0.8</v>
      </c>
      <c r="B21" s="5" t="n">
        <v>581.4</v>
      </c>
      <c r="C21" s="5" t="n">
        <v>0.24</v>
      </c>
      <c r="D21" s="5" t="inlineStr">
        <is>
          <t>strip_footing</t>
        </is>
      </c>
    </row>
    <row r="22">
      <c r="A22" s="5" t="n">
        <v>0.83</v>
      </c>
      <c r="B22" s="5" t="n">
        <v>386.8</v>
      </c>
      <c r="C22" s="5" t="n">
        <v>0</v>
      </c>
      <c r="D22" s="5" t="inlineStr">
        <is>
          <t>unidentified</t>
        </is>
      </c>
    </row>
    <row r="23">
      <c r="A23" s="5" t="n">
        <v>0.953</v>
      </c>
      <c r="B23" s="5" t="n">
        <v>174.8</v>
      </c>
      <c r="C23" s="5" t="n">
        <v>0</v>
      </c>
      <c r="D23" s="5" t="inlineStr">
        <is>
          <t>unidentified</t>
        </is>
      </c>
    </row>
    <row r="24">
      <c r="A24" s="5" t="n">
        <v>0.999</v>
      </c>
      <c r="B24" s="5" t="n">
        <v>335.8</v>
      </c>
      <c r="C24" s="5" t="n">
        <v>0</v>
      </c>
      <c r="D24" s="5" t="inlineStr">
        <is>
          <t>unidentified</t>
        </is>
      </c>
    </row>
    <row r="25">
      <c r="A25" s="5" t="n">
        <v>1.215</v>
      </c>
      <c r="B25" s="5" t="n">
        <v>69.90000000000001</v>
      </c>
      <c r="C25" s="5" t="n">
        <v>0.03</v>
      </c>
      <c r="D25" s="5" t="inlineStr">
        <is>
          <t>unidentified</t>
        </is>
      </c>
    </row>
    <row r="26">
      <c r="A26" s="5" t="n">
        <v>1.439</v>
      </c>
      <c r="B26" s="5" t="n">
        <v>352.9</v>
      </c>
      <c r="C26" s="5" t="n">
        <v>0</v>
      </c>
      <c r="D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2026-09-27T18:27:36Z</dcterms:created>
  <dcterms:modified xsi:type="dcterms:W3CDTF">2026-09-27T18:27:36Z</dcterms:modified>
</cp:coreProperties>
</file>